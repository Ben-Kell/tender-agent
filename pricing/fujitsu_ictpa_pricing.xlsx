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\GitHub\tender-agent\pricing\"/>
    </mc:Choice>
  </mc:AlternateContent>
  <xr:revisionPtr revIDLastSave="0" documentId="13_ncr:1_{46BD9113-7788-4451-95E5-4D3DCD31B183}" xr6:coauthVersionLast="47" xr6:coauthVersionMax="47" xr10:uidLastSave="{00000000-0000-0000-0000-000000000000}"/>
  <bookViews>
    <workbookView xWindow="-120" yWindow="-120" windowWidth="38640" windowHeight="21120" xr2:uid="{3DB9ECCC-0677-4A51-84A3-F9F12B5EF0EF}"/>
  </bookViews>
  <sheets>
    <sheet name="FUJITSU ROLES AND RATES" sheetId="1" r:id="rId1"/>
    <sheet name="ICTPA Refresh-Cover She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22" i="1"/>
  <c r="H23" i="1"/>
  <c r="H24" i="1"/>
  <c r="H25" i="1"/>
  <c r="H26" i="1"/>
  <c r="H27" i="1"/>
  <c r="H28" i="1"/>
  <c r="I14" i="1" s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16" i="1"/>
  <c r="H15" i="1"/>
  <c r="G16" i="1" l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15" i="1"/>
  <c r="I13" i="1" l="1"/>
</calcChain>
</file>

<file path=xl/sharedStrings.xml><?xml version="1.0" encoding="utf-8"?>
<sst xmlns="http://schemas.openxmlformats.org/spreadsheetml/2006/main" count="401" uniqueCount="142">
  <si>
    <t>Service Nominations</t>
  </si>
  <si>
    <t>Yes / No</t>
  </si>
  <si>
    <r>
      <t xml:space="preserve">Tenderers are instructed to indicate the services they have nominated for within Attachment A - Tenderer Details and provide a rate for each of the nominated services tendered for within </t>
    </r>
    <r>
      <rPr>
        <b/>
        <sz val="10"/>
        <color theme="1"/>
        <rFont val="Arial"/>
        <family val="2"/>
      </rPr>
      <t>Column F</t>
    </r>
    <r>
      <rPr>
        <sz val="10"/>
        <color theme="1"/>
        <rFont val="Arial"/>
        <family val="2"/>
      </rPr>
      <t xml:space="preserve"> that does not exceed the Maximum Labour Rate (AUD$ exclusive of GST) </t>
    </r>
    <r>
      <rPr>
        <b/>
        <sz val="10"/>
        <color theme="1"/>
        <rFont val="Arial"/>
        <family val="2"/>
      </rPr>
      <t>Column E</t>
    </r>
    <r>
      <rPr>
        <sz val="10"/>
        <color theme="1"/>
        <rFont val="Arial"/>
        <family val="2"/>
      </rPr>
      <t>.</t>
    </r>
  </si>
  <si>
    <t>Application Services</t>
  </si>
  <si>
    <t>Yes</t>
  </si>
  <si>
    <t>Systems Integration Services</t>
  </si>
  <si>
    <t>ICT Personnel Resources</t>
  </si>
  <si>
    <t>Category: Strategy and Architecture</t>
  </si>
  <si>
    <t>Category: Change and Transformation</t>
  </si>
  <si>
    <t xml:space="preserve">Category: Development and Implementation </t>
  </si>
  <si>
    <t xml:space="preserve">Category: Delivery and Operation </t>
  </si>
  <si>
    <t>Category: Skills and Quality</t>
  </si>
  <si>
    <t>SFIA 7</t>
  </si>
  <si>
    <t>Category</t>
  </si>
  <si>
    <t>Sub Category</t>
  </si>
  <si>
    <t>Skills</t>
  </si>
  <si>
    <t>Level</t>
  </si>
  <si>
    <t>Strategy and Architecture</t>
  </si>
  <si>
    <t>Information Strategy</t>
  </si>
  <si>
    <r>
      <t>Enterprise IT Governance </t>
    </r>
    <r>
      <rPr>
        <b/>
        <sz val="10"/>
        <rFont val="Arial"/>
        <family val="2"/>
      </rPr>
      <t>GOVN</t>
    </r>
  </si>
  <si>
    <r>
      <t>Strategic Planning </t>
    </r>
    <r>
      <rPr>
        <b/>
        <sz val="10"/>
        <rFont val="Arial"/>
        <family val="2"/>
      </rPr>
      <t xml:space="preserve">ITSP </t>
    </r>
  </si>
  <si>
    <r>
      <t xml:space="preserve">Information Governance </t>
    </r>
    <r>
      <rPr>
        <b/>
        <sz val="10"/>
        <rFont val="Arial"/>
        <family val="2"/>
      </rPr>
      <t>IRMG</t>
    </r>
  </si>
  <si>
    <r>
      <t xml:space="preserve">Information Systems Coordination </t>
    </r>
    <r>
      <rPr>
        <b/>
        <sz val="10"/>
        <rFont val="Arial"/>
        <family val="2"/>
      </rPr>
      <t>ISCO</t>
    </r>
  </si>
  <si>
    <r>
      <t xml:space="preserve">Information Security </t>
    </r>
    <r>
      <rPr>
        <b/>
        <sz val="10"/>
        <rFont val="Arial"/>
        <family val="2"/>
      </rPr>
      <t>SCTY</t>
    </r>
  </si>
  <si>
    <r>
      <t xml:space="preserve">Information Assurance </t>
    </r>
    <r>
      <rPr>
        <b/>
        <sz val="10"/>
        <rFont val="Arial"/>
        <family val="2"/>
      </rPr>
      <t>INAS</t>
    </r>
  </si>
  <si>
    <r>
      <t xml:space="preserve">Analytics </t>
    </r>
    <r>
      <rPr>
        <b/>
        <sz val="10"/>
        <rFont val="Arial"/>
        <family val="2"/>
      </rPr>
      <t>INAN</t>
    </r>
  </si>
  <si>
    <r>
      <t xml:space="preserve">Data Visualisation </t>
    </r>
    <r>
      <rPr>
        <b/>
        <sz val="10"/>
        <rFont val="Arial"/>
        <family val="2"/>
      </rPr>
      <t>VISL</t>
    </r>
  </si>
  <si>
    <r>
      <t xml:space="preserve">Information Content Publishing </t>
    </r>
    <r>
      <rPr>
        <b/>
        <sz val="10"/>
        <rFont val="Arial"/>
        <family val="2"/>
      </rPr>
      <t>ICPM</t>
    </r>
  </si>
  <si>
    <t>Advice and Guidance</t>
  </si>
  <si>
    <r>
      <t xml:space="preserve">Consultancy </t>
    </r>
    <r>
      <rPr>
        <b/>
        <sz val="10"/>
        <rFont val="Arial"/>
        <family val="2"/>
      </rPr>
      <t>CNSL</t>
    </r>
  </si>
  <si>
    <r>
      <t xml:space="preserve">Specialist Advice </t>
    </r>
    <r>
      <rPr>
        <b/>
        <sz val="10"/>
        <rFont val="Arial"/>
        <family val="2"/>
      </rPr>
      <t xml:space="preserve">TECH </t>
    </r>
  </si>
  <si>
    <t xml:space="preserve">Business Strategy </t>
  </si>
  <si>
    <r>
      <t xml:space="preserve">Research </t>
    </r>
    <r>
      <rPr>
        <b/>
        <sz val="10"/>
        <rFont val="Arial"/>
        <family val="2"/>
      </rPr>
      <t>RSCH</t>
    </r>
  </si>
  <si>
    <t>and Planning</t>
  </si>
  <si>
    <r>
      <t xml:space="preserve">IT Management </t>
    </r>
    <r>
      <rPr>
        <b/>
        <sz val="10"/>
        <rFont val="Arial"/>
        <family val="2"/>
      </rPr>
      <t>ITMG</t>
    </r>
  </si>
  <si>
    <r>
      <t xml:space="preserve">Financial Management </t>
    </r>
    <r>
      <rPr>
        <b/>
        <sz val="10"/>
        <rFont val="Arial"/>
        <family val="2"/>
      </rPr>
      <t>FMIT</t>
    </r>
  </si>
  <si>
    <r>
      <t xml:space="preserve">Innovation </t>
    </r>
    <r>
      <rPr>
        <b/>
        <sz val="10"/>
        <rFont val="Arial"/>
        <family val="2"/>
      </rPr>
      <t>INOV</t>
    </r>
  </si>
  <si>
    <r>
      <t xml:space="preserve">Business Process Improvement </t>
    </r>
    <r>
      <rPr>
        <b/>
        <sz val="10"/>
        <rFont val="Arial"/>
        <family val="2"/>
      </rPr>
      <t>BPRE</t>
    </r>
  </si>
  <si>
    <r>
      <t xml:space="preserve">Enterprise and Business Architecture </t>
    </r>
    <r>
      <rPr>
        <b/>
        <sz val="10"/>
        <rFont val="Arial"/>
        <family val="2"/>
      </rPr>
      <t>STPL</t>
    </r>
  </si>
  <si>
    <r>
      <t>Business Risk Management</t>
    </r>
    <r>
      <rPr>
        <b/>
        <sz val="10"/>
        <rFont val="Arial"/>
        <family val="2"/>
      </rPr>
      <t xml:space="preserve"> BURM</t>
    </r>
  </si>
  <si>
    <r>
      <t xml:space="preserve">Sustainability </t>
    </r>
    <r>
      <rPr>
        <b/>
        <sz val="10"/>
        <rFont val="Arial"/>
        <family val="2"/>
      </rPr>
      <t>SUST</t>
    </r>
  </si>
  <si>
    <r>
      <t xml:space="preserve">Knowledge Management </t>
    </r>
    <r>
      <rPr>
        <b/>
        <sz val="10"/>
        <rFont val="Arial"/>
        <family val="2"/>
      </rPr>
      <t>KNOW</t>
    </r>
  </si>
  <si>
    <r>
      <t xml:space="preserve">Demand Management </t>
    </r>
    <r>
      <rPr>
        <b/>
        <sz val="10"/>
        <rFont val="Arial"/>
        <family val="2"/>
      </rPr>
      <t>DEMM</t>
    </r>
  </si>
  <si>
    <t>Technical Strategy and Planning</t>
  </si>
  <si>
    <r>
      <t xml:space="preserve">Emerging Technology Monitoring </t>
    </r>
    <r>
      <rPr>
        <b/>
        <sz val="10"/>
        <rFont val="Arial"/>
        <family val="2"/>
      </rPr>
      <t>EMRG</t>
    </r>
  </si>
  <si>
    <r>
      <t xml:space="preserve">Continuity Management </t>
    </r>
    <r>
      <rPr>
        <b/>
        <sz val="10"/>
        <rFont val="Arial"/>
        <family val="2"/>
      </rPr>
      <t>COPL</t>
    </r>
  </si>
  <si>
    <r>
      <t xml:space="preserve">Network Planning </t>
    </r>
    <r>
      <rPr>
        <b/>
        <sz val="10"/>
        <rFont val="Arial"/>
        <family val="2"/>
      </rPr>
      <t>NTPL</t>
    </r>
  </si>
  <si>
    <r>
      <t xml:space="preserve">Solution Architecture </t>
    </r>
    <r>
      <rPr>
        <b/>
        <sz val="10"/>
        <rFont val="Arial"/>
        <family val="2"/>
      </rPr>
      <t>ARCH</t>
    </r>
  </si>
  <si>
    <r>
      <t xml:space="preserve">Data Management </t>
    </r>
    <r>
      <rPr>
        <b/>
        <sz val="10"/>
        <rFont val="Arial"/>
        <family val="2"/>
      </rPr>
      <t>DATM</t>
    </r>
  </si>
  <si>
    <r>
      <t xml:space="preserve">Methods and Tools </t>
    </r>
    <r>
      <rPr>
        <b/>
        <sz val="10"/>
        <rFont val="Arial"/>
        <family val="2"/>
      </rPr>
      <t>METL</t>
    </r>
  </si>
  <si>
    <t xml:space="preserve">Change and </t>
  </si>
  <si>
    <t>Business Change Implementation</t>
  </si>
  <si>
    <r>
      <t xml:space="preserve">Portfolio Management </t>
    </r>
    <r>
      <rPr>
        <b/>
        <sz val="10"/>
        <rFont val="Arial"/>
        <family val="2"/>
      </rPr>
      <t>POMG</t>
    </r>
  </si>
  <si>
    <t>Transformation</t>
  </si>
  <si>
    <r>
      <t xml:space="preserve">Programme Management </t>
    </r>
    <r>
      <rPr>
        <b/>
        <sz val="10"/>
        <rFont val="Arial"/>
        <family val="2"/>
      </rPr>
      <t>PGMG</t>
    </r>
  </si>
  <si>
    <r>
      <t xml:space="preserve">Project Management </t>
    </r>
    <r>
      <rPr>
        <b/>
        <sz val="10"/>
        <rFont val="Arial"/>
        <family val="2"/>
      </rPr>
      <t>PRMG</t>
    </r>
  </si>
  <si>
    <r>
      <t xml:space="preserve">Portfolio, Programme and Project Support </t>
    </r>
    <r>
      <rPr>
        <b/>
        <sz val="10"/>
        <rFont val="Arial"/>
        <family val="2"/>
      </rPr>
      <t>PROF</t>
    </r>
  </si>
  <si>
    <t xml:space="preserve">Business Change Management </t>
  </si>
  <si>
    <r>
      <t xml:space="preserve">Business Analysis </t>
    </r>
    <r>
      <rPr>
        <b/>
        <sz val="10"/>
        <rFont val="Arial"/>
        <family val="2"/>
      </rPr>
      <t>BUAN</t>
    </r>
  </si>
  <si>
    <r>
      <t xml:space="preserve">Requirements Definition and Management </t>
    </r>
    <r>
      <rPr>
        <b/>
        <sz val="10"/>
        <rFont val="Arial"/>
        <family val="2"/>
      </rPr>
      <t>REQM</t>
    </r>
  </si>
  <si>
    <r>
      <t xml:space="preserve">Business Process Testing </t>
    </r>
    <r>
      <rPr>
        <b/>
        <sz val="10"/>
        <rFont val="Arial"/>
        <family val="2"/>
      </rPr>
      <t>BPTS</t>
    </r>
  </si>
  <si>
    <r>
      <t xml:space="preserve">Change Implementation Planning and Management </t>
    </r>
    <r>
      <rPr>
        <b/>
        <sz val="10"/>
        <rFont val="Arial"/>
        <family val="2"/>
      </rPr>
      <t>CIPM</t>
    </r>
  </si>
  <si>
    <r>
      <t xml:space="preserve">Organisation Design and Implementation </t>
    </r>
    <r>
      <rPr>
        <b/>
        <sz val="10"/>
        <rFont val="Arial"/>
        <family val="2"/>
      </rPr>
      <t>ORDI</t>
    </r>
  </si>
  <si>
    <r>
      <t xml:space="preserve">Benefits Management </t>
    </r>
    <r>
      <rPr>
        <b/>
        <sz val="10"/>
        <rFont val="Arial"/>
        <family val="2"/>
      </rPr>
      <t>BENM</t>
    </r>
  </si>
  <si>
    <r>
      <t xml:space="preserve">Business Modelling </t>
    </r>
    <r>
      <rPr>
        <b/>
        <sz val="10"/>
        <rFont val="Arial"/>
        <family val="2"/>
      </rPr>
      <t>BSMO</t>
    </r>
  </si>
  <si>
    <r>
      <t xml:space="preserve">Organisational Capability Development </t>
    </r>
    <r>
      <rPr>
        <b/>
        <sz val="10"/>
        <rFont val="Arial"/>
        <family val="2"/>
      </rPr>
      <t>OCDV</t>
    </r>
  </si>
  <si>
    <t xml:space="preserve">Development and </t>
  </si>
  <si>
    <t>Systems Development</t>
  </si>
  <si>
    <r>
      <t xml:space="preserve">Systems Development Management </t>
    </r>
    <r>
      <rPr>
        <b/>
        <sz val="10"/>
        <rFont val="Arial"/>
        <family val="2"/>
      </rPr>
      <t>DLMG</t>
    </r>
  </si>
  <si>
    <t>Implementation</t>
  </si>
  <si>
    <r>
      <t xml:space="preserve">Data Modelling and Design </t>
    </r>
    <r>
      <rPr>
        <b/>
        <sz val="10"/>
        <rFont val="Arial"/>
        <family val="2"/>
      </rPr>
      <t>DTAN</t>
    </r>
  </si>
  <si>
    <r>
      <t xml:space="preserve">Systems Design </t>
    </r>
    <r>
      <rPr>
        <b/>
        <sz val="10"/>
        <rFont val="Arial"/>
        <family val="2"/>
      </rPr>
      <t>DESN</t>
    </r>
  </si>
  <si>
    <r>
      <t xml:space="preserve">Network Design </t>
    </r>
    <r>
      <rPr>
        <b/>
        <sz val="10"/>
        <rFont val="Arial"/>
        <family val="2"/>
      </rPr>
      <t xml:space="preserve">NTDS </t>
    </r>
  </si>
  <si>
    <r>
      <t>Database Design</t>
    </r>
    <r>
      <rPr>
        <b/>
        <sz val="10"/>
        <rFont val="Arial"/>
        <family val="2"/>
      </rPr>
      <t xml:space="preserve"> DBDS</t>
    </r>
  </si>
  <si>
    <r>
      <t xml:space="preserve">Database Design </t>
    </r>
    <r>
      <rPr>
        <b/>
        <sz val="10"/>
        <rFont val="Arial"/>
        <family val="2"/>
      </rPr>
      <t>DBDS</t>
    </r>
  </si>
  <si>
    <r>
      <t xml:space="preserve">Programming/Software Development </t>
    </r>
    <r>
      <rPr>
        <b/>
        <sz val="10"/>
        <rFont val="Arial"/>
        <family val="2"/>
      </rPr>
      <t>PROG</t>
    </r>
  </si>
  <si>
    <r>
      <t xml:space="preserve">Real-time/Embedded Systems Development </t>
    </r>
    <r>
      <rPr>
        <b/>
        <sz val="10"/>
        <rFont val="Arial"/>
        <family val="2"/>
      </rPr>
      <t>RESD</t>
    </r>
  </si>
  <si>
    <r>
      <t xml:space="preserve">Animation Development </t>
    </r>
    <r>
      <rPr>
        <b/>
        <sz val="10"/>
        <rFont val="Arial"/>
        <family val="2"/>
      </rPr>
      <t>ADEV</t>
    </r>
  </si>
  <si>
    <r>
      <t>Safety Engineering</t>
    </r>
    <r>
      <rPr>
        <b/>
        <sz val="10"/>
        <rFont val="Arial"/>
        <family val="2"/>
      </rPr>
      <t xml:space="preserve"> SFEN</t>
    </r>
  </si>
  <si>
    <r>
      <t xml:space="preserve">Software Design </t>
    </r>
    <r>
      <rPr>
        <b/>
        <sz val="10"/>
        <rFont val="Arial"/>
        <family val="2"/>
      </rPr>
      <t xml:space="preserve">SWDN </t>
    </r>
  </si>
  <si>
    <r>
      <t xml:space="preserve">Information Content Authoring </t>
    </r>
    <r>
      <rPr>
        <b/>
        <sz val="10"/>
        <rFont val="Arial"/>
        <family val="2"/>
      </rPr>
      <t>INCA</t>
    </r>
  </si>
  <si>
    <r>
      <t xml:space="preserve">Testing </t>
    </r>
    <r>
      <rPr>
        <b/>
        <sz val="10"/>
        <rFont val="Arial"/>
        <family val="2"/>
      </rPr>
      <t>TEST</t>
    </r>
  </si>
  <si>
    <t>User Experience</t>
  </si>
  <si>
    <r>
      <t>User Research </t>
    </r>
    <r>
      <rPr>
        <b/>
        <sz val="10"/>
        <rFont val="Arial"/>
        <family val="2"/>
      </rPr>
      <t>URCH</t>
    </r>
  </si>
  <si>
    <r>
      <t xml:space="preserve">User Experience Analysis </t>
    </r>
    <r>
      <rPr>
        <b/>
        <sz val="10"/>
        <rFont val="Arial"/>
        <family val="2"/>
      </rPr>
      <t>UNAN</t>
    </r>
  </si>
  <si>
    <r>
      <t xml:space="preserve">User Experience Design </t>
    </r>
    <r>
      <rPr>
        <b/>
        <sz val="10"/>
        <rFont val="Arial"/>
        <family val="2"/>
      </rPr>
      <t xml:space="preserve">HCEV </t>
    </r>
  </si>
  <si>
    <r>
      <t>User Experience Evaluation</t>
    </r>
    <r>
      <rPr>
        <b/>
        <sz val="10"/>
        <rFont val="Arial"/>
        <family val="2"/>
      </rPr>
      <t xml:space="preserve"> USEV </t>
    </r>
  </si>
  <si>
    <t>Installation &amp; Integration</t>
  </si>
  <si>
    <r>
      <t>Systems Integration and Build</t>
    </r>
    <r>
      <rPr>
        <b/>
        <sz val="10"/>
        <color indexed="8"/>
        <rFont val="Arial"/>
        <family val="2"/>
      </rPr>
      <t xml:space="preserve"> SINT </t>
    </r>
  </si>
  <si>
    <r>
      <t>Porting/Software Configuration </t>
    </r>
    <r>
      <rPr>
        <b/>
        <sz val="10"/>
        <color indexed="8"/>
        <rFont val="Arial"/>
        <family val="2"/>
      </rPr>
      <t xml:space="preserve">PORT </t>
    </r>
  </si>
  <si>
    <r>
      <t>Hardware Design </t>
    </r>
    <r>
      <rPr>
        <b/>
        <sz val="10"/>
        <color indexed="8"/>
        <rFont val="Arial"/>
        <family val="2"/>
      </rPr>
      <t>HWDE</t>
    </r>
  </si>
  <si>
    <r>
      <t>Systems Installation/Decommissioning </t>
    </r>
    <r>
      <rPr>
        <b/>
        <sz val="10"/>
        <color indexed="8"/>
        <rFont val="Arial"/>
        <family val="2"/>
      </rPr>
      <t xml:space="preserve">HSIN </t>
    </r>
  </si>
  <si>
    <t>Delivery and Operation</t>
  </si>
  <si>
    <t>Service Design</t>
  </si>
  <si>
    <r>
      <t>Availability Management </t>
    </r>
    <r>
      <rPr>
        <b/>
        <sz val="10"/>
        <color indexed="8"/>
        <rFont val="Arial"/>
        <family val="2"/>
      </rPr>
      <t>AVMT</t>
    </r>
  </si>
  <si>
    <r>
      <t>Service Level Management </t>
    </r>
    <r>
      <rPr>
        <b/>
        <sz val="10"/>
        <color indexed="8"/>
        <rFont val="Arial"/>
        <family val="2"/>
      </rPr>
      <t>SLMO</t>
    </r>
  </si>
  <si>
    <t>Service Transition</t>
  </si>
  <si>
    <r>
      <t>Service Acceptance </t>
    </r>
    <r>
      <rPr>
        <b/>
        <sz val="10"/>
        <color indexed="8"/>
        <rFont val="Arial"/>
        <family val="2"/>
      </rPr>
      <t>SEAC</t>
    </r>
  </si>
  <si>
    <r>
      <t>Configuration Management </t>
    </r>
    <r>
      <rPr>
        <b/>
        <sz val="10"/>
        <color indexed="8"/>
        <rFont val="Arial"/>
        <family val="2"/>
      </rPr>
      <t>CFMG</t>
    </r>
  </si>
  <si>
    <r>
      <t>Asset Management </t>
    </r>
    <r>
      <rPr>
        <b/>
        <sz val="10"/>
        <color indexed="8"/>
        <rFont val="Arial"/>
        <family val="2"/>
      </rPr>
      <t>ASMG</t>
    </r>
  </si>
  <si>
    <r>
      <t>Change Management </t>
    </r>
    <r>
      <rPr>
        <b/>
        <sz val="10"/>
        <color indexed="8"/>
        <rFont val="Arial"/>
        <family val="2"/>
      </rPr>
      <t>CHMG</t>
    </r>
  </si>
  <si>
    <r>
      <t>Release and Deployment </t>
    </r>
    <r>
      <rPr>
        <b/>
        <sz val="10"/>
        <color indexed="8"/>
        <rFont val="Arial"/>
        <family val="2"/>
      </rPr>
      <t>RELM</t>
    </r>
  </si>
  <si>
    <t>Service Operation</t>
  </si>
  <si>
    <r>
      <t>System Software </t>
    </r>
    <r>
      <rPr>
        <b/>
        <sz val="10"/>
        <color indexed="8"/>
        <rFont val="Arial"/>
        <family val="2"/>
      </rPr>
      <t>SYSP</t>
    </r>
  </si>
  <si>
    <r>
      <t>Capacity Management </t>
    </r>
    <r>
      <rPr>
        <b/>
        <sz val="10"/>
        <color indexed="8"/>
        <rFont val="Arial"/>
        <family val="2"/>
      </rPr>
      <t>CPMG</t>
    </r>
  </si>
  <si>
    <r>
      <t>Security Administration </t>
    </r>
    <r>
      <rPr>
        <b/>
        <sz val="10"/>
        <color indexed="8"/>
        <rFont val="Arial"/>
        <family val="2"/>
      </rPr>
      <t xml:space="preserve">SCAD </t>
    </r>
  </si>
  <si>
    <r>
      <t>Penetration Testing </t>
    </r>
    <r>
      <rPr>
        <b/>
        <sz val="10"/>
        <color indexed="8"/>
        <rFont val="Arial"/>
        <family val="2"/>
      </rPr>
      <t>PENT</t>
    </r>
  </si>
  <si>
    <r>
      <t>Radio Frequency Engineering </t>
    </r>
    <r>
      <rPr>
        <b/>
        <sz val="10"/>
        <color indexed="8"/>
        <rFont val="Arial"/>
        <family val="2"/>
      </rPr>
      <t>RFEN</t>
    </r>
  </si>
  <si>
    <r>
      <t>Application Support </t>
    </r>
    <r>
      <rPr>
        <b/>
        <sz val="10"/>
        <color indexed="8"/>
        <rFont val="Arial"/>
        <family val="2"/>
      </rPr>
      <t xml:space="preserve">ASUP </t>
    </r>
  </si>
  <si>
    <r>
      <t>IT Infrastructure </t>
    </r>
    <r>
      <rPr>
        <b/>
        <sz val="10"/>
        <color indexed="8"/>
        <rFont val="Arial"/>
        <family val="2"/>
      </rPr>
      <t>ITOP</t>
    </r>
  </si>
  <si>
    <r>
      <t>Database Administration </t>
    </r>
    <r>
      <rPr>
        <b/>
        <sz val="10"/>
        <color indexed="8"/>
        <rFont val="Arial"/>
        <family val="2"/>
      </rPr>
      <t>DBAD</t>
    </r>
  </si>
  <si>
    <r>
      <t>Storage Management </t>
    </r>
    <r>
      <rPr>
        <b/>
        <sz val="10"/>
        <color indexed="8"/>
        <rFont val="Arial"/>
        <family val="2"/>
      </rPr>
      <t>STMG</t>
    </r>
  </si>
  <si>
    <r>
      <t>Network Support </t>
    </r>
    <r>
      <rPr>
        <b/>
        <sz val="10"/>
        <color indexed="8"/>
        <rFont val="Arial"/>
        <family val="2"/>
      </rPr>
      <t>NTAS</t>
    </r>
  </si>
  <si>
    <r>
      <t>Problem Management </t>
    </r>
    <r>
      <rPr>
        <b/>
        <sz val="10"/>
        <color indexed="8"/>
        <rFont val="Arial"/>
        <family val="2"/>
      </rPr>
      <t>PBMG</t>
    </r>
  </si>
  <si>
    <r>
      <t>Incident Management </t>
    </r>
    <r>
      <rPr>
        <b/>
        <sz val="10"/>
        <color indexed="8"/>
        <rFont val="Arial"/>
        <family val="2"/>
      </rPr>
      <t>USUP</t>
    </r>
  </si>
  <si>
    <r>
      <t>Facilities Management </t>
    </r>
    <r>
      <rPr>
        <b/>
        <sz val="10"/>
        <color indexed="8"/>
        <rFont val="Arial"/>
        <family val="2"/>
      </rPr>
      <t>DCMA</t>
    </r>
  </si>
  <si>
    <t>Skills and Quality</t>
  </si>
  <si>
    <t>Skill Management</t>
  </si>
  <si>
    <r>
      <t>Learning and Development Management </t>
    </r>
    <r>
      <rPr>
        <b/>
        <sz val="10"/>
        <color indexed="8"/>
        <rFont val="Arial"/>
        <family val="2"/>
      </rPr>
      <t>ETMG</t>
    </r>
  </si>
  <si>
    <r>
      <t>Competency Assessment</t>
    </r>
    <r>
      <rPr>
        <b/>
        <sz val="10"/>
        <color indexed="8"/>
        <rFont val="Arial"/>
        <family val="2"/>
      </rPr>
      <t> LEDA</t>
    </r>
  </si>
  <si>
    <r>
      <t>Learning Design and Development </t>
    </r>
    <r>
      <rPr>
        <b/>
        <sz val="10"/>
        <color indexed="8"/>
        <rFont val="Arial"/>
        <family val="2"/>
      </rPr>
      <t>TMCR</t>
    </r>
  </si>
  <si>
    <r>
      <t>Learning Delivery </t>
    </r>
    <r>
      <rPr>
        <b/>
        <sz val="10"/>
        <color indexed="8"/>
        <rFont val="Arial"/>
        <family val="2"/>
      </rPr>
      <t>ETDL</t>
    </r>
  </si>
  <si>
    <r>
      <t>Teaching and Subject Formation </t>
    </r>
    <r>
      <rPr>
        <b/>
        <sz val="10"/>
        <color indexed="8"/>
        <rFont val="Arial"/>
        <family val="2"/>
      </rPr>
      <t>TEAC</t>
    </r>
  </si>
  <si>
    <t>People Management</t>
  </si>
  <si>
    <r>
      <t>Performance Management </t>
    </r>
    <r>
      <rPr>
        <b/>
        <sz val="10"/>
        <color indexed="8"/>
        <rFont val="Arial"/>
        <family val="2"/>
      </rPr>
      <t>PEMT</t>
    </r>
  </si>
  <si>
    <r>
      <t>Resourcing </t>
    </r>
    <r>
      <rPr>
        <b/>
        <sz val="10"/>
        <color indexed="8"/>
        <rFont val="Arial"/>
        <family val="2"/>
      </rPr>
      <t>RESC</t>
    </r>
  </si>
  <si>
    <r>
      <t>Professional Development </t>
    </r>
    <r>
      <rPr>
        <b/>
        <sz val="10"/>
        <color indexed="8"/>
        <rFont val="Arial"/>
        <family val="2"/>
      </rPr>
      <t xml:space="preserve">PDSV </t>
    </r>
  </si>
  <si>
    <t>Quality &amp; Conformance</t>
  </si>
  <si>
    <r>
      <t>Quality Management </t>
    </r>
    <r>
      <rPr>
        <b/>
        <sz val="10"/>
        <color indexed="8"/>
        <rFont val="Arial"/>
        <family val="2"/>
      </rPr>
      <t xml:space="preserve">QUMG </t>
    </r>
  </si>
  <si>
    <r>
      <t>Quality Assurance </t>
    </r>
    <r>
      <rPr>
        <b/>
        <sz val="10"/>
        <color indexed="8"/>
        <rFont val="Arial"/>
        <family val="2"/>
      </rPr>
      <t>QUAS</t>
    </r>
  </si>
  <si>
    <r>
      <t>Measurement </t>
    </r>
    <r>
      <rPr>
        <b/>
        <sz val="10"/>
        <color indexed="8"/>
        <rFont val="Arial"/>
        <family val="2"/>
      </rPr>
      <t>MEAS</t>
    </r>
  </si>
  <si>
    <r>
      <t>Conformance Review </t>
    </r>
    <r>
      <rPr>
        <b/>
        <sz val="10"/>
        <color indexed="8"/>
        <rFont val="Arial"/>
        <family val="2"/>
      </rPr>
      <t xml:space="preserve">CORE </t>
    </r>
  </si>
  <si>
    <r>
      <t>Safety Assessment</t>
    </r>
    <r>
      <rPr>
        <b/>
        <sz val="10"/>
        <color indexed="8"/>
        <rFont val="Arial"/>
        <family val="2"/>
      </rPr>
      <t xml:space="preserve"> SFAS</t>
    </r>
  </si>
  <si>
    <r>
      <t xml:space="preserve">Digital Forensics </t>
    </r>
    <r>
      <rPr>
        <b/>
        <sz val="10"/>
        <color indexed="8"/>
        <rFont val="Arial"/>
        <family val="2"/>
      </rPr>
      <t xml:space="preserve">DGFS </t>
    </r>
  </si>
  <si>
    <t>ICTPA DEED REFRESH - MARCH 2022</t>
  </si>
  <si>
    <t>VARIANCE OF FUJITSU RATE TO DEFENCE MAX. RATE</t>
  </si>
  <si>
    <r>
      <rPr>
        <b/>
        <sz val="11"/>
        <color theme="1"/>
        <rFont val="Arial"/>
        <family val="2"/>
      </rPr>
      <t>FUJITSU SIGNED DEED RATES</t>
    </r>
    <r>
      <rPr>
        <b/>
        <sz val="11"/>
        <color rgb="FFFF0000"/>
        <rFont val="Arial"/>
        <family val="2"/>
      </rPr>
      <t xml:space="preserve">
</t>
    </r>
    <r>
      <rPr>
        <b/>
        <sz val="9"/>
        <color rgb="FFFF0000"/>
        <rFont val="Arial"/>
        <family val="2"/>
      </rPr>
      <t xml:space="preserve">** Fujitsu uses these rates **  </t>
    </r>
  </si>
  <si>
    <r>
      <rPr>
        <b/>
        <sz val="11"/>
        <color theme="1"/>
        <rFont val="Arial"/>
        <family val="2"/>
      </rPr>
      <t>DEFENCE MAXIMUM RATES</t>
    </r>
    <r>
      <rPr>
        <b/>
        <sz val="11"/>
        <color rgb="FFFF0000"/>
        <rFont val="Arial"/>
        <family val="2"/>
      </rPr>
      <t xml:space="preserve">
</t>
    </r>
  </si>
  <si>
    <t>Tenderer's (Fujitsu) Labour Rate (Daily AUD$ Ex GST)</t>
  </si>
  <si>
    <t>Maximum Labour Rate 
(Daily AUD$ Ex GST)</t>
  </si>
  <si>
    <r>
      <t xml:space="preserve">Fujitsu Maximum Rates that are set at </t>
    </r>
    <r>
      <rPr>
        <b/>
        <i/>
        <sz val="10"/>
        <color theme="1"/>
        <rFont val="Arial"/>
        <family val="2"/>
      </rPr>
      <t>same as</t>
    </r>
    <r>
      <rPr>
        <i/>
        <sz val="10"/>
        <color theme="1"/>
        <rFont val="Arial"/>
        <family val="2"/>
      </rPr>
      <t xml:space="preserve"> Defence Maximum Rate</t>
    </r>
  </si>
  <si>
    <r>
      <t>Fujitsu Maximum Rates that are set at</t>
    </r>
    <r>
      <rPr>
        <b/>
        <i/>
        <sz val="10"/>
        <color theme="1"/>
        <rFont val="Arial"/>
        <family val="2"/>
      </rPr>
      <t xml:space="preserve"> 5% lower than</t>
    </r>
    <r>
      <rPr>
        <i/>
        <sz val="10"/>
        <color theme="1"/>
        <rFont val="Arial"/>
        <family val="2"/>
      </rPr>
      <t xml:space="preserve"> Defence Maximum Rate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</si>
</sst>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trike/>
      <sz val="10"/>
      <name val="Arial"/>
      <family val="2"/>
    </font>
    <font>
      <b/>
      <sz val="10"/>
      <color indexed="8"/>
      <name val="Arial"/>
      <family val="2"/>
    </font>
    <font>
      <b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9"/>
      <color rgb="FFFF0000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5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 style="thin">
        <color theme="0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/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D0CECE"/>
      </top>
      <bottom/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/>
  </cellStyleXfs>
  <cellXfs count="106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4" borderId="9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left" vertical="center" wrapText="1" indent="1"/>
    </xf>
    <xf numFmtId="0" fontId="6" fillId="5" borderId="20" xfId="0" applyFont="1" applyFill="1" applyBorder="1" applyAlignment="1">
      <alignment horizontal="left" vertical="center" wrapText="1" indent="1"/>
    </xf>
    <xf numFmtId="0" fontId="7" fillId="6" borderId="21" xfId="0" applyFont="1" applyFill="1" applyBorder="1" applyAlignment="1">
      <alignment horizontal="left" vertical="center" indent="1"/>
    </xf>
    <xf numFmtId="0" fontId="7" fillId="5" borderId="22" xfId="0" applyFont="1" applyFill="1" applyBorder="1" applyAlignment="1">
      <alignment horizontal="center" vertical="center"/>
    </xf>
    <xf numFmtId="164" fontId="7" fillId="3" borderId="21" xfId="0" applyNumberFormat="1" applyFont="1" applyFill="1" applyBorder="1" applyAlignment="1">
      <alignment horizontal="center" vertical="center"/>
    </xf>
    <xf numFmtId="164" fontId="7" fillId="7" borderId="9" xfId="0" applyNumberFormat="1" applyFont="1" applyFill="1" applyBorder="1" applyAlignment="1" applyProtection="1">
      <alignment horizontal="center" vertical="center"/>
      <protection locked="0"/>
    </xf>
    <xf numFmtId="0" fontId="6" fillId="5" borderId="10" xfId="0" applyFont="1" applyFill="1" applyBorder="1" applyAlignment="1">
      <alignment horizontal="left" vertical="top" wrapText="1" indent="1"/>
    </xf>
    <xf numFmtId="0" fontId="6" fillId="5" borderId="20" xfId="0" applyFont="1" applyFill="1" applyBorder="1" applyAlignment="1">
      <alignment horizontal="left" vertical="top" wrapText="1" indent="1"/>
    </xf>
    <xf numFmtId="0" fontId="7" fillId="5" borderId="21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left" vertical="top" wrapText="1" indent="1"/>
    </xf>
    <xf numFmtId="0" fontId="7" fillId="5" borderId="20" xfId="0" applyFont="1" applyFill="1" applyBorder="1" applyAlignment="1">
      <alignment horizontal="left" vertical="center" wrapText="1" indent="1"/>
    </xf>
    <xf numFmtId="0" fontId="7" fillId="5" borderId="22" xfId="0" applyFont="1" applyFill="1" applyBorder="1" applyAlignment="1">
      <alignment horizontal="left" vertical="center" wrapText="1" indent="1"/>
    </xf>
    <xf numFmtId="0" fontId="6" fillId="5" borderId="20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horizontal="left" vertical="top" wrapText="1" indent="1"/>
    </xf>
    <xf numFmtId="0" fontId="6" fillId="8" borderId="10" xfId="0" applyFont="1" applyFill="1" applyBorder="1" applyAlignment="1">
      <alignment horizontal="left" vertical="center" wrapText="1" indent="1"/>
    </xf>
    <xf numFmtId="0" fontId="6" fillId="8" borderId="20" xfId="0" applyFont="1" applyFill="1" applyBorder="1" applyAlignment="1">
      <alignment horizontal="left" vertical="center" wrapText="1" indent="1"/>
    </xf>
    <xf numFmtId="0" fontId="7" fillId="8" borderId="21" xfId="0" applyFont="1" applyFill="1" applyBorder="1" applyAlignment="1">
      <alignment horizontal="center" vertical="center"/>
    </xf>
    <xf numFmtId="164" fontId="7" fillId="4" borderId="9" xfId="0" applyNumberFormat="1" applyFont="1" applyFill="1" applyBorder="1" applyAlignment="1" applyProtection="1">
      <alignment horizontal="center" vertical="center"/>
      <protection locked="0"/>
    </xf>
    <xf numFmtId="0" fontId="6" fillId="8" borderId="20" xfId="0" applyFont="1" applyFill="1" applyBorder="1" applyAlignment="1">
      <alignment vertical="center" wrapText="1" indent="1"/>
    </xf>
    <xf numFmtId="0" fontId="6" fillId="9" borderId="10" xfId="0" applyFont="1" applyFill="1" applyBorder="1" applyAlignment="1">
      <alignment vertical="top" wrapText="1" indent="1"/>
    </xf>
    <xf numFmtId="0" fontId="7" fillId="8" borderId="20" xfId="0" applyFont="1" applyFill="1" applyBorder="1" applyAlignment="1">
      <alignment horizontal="left" vertical="center" wrapText="1" indent="1"/>
    </xf>
    <xf numFmtId="0" fontId="7" fillId="8" borderId="22" xfId="0" applyFont="1" applyFill="1" applyBorder="1" applyAlignment="1">
      <alignment horizontal="left" vertical="center" wrapText="1" indent="1"/>
    </xf>
    <xf numFmtId="0" fontId="7" fillId="9" borderId="21" xfId="0" applyFont="1" applyFill="1" applyBorder="1" applyAlignment="1">
      <alignment horizontal="center" vertical="center"/>
    </xf>
    <xf numFmtId="0" fontId="6" fillId="9" borderId="20" xfId="0" applyFont="1" applyFill="1" applyBorder="1" applyAlignment="1">
      <alignment vertical="top" wrapText="1" indent="1"/>
    </xf>
    <xf numFmtId="0" fontId="6" fillId="9" borderId="15" xfId="0" applyFont="1" applyFill="1" applyBorder="1" applyAlignment="1">
      <alignment vertical="top" wrapText="1" indent="1"/>
    </xf>
    <xf numFmtId="0" fontId="6" fillId="9" borderId="22" xfId="0" applyFont="1" applyFill="1" applyBorder="1" applyAlignment="1">
      <alignment vertical="top" wrapText="1" indent="1"/>
    </xf>
    <xf numFmtId="0" fontId="7" fillId="10" borderId="21" xfId="0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vertical="top" wrapText="1" indent="1"/>
    </xf>
    <xf numFmtId="0" fontId="6" fillId="10" borderId="10" xfId="0" applyFont="1" applyFill="1" applyBorder="1" applyAlignment="1">
      <alignment vertical="top" wrapText="1" indent="1"/>
    </xf>
    <xf numFmtId="0" fontId="4" fillId="10" borderId="21" xfId="0" applyFont="1" applyFill="1" applyBorder="1" applyAlignment="1">
      <alignment horizontal="center" vertical="center"/>
    </xf>
    <xf numFmtId="0" fontId="8" fillId="10" borderId="21" xfId="0" applyFont="1" applyFill="1" applyBorder="1" applyAlignment="1">
      <alignment horizontal="center" vertical="center"/>
    </xf>
    <xf numFmtId="0" fontId="6" fillId="10" borderId="24" xfId="0" applyFont="1" applyFill="1" applyBorder="1" applyAlignment="1">
      <alignment vertical="top" wrapText="1" indent="1"/>
    </xf>
    <xf numFmtId="0" fontId="6" fillId="5" borderId="20" xfId="0" applyFont="1" applyFill="1" applyBorder="1" applyAlignment="1">
      <alignment vertical="top" wrapText="1" indent="1"/>
    </xf>
    <xf numFmtId="0" fontId="6" fillId="5" borderId="22" xfId="0" applyFont="1" applyFill="1" applyBorder="1" applyAlignment="1">
      <alignment vertical="top" wrapText="1" indent="1"/>
    </xf>
    <xf numFmtId="0" fontId="4" fillId="3" borderId="21" xfId="2" applyFont="1" applyFill="1" applyBorder="1" applyAlignment="1">
      <alignment horizontal="left" vertical="center" indent="1"/>
    </xf>
    <xf numFmtId="0" fontId="6" fillId="10" borderId="20" xfId="0" applyFont="1" applyFill="1" applyBorder="1" applyAlignment="1">
      <alignment vertical="top" wrapText="1" indent="1"/>
    </xf>
    <xf numFmtId="0" fontId="6" fillId="10" borderId="15" xfId="0" applyFont="1" applyFill="1" applyBorder="1" applyAlignment="1">
      <alignment vertical="top" wrapText="1" indent="1"/>
    </xf>
    <xf numFmtId="0" fontId="6" fillId="10" borderId="22" xfId="0" applyFont="1" applyFill="1" applyBorder="1" applyAlignment="1">
      <alignment vertical="top" wrapText="1" indent="1"/>
    </xf>
    <xf numFmtId="0" fontId="6" fillId="9" borderId="23" xfId="0" applyFont="1" applyFill="1" applyBorder="1" applyAlignment="1">
      <alignment vertical="top" wrapText="1" indent="1"/>
    </xf>
    <xf numFmtId="0" fontId="6" fillId="8" borderId="25" xfId="0" applyFont="1" applyFill="1" applyBorder="1" applyAlignment="1">
      <alignment horizontal="left" vertical="center" wrapText="1" indent="1"/>
    </xf>
    <xf numFmtId="9" fontId="5" fillId="8" borderId="20" xfId="2" applyNumberFormat="1" applyFont="1" applyFill="1" applyBorder="1" applyAlignment="1">
      <alignment vertical="top" indent="1"/>
    </xf>
    <xf numFmtId="9" fontId="5" fillId="8" borderId="22" xfId="2" applyNumberFormat="1" applyFont="1" applyFill="1" applyBorder="1" applyAlignment="1">
      <alignment vertical="top" indent="1"/>
    </xf>
    <xf numFmtId="9" fontId="5" fillId="9" borderId="26" xfId="2" applyNumberFormat="1" applyFont="1" applyFill="1" applyBorder="1" applyAlignment="1">
      <alignment vertical="top" indent="1"/>
    </xf>
    <xf numFmtId="9" fontId="5" fillId="9" borderId="20" xfId="2" applyNumberFormat="1" applyFont="1" applyFill="1" applyBorder="1" applyAlignment="1">
      <alignment vertical="top" indent="1"/>
    </xf>
    <xf numFmtId="9" fontId="5" fillId="9" borderId="22" xfId="2" applyNumberFormat="1" applyFont="1" applyFill="1" applyBorder="1" applyAlignment="1">
      <alignment vertical="top" indent="1"/>
    </xf>
    <xf numFmtId="9" fontId="5" fillId="10" borderId="23" xfId="2" applyNumberFormat="1" applyFont="1" applyFill="1" applyBorder="1" applyAlignment="1">
      <alignment vertical="top" indent="1"/>
    </xf>
    <xf numFmtId="9" fontId="5" fillId="10" borderId="24" xfId="2" applyNumberFormat="1" applyFont="1" applyFill="1" applyBorder="1" applyAlignment="1">
      <alignment vertical="top" indent="1"/>
    </xf>
    <xf numFmtId="9" fontId="5" fillId="5" borderId="20" xfId="2" applyNumberFormat="1" applyFont="1" applyFill="1" applyBorder="1" applyAlignment="1">
      <alignment vertical="top" indent="1"/>
    </xf>
    <xf numFmtId="9" fontId="5" fillId="5" borderId="22" xfId="2" applyNumberFormat="1" applyFont="1" applyFill="1" applyBorder="1" applyAlignment="1">
      <alignment vertical="top" indent="1"/>
    </xf>
    <xf numFmtId="9" fontId="6" fillId="10" borderId="20" xfId="2" applyNumberFormat="1" applyFont="1" applyFill="1" applyBorder="1" applyAlignment="1">
      <alignment vertical="top"/>
    </xf>
    <xf numFmtId="0" fontId="6" fillId="10" borderId="27" xfId="0" applyFont="1" applyFill="1" applyBorder="1" applyAlignment="1">
      <alignment vertical="top" wrapText="1" indent="1"/>
    </xf>
    <xf numFmtId="9" fontId="6" fillId="10" borderId="28" xfId="2" applyNumberFormat="1" applyFont="1" applyFill="1" applyBorder="1" applyAlignment="1">
      <alignment vertical="top"/>
    </xf>
    <xf numFmtId="0" fontId="4" fillId="3" borderId="29" xfId="2" applyFont="1" applyFill="1" applyBorder="1" applyAlignment="1">
      <alignment horizontal="left" vertical="center" indent="1"/>
    </xf>
    <xf numFmtId="0" fontId="7" fillId="10" borderId="29" xfId="0" applyFont="1" applyFill="1" applyBorder="1" applyAlignment="1">
      <alignment horizontal="center" vertical="center"/>
    </xf>
    <xf numFmtId="164" fontId="7" fillId="3" borderId="29" xfId="0" applyNumberFormat="1" applyFont="1" applyFill="1" applyBorder="1" applyAlignment="1">
      <alignment horizontal="center" vertical="center"/>
    </xf>
    <xf numFmtId="164" fontId="7" fillId="7" borderId="30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9" fontId="4" fillId="0" borderId="38" xfId="1" applyFont="1" applyBorder="1" applyAlignment="1">
      <alignment horizontal="center" vertical="center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4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vertical="center"/>
    </xf>
    <xf numFmtId="0" fontId="2" fillId="0" borderId="0" xfId="0" applyFont="1"/>
    <xf numFmtId="0" fontId="14" fillId="0" borderId="34" xfId="0" applyFont="1" applyBorder="1" applyAlignment="1">
      <alignment horizontal="center" vertical="center"/>
    </xf>
    <xf numFmtId="0" fontId="10" fillId="11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 indent="1"/>
    </xf>
    <xf numFmtId="0" fontId="4" fillId="3" borderId="10" xfId="0" applyFont="1" applyFill="1" applyBorder="1" applyAlignment="1">
      <alignment horizontal="left" vertical="center" wrapText="1" indent="1"/>
    </xf>
    <xf numFmtId="0" fontId="4" fillId="3" borderId="15" xfId="0" applyFont="1" applyFill="1" applyBorder="1" applyAlignment="1">
      <alignment horizontal="left" vertical="center" wrapText="1" indent="1"/>
    </xf>
    <xf numFmtId="0" fontId="4" fillId="0" borderId="6" xfId="0" applyFont="1" applyBorder="1" applyAlignment="1">
      <alignment horizontal="left" vertical="center" indent="1"/>
    </xf>
    <xf numFmtId="0" fontId="4" fillId="0" borderId="7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left" vertical="center" indent="1"/>
    </xf>
    <xf numFmtId="0" fontId="4" fillId="0" borderId="11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2"/>
    </xf>
    <xf numFmtId="0" fontId="4" fillId="0" borderId="13" xfId="0" applyFont="1" applyBorder="1" applyAlignment="1">
      <alignment horizontal="left" vertical="center" indent="2"/>
    </xf>
    <xf numFmtId="0" fontId="4" fillId="0" borderId="14" xfId="0" applyFont="1" applyBorder="1" applyAlignment="1">
      <alignment horizontal="left" vertical="center" indent="2"/>
    </xf>
    <xf numFmtId="0" fontId="4" fillId="0" borderId="6" xfId="0" applyFont="1" applyBorder="1" applyAlignment="1">
      <alignment horizontal="left" vertical="center" indent="2"/>
    </xf>
    <xf numFmtId="0" fontId="4" fillId="0" borderId="7" xfId="0" applyFont="1" applyBorder="1" applyAlignment="1">
      <alignment horizontal="left" vertical="center" indent="2"/>
    </xf>
    <xf numFmtId="0" fontId="4" fillId="0" borderId="8" xfId="0" applyFont="1" applyBorder="1" applyAlignment="1">
      <alignment horizontal="left" vertical="center" indent="2"/>
    </xf>
    <xf numFmtId="0" fontId="4" fillId="0" borderId="13" xfId="0" applyFont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left" vertical="center" wrapText="1" indent="1"/>
    </xf>
    <xf numFmtId="0" fontId="6" fillId="5" borderId="22" xfId="0" applyFont="1" applyFill="1" applyBorder="1" applyAlignment="1">
      <alignment horizontal="left" vertical="center" wrapText="1" indent="1"/>
    </xf>
    <xf numFmtId="0" fontId="11" fillId="0" borderId="35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3">
    <cellStyle name="Normal" xfId="0" builtinId="0"/>
    <cellStyle name="Normal 5" xfId="2" xr:uid="{6E2F035C-EFBC-45E5-8E88-B9819E4DB48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</xdr:colOff>
      <xdr:row>1</xdr:row>
      <xdr:rowOff>31750</xdr:rowOff>
    </xdr:from>
    <xdr:to>
      <xdr:col>13</xdr:col>
      <xdr:colOff>31750</xdr:colOff>
      <xdr:row>66</xdr:row>
      <xdr:rowOff>203200</xdr:rowOff>
    </xdr:to>
    <xdr:pic>
      <xdr:nvPicPr>
        <xdr:cNvPr id="2" name="Picture 2" descr="A4 portrait cover">
          <a:extLst>
            <a:ext uri="{FF2B5EF4-FFF2-40B4-BE49-F238E27FC236}">
              <a16:creationId xmlns:a16="http://schemas.microsoft.com/office/drawing/2014/main" id="{F6880220-259B-429D-B525-BF935F6C9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215900"/>
          <a:ext cx="7315200" cy="1212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405130</xdr:colOff>
      <xdr:row>10</xdr:row>
      <xdr:rowOff>150494</xdr:rowOff>
    </xdr:from>
    <xdr:to>
      <xdr:col>12</xdr:col>
      <xdr:colOff>608955</xdr:colOff>
      <xdr:row>20</xdr:row>
      <xdr:rowOff>28626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E781690F-0D75-4116-AF75-65196AE68F8E}"/>
            </a:ext>
          </a:extLst>
        </xdr:cNvPr>
        <xdr:cNvSpPr txBox="1">
          <a:spLocks noChangeArrowheads="1"/>
        </xdr:cNvSpPr>
      </xdr:nvSpPr>
      <xdr:spPr bwMode="auto">
        <a:xfrm>
          <a:off x="1014730" y="1991994"/>
          <a:ext cx="6909425" cy="1719632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AU" sz="2400" b="0" i="0" u="none" strike="noStrike" baseline="0">
              <a:solidFill>
                <a:srgbClr val="ED7D31"/>
              </a:solidFill>
              <a:latin typeface="Georgia"/>
            </a:rPr>
            <a:t>Information Communications Technology</a:t>
          </a:r>
        </a:p>
        <a:p>
          <a:pPr algn="l" rtl="0">
            <a:defRPr sz="1000"/>
          </a:pPr>
          <a:r>
            <a:rPr lang="en-AU" sz="2400" b="0" i="0" u="none" strike="noStrike" baseline="0">
              <a:solidFill>
                <a:srgbClr val="ED7D31"/>
              </a:solidFill>
              <a:latin typeface="Georgia"/>
            </a:rPr>
            <a:t>Provider Arrangement (ICTPA) Refresh RFT</a:t>
          </a:r>
        </a:p>
        <a:p>
          <a:pPr algn="l" rtl="0">
            <a:defRPr sz="1000"/>
          </a:pPr>
          <a:r>
            <a:rPr lang="en-AU" sz="1400" b="1" i="0" u="none" strike="noStrike" baseline="0">
              <a:solidFill>
                <a:srgbClr val="ED7D31"/>
              </a:solidFill>
              <a:latin typeface="Calibri"/>
            </a:rPr>
            <a:t>Attachment X - ICTPA SFIA 7 Rates v0.4</a:t>
          </a:r>
        </a:p>
        <a:p>
          <a:pPr algn="l" rtl="0">
            <a:defRPr sz="1000"/>
          </a:pPr>
          <a:r>
            <a:rPr lang="en-AU" sz="2400" b="1" i="0" u="none" strike="noStrike" baseline="0">
              <a:solidFill>
                <a:srgbClr val="ED7D31"/>
              </a:solidFill>
              <a:latin typeface="Calibri"/>
            </a:rPr>
            <a:t>Tenderer name: Fujitsu Australia Limited</a:t>
          </a:r>
        </a:p>
      </xdr:txBody>
    </xdr:sp>
    <xdr:clientData/>
  </xdr:twoCellAnchor>
  <xdr:twoCellAnchor>
    <xdr:from>
      <xdr:col>1</xdr:col>
      <xdr:colOff>279400</xdr:colOff>
      <xdr:row>1</xdr:row>
      <xdr:rowOff>95250</xdr:rowOff>
    </xdr:from>
    <xdr:to>
      <xdr:col>4</xdr:col>
      <xdr:colOff>793750</xdr:colOff>
      <xdr:row>4</xdr:row>
      <xdr:rowOff>165100</xdr:rowOff>
    </xdr:to>
    <xdr:pic>
      <xdr:nvPicPr>
        <xdr:cNvPr id="4" name="Picture 1" descr="Defence_inline_char">
          <a:extLst>
            <a:ext uri="{FF2B5EF4-FFF2-40B4-BE49-F238E27FC236}">
              <a16:creationId xmlns:a16="http://schemas.microsoft.com/office/drawing/2014/main" id="{1519830C-3B7A-4DE4-87A1-34C3F931C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279400"/>
          <a:ext cx="2159000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247650</xdr:colOff>
      <xdr:row>47</xdr:row>
      <xdr:rowOff>114300</xdr:rowOff>
    </xdr:from>
    <xdr:to>
      <xdr:col>12</xdr:col>
      <xdr:colOff>419100</xdr:colOff>
      <xdr:row>57</xdr:row>
      <xdr:rowOff>109068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7834601-2038-4461-B0F5-0C5BCADD2F78}"/>
            </a:ext>
          </a:extLst>
        </xdr:cNvPr>
        <xdr:cNvSpPr txBox="1"/>
      </xdr:nvSpPr>
      <xdr:spPr>
        <a:xfrm>
          <a:off x="857250" y="8769350"/>
          <a:ext cx="6877050" cy="18362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lnSpc>
              <a:spcPts val="1200"/>
            </a:lnSpc>
          </a:pPr>
          <a:r>
            <a:rPr lang="en-AU" sz="1200">
              <a:latin typeface="Arial" panose="020B0604020202020204" pitchFamily="34" charset="0"/>
              <a:cs typeface="Arial" panose="020B0604020202020204" pitchFamily="34" charset="0"/>
            </a:rPr>
            <a:t>Instructions:</a:t>
          </a:r>
          <a:br>
            <a:rPr lang="en-AU" sz="1200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AU" sz="1200"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  <a:p>
          <a:pPr>
            <a:lnSpc>
              <a:spcPts val="1200"/>
            </a:lnSpc>
          </a:pPr>
          <a:r>
            <a:rPr lang="en-AU" sz="1200">
              <a:latin typeface="Arial" panose="020B0604020202020204" pitchFamily="34" charset="0"/>
              <a:cs typeface="Arial" panose="020B0604020202020204" pitchFamily="34" charset="0"/>
            </a:rPr>
            <a:t>Tenderers are required</a:t>
          </a:r>
          <a:r>
            <a:rPr lang="en-AU" sz="1200" baseline="0">
              <a:latin typeface="Arial" panose="020B0604020202020204" pitchFamily="34" charset="0"/>
              <a:cs typeface="Arial" panose="020B0604020202020204" pitchFamily="34" charset="0"/>
            </a:rPr>
            <a:t> to provide their nomination for each Service and if tendering for ICT Personnel Resources; the applicable SFIA 7 Category tendered for. </a:t>
          </a:r>
        </a:p>
        <a:p>
          <a:pPr>
            <a:lnSpc>
              <a:spcPts val="1200"/>
            </a:lnSpc>
          </a:pPr>
          <a:endParaRPr lang="en-AU" sz="1200"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ts val="12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200">
              <a:latin typeface="Arial" panose="020B0604020202020204" pitchFamily="34" charset="0"/>
              <a:cs typeface="Arial" panose="020B0604020202020204" pitchFamily="34" charset="0"/>
            </a:rPr>
            <a:t>Tenderers are required to provide nominated rates that do not exceed the maximum labour</a:t>
          </a:r>
          <a:r>
            <a:rPr lang="en-AU" sz="1200" baseline="0">
              <a:latin typeface="Arial" panose="020B0604020202020204" pitchFamily="34" charset="0"/>
              <a:cs typeface="Arial" panose="020B0604020202020204" pitchFamily="34" charset="0"/>
            </a:rPr>
            <a:t> rates </a:t>
          </a:r>
          <a:r>
            <a:rPr lang="en-AU" sz="1200">
              <a:latin typeface="Arial" panose="020B0604020202020204" pitchFamily="34" charset="0"/>
              <a:cs typeface="Arial" panose="020B0604020202020204" pitchFamily="34" charset="0"/>
            </a:rPr>
            <a:t>specified</a:t>
          </a:r>
          <a:r>
            <a:rPr lang="en-AU" sz="1200" baseline="0">
              <a:latin typeface="Arial" panose="020B0604020202020204" pitchFamily="34" charset="0"/>
              <a:cs typeface="Arial" panose="020B0604020202020204" pitchFamily="34" charset="0"/>
            </a:rPr>
            <a:t> for each Category within the Daily Rates Tab. Tenderers are to note Attachment B Section 1 of the revised Deed.</a:t>
          </a:r>
          <a:endParaRPr lang="en-AU" sz="1200" i="1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200"/>
            </a:lnSpc>
          </a:pPr>
          <a:endParaRPr lang="en-AU" sz="1200">
            <a:latin typeface="Arial" panose="020B0604020202020204" pitchFamily="34" charset="0"/>
            <a:cs typeface="Arial" panose="020B0604020202020204" pitchFamily="34" charset="0"/>
          </a:endParaRPr>
        </a:p>
        <a:p>
          <a:pPr>
            <a:lnSpc>
              <a:spcPts val="1200"/>
            </a:lnSpc>
          </a:pPr>
          <a:r>
            <a:rPr lang="en-AU" sz="1200">
              <a:latin typeface="Arial" panose="020B0604020202020204" pitchFamily="34" charset="0"/>
              <a:cs typeface="Arial" panose="020B0604020202020204" pitchFamily="34" charset="0"/>
            </a:rPr>
            <a:t>Tenderers should refer to Annex</a:t>
          </a:r>
          <a:r>
            <a:rPr lang="en-AU" sz="1200" baseline="0">
              <a:latin typeface="Arial" panose="020B0604020202020204" pitchFamily="34" charset="0"/>
              <a:cs typeface="Arial" panose="020B0604020202020204" pitchFamily="34" charset="0"/>
            </a:rPr>
            <a:t> G</a:t>
          </a:r>
          <a:r>
            <a:rPr lang="en-AU" sz="1200">
              <a:latin typeface="Arial" panose="020B0604020202020204" pitchFamily="34" charset="0"/>
              <a:cs typeface="Arial" panose="020B0604020202020204" pitchFamily="34" charset="0"/>
            </a:rPr>
            <a:t> to the Conditions of Tender for further instructions for tendering</a:t>
          </a:r>
          <a:r>
            <a:rPr lang="en-AU" sz="1200" baseline="0">
              <a:latin typeface="Arial" panose="020B0604020202020204" pitchFamily="34" charset="0"/>
              <a:cs typeface="Arial" panose="020B0604020202020204" pitchFamily="34" charset="0"/>
            </a:rPr>
            <a:t> the Daily Rates</a:t>
          </a:r>
          <a:r>
            <a:rPr lang="en-AU" sz="1200">
              <a:latin typeface="Arial" panose="020B0604020202020204" pitchFamily="34" charset="0"/>
              <a:cs typeface="Arial" panose="020B0604020202020204" pitchFamily="34" charset="0"/>
            </a:rPr>
            <a:t>.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25EEC-3FE4-4E9D-AF23-AC16A30C9FDB}">
  <dimension ref="A1:K361"/>
  <sheetViews>
    <sheetView tabSelected="1" workbookViewId="0">
      <selection activeCell="F27" sqref="F27"/>
    </sheetView>
  </sheetViews>
  <sheetFormatPr defaultRowHeight="15" x14ac:dyDescent="0.25"/>
  <cols>
    <col min="1" max="1" width="25" customWidth="1"/>
    <col min="2" max="2" width="34.140625" customWidth="1"/>
    <col min="3" max="3" width="48.28515625" bestFit="1" customWidth="1"/>
    <col min="4" max="4" width="9" customWidth="1"/>
    <col min="5" max="5" width="21.140625" customWidth="1"/>
    <col min="6" max="6" width="26" customWidth="1"/>
    <col min="7" max="7" width="21.85546875" customWidth="1"/>
    <col min="8" max="8" width="2.42578125" style="75" customWidth="1"/>
  </cols>
  <sheetData>
    <row r="1" spans="1:11" s="3" customFormat="1" ht="17.25" customHeight="1" x14ac:dyDescent="0.25">
      <c r="A1" s="78" t="s">
        <v>0</v>
      </c>
      <c r="B1" s="79"/>
      <c r="C1" s="79"/>
      <c r="D1" s="79"/>
      <c r="E1" s="80"/>
      <c r="F1" s="1" t="s">
        <v>1</v>
      </c>
      <c r="G1" s="2"/>
      <c r="H1" s="72"/>
    </row>
    <row r="2" spans="1:11" s="3" customFormat="1" ht="17.25" customHeight="1" x14ac:dyDescent="0.25">
      <c r="A2" s="81" t="s">
        <v>2</v>
      </c>
      <c r="B2" s="84" t="s">
        <v>3</v>
      </c>
      <c r="C2" s="85"/>
      <c r="D2" s="85"/>
      <c r="E2" s="86"/>
      <c r="F2" s="4" t="s">
        <v>4</v>
      </c>
      <c r="G2" s="2"/>
      <c r="H2" s="72"/>
      <c r="I2" s="5"/>
    </row>
    <row r="3" spans="1:11" s="3" customFormat="1" ht="17.25" customHeight="1" x14ac:dyDescent="0.25">
      <c r="A3" s="82"/>
      <c r="B3" s="84" t="s">
        <v>5</v>
      </c>
      <c r="C3" s="85"/>
      <c r="D3" s="85"/>
      <c r="E3" s="86"/>
      <c r="F3" s="4" t="s">
        <v>4</v>
      </c>
      <c r="G3" s="2"/>
      <c r="H3" s="72"/>
    </row>
    <row r="4" spans="1:11" s="3" customFormat="1" ht="17.25" customHeight="1" x14ac:dyDescent="0.25">
      <c r="A4" s="82"/>
      <c r="B4" s="84" t="s">
        <v>6</v>
      </c>
      <c r="C4" s="85"/>
      <c r="D4" s="85"/>
      <c r="E4" s="85"/>
      <c r="F4" s="87"/>
      <c r="G4" s="2"/>
      <c r="H4" s="72"/>
    </row>
    <row r="5" spans="1:11" s="3" customFormat="1" ht="17.25" customHeight="1" x14ac:dyDescent="0.25">
      <c r="A5" s="82"/>
      <c r="B5" s="88" t="s">
        <v>7</v>
      </c>
      <c r="C5" s="89"/>
      <c r="D5" s="89"/>
      <c r="E5" s="90"/>
      <c r="F5" s="4" t="s">
        <v>4</v>
      </c>
      <c r="G5" s="2"/>
      <c r="H5" s="72"/>
    </row>
    <row r="6" spans="1:11" s="3" customFormat="1" ht="17.25" customHeight="1" x14ac:dyDescent="0.25">
      <c r="A6" s="82"/>
      <c r="B6" s="88" t="s">
        <v>8</v>
      </c>
      <c r="C6" s="89"/>
      <c r="D6" s="89"/>
      <c r="E6" s="90"/>
      <c r="F6" s="4" t="s">
        <v>4</v>
      </c>
      <c r="G6" s="2"/>
      <c r="H6" s="72"/>
    </row>
    <row r="7" spans="1:11" s="3" customFormat="1" ht="17.25" customHeight="1" x14ac:dyDescent="0.25">
      <c r="A7" s="82"/>
      <c r="B7" s="88" t="s">
        <v>9</v>
      </c>
      <c r="C7" s="89"/>
      <c r="D7" s="89"/>
      <c r="E7" s="90"/>
      <c r="F7" s="4" t="s">
        <v>4</v>
      </c>
      <c r="G7" s="2"/>
      <c r="H7" s="72"/>
    </row>
    <row r="8" spans="1:11" s="3" customFormat="1" ht="17.25" customHeight="1" x14ac:dyDescent="0.25">
      <c r="A8" s="82"/>
      <c r="B8" s="88" t="s">
        <v>10</v>
      </c>
      <c r="C8" s="89"/>
      <c r="D8" s="89"/>
      <c r="E8" s="90"/>
      <c r="F8" s="4" t="s">
        <v>4</v>
      </c>
      <c r="G8" s="2"/>
      <c r="H8" s="72"/>
    </row>
    <row r="9" spans="1:11" s="3" customFormat="1" ht="17.25" customHeight="1" x14ac:dyDescent="0.25">
      <c r="A9" s="83"/>
      <c r="B9" s="91" t="s">
        <v>11</v>
      </c>
      <c r="C9" s="92"/>
      <c r="D9" s="92"/>
      <c r="E9" s="93"/>
      <c r="F9" s="69" t="s">
        <v>4</v>
      </c>
      <c r="G9" s="2"/>
      <c r="H9" s="72"/>
    </row>
    <row r="10" spans="1:11" s="3" customFormat="1" ht="17.25" customHeight="1" thickBot="1" x14ac:dyDescent="0.3">
      <c r="A10" s="94"/>
      <c r="B10" s="94"/>
      <c r="C10" s="94"/>
      <c r="D10" s="94"/>
      <c r="E10" s="94"/>
      <c r="F10" s="94"/>
      <c r="G10" s="70"/>
      <c r="H10" s="73"/>
      <c r="I10" s="70"/>
      <c r="J10" s="70"/>
      <c r="K10" s="70"/>
    </row>
    <row r="11" spans="1:11" s="3" customFormat="1" ht="17.25" customHeight="1" thickTop="1" thickBot="1" x14ac:dyDescent="0.3">
      <c r="A11" s="65"/>
      <c r="B11" s="65"/>
      <c r="C11" s="65"/>
      <c r="D11" s="65"/>
      <c r="E11" s="101" t="s">
        <v>134</v>
      </c>
      <c r="F11" s="102"/>
      <c r="G11" s="103"/>
      <c r="H11" s="74"/>
    </row>
    <row r="12" spans="1:11" s="3" customFormat="1" ht="46.5" customHeight="1" thickTop="1" thickBot="1" x14ac:dyDescent="0.3">
      <c r="A12" s="65"/>
      <c r="B12" s="65"/>
      <c r="C12" s="65"/>
      <c r="D12" s="65"/>
      <c r="E12" s="66" t="s">
        <v>137</v>
      </c>
      <c r="F12" s="77" t="s">
        <v>136</v>
      </c>
      <c r="G12" s="67" t="s">
        <v>135</v>
      </c>
      <c r="H12" s="74"/>
    </row>
    <row r="13" spans="1:11" s="3" customFormat="1" ht="24" customHeight="1" thickTop="1" thickBot="1" x14ac:dyDescent="0.3">
      <c r="A13" s="95" t="s">
        <v>12</v>
      </c>
      <c r="B13" s="96"/>
      <c r="C13" s="96"/>
      <c r="D13" s="96"/>
      <c r="E13" s="97" t="s">
        <v>139</v>
      </c>
      <c r="F13" s="104" t="s">
        <v>138</v>
      </c>
      <c r="G13" s="105"/>
      <c r="H13" s="74"/>
      <c r="I13" s="76">
        <f>COUNTIF(G15:G361,0%)</f>
        <v>55</v>
      </c>
      <c r="J13" s="71" t="s">
        <v>140</v>
      </c>
    </row>
    <row r="14" spans="1:11" s="3" customFormat="1" ht="24" customHeight="1" thickTop="1" thickBot="1" x14ac:dyDescent="0.3">
      <c r="A14" s="6" t="s">
        <v>13</v>
      </c>
      <c r="B14" s="7" t="s">
        <v>14</v>
      </c>
      <c r="C14" s="7" t="s">
        <v>15</v>
      </c>
      <c r="D14" s="8" t="s">
        <v>16</v>
      </c>
      <c r="E14" s="98"/>
      <c r="F14" s="104"/>
      <c r="G14" s="105"/>
      <c r="H14" s="74"/>
      <c r="I14" s="76">
        <f>COUNTIF(H15:H361,1)</f>
        <v>292</v>
      </c>
      <c r="J14" s="71" t="s">
        <v>141</v>
      </c>
    </row>
    <row r="15" spans="1:11" s="3" customFormat="1" ht="17.25" customHeight="1" thickTop="1" x14ac:dyDescent="0.25">
      <c r="A15" s="9" t="s">
        <v>17</v>
      </c>
      <c r="B15" s="10" t="s">
        <v>18</v>
      </c>
      <c r="C15" s="11" t="s">
        <v>19</v>
      </c>
      <c r="D15" s="12">
        <v>7</v>
      </c>
      <c r="E15" s="13">
        <v>3031.67</v>
      </c>
      <c r="F15" s="14">
        <v>3031.67</v>
      </c>
      <c r="G15" s="68">
        <f>1-(E15/F15)</f>
        <v>0</v>
      </c>
      <c r="H15" s="74">
        <f>IF(E15=F15,0,1)</f>
        <v>0</v>
      </c>
    </row>
    <row r="16" spans="1:11" s="3" customFormat="1" ht="17.25" customHeight="1" x14ac:dyDescent="0.25">
      <c r="A16" s="15"/>
      <c r="B16" s="16"/>
      <c r="C16" s="11" t="s">
        <v>19</v>
      </c>
      <c r="D16" s="17">
        <v>6</v>
      </c>
      <c r="E16" s="13">
        <v>2355.31</v>
      </c>
      <c r="F16" s="14">
        <v>2237.5445</v>
      </c>
      <c r="G16" s="68">
        <f t="shared" ref="G16:G79" si="0">1-(E16/F16)</f>
        <v>-5.2631578947368363E-2</v>
      </c>
      <c r="H16" s="74">
        <f>IF(E16=F16,0,1)</f>
        <v>1</v>
      </c>
    </row>
    <row r="17" spans="1:8" s="3" customFormat="1" ht="17.25" customHeight="1" x14ac:dyDescent="0.25">
      <c r="A17" s="15"/>
      <c r="B17" s="16"/>
      <c r="C17" s="11" t="s">
        <v>19</v>
      </c>
      <c r="D17" s="17">
        <v>5</v>
      </c>
      <c r="E17" s="13">
        <v>2032.09</v>
      </c>
      <c r="F17" s="14">
        <v>1930.4855</v>
      </c>
      <c r="G17" s="68">
        <f t="shared" si="0"/>
        <v>-5.2631578947368363E-2</v>
      </c>
      <c r="H17" s="74">
        <f t="shared" ref="H17:H80" si="1">IF(E17=F17,0,1)</f>
        <v>1</v>
      </c>
    </row>
    <row r="18" spans="1:8" s="3" customFormat="1" ht="17.25" customHeight="1" x14ac:dyDescent="0.25">
      <c r="A18" s="15"/>
      <c r="B18" s="16"/>
      <c r="C18" s="11" t="s">
        <v>20</v>
      </c>
      <c r="D18" s="17">
        <v>7</v>
      </c>
      <c r="E18" s="13">
        <v>3074.9</v>
      </c>
      <c r="F18" s="14">
        <v>3074.9</v>
      </c>
      <c r="G18" s="68">
        <f t="shared" si="0"/>
        <v>0</v>
      </c>
      <c r="H18" s="74">
        <f t="shared" si="1"/>
        <v>0</v>
      </c>
    </row>
    <row r="19" spans="1:8" s="3" customFormat="1" ht="17.25" customHeight="1" x14ac:dyDescent="0.25">
      <c r="A19" s="15"/>
      <c r="B19" s="16"/>
      <c r="C19" s="11" t="s">
        <v>20</v>
      </c>
      <c r="D19" s="17">
        <v>6</v>
      </c>
      <c r="E19" s="13">
        <v>2424.98</v>
      </c>
      <c r="F19" s="14">
        <v>2303.7310000000002</v>
      </c>
      <c r="G19" s="68">
        <f t="shared" si="0"/>
        <v>-5.2631578947368363E-2</v>
      </c>
      <c r="H19" s="74">
        <f t="shared" si="1"/>
        <v>1</v>
      </c>
    </row>
    <row r="20" spans="1:8" s="3" customFormat="1" ht="17.25" customHeight="1" x14ac:dyDescent="0.25">
      <c r="A20" s="15"/>
      <c r="B20" s="16"/>
      <c r="C20" s="11" t="s">
        <v>20</v>
      </c>
      <c r="D20" s="17">
        <v>5</v>
      </c>
      <c r="E20" s="13">
        <v>2105.14</v>
      </c>
      <c r="F20" s="14">
        <v>1999.8829999999998</v>
      </c>
      <c r="G20" s="68">
        <f t="shared" si="0"/>
        <v>-5.2631578947368363E-2</v>
      </c>
      <c r="H20" s="74">
        <f t="shared" si="1"/>
        <v>1</v>
      </c>
    </row>
    <row r="21" spans="1:8" s="3" customFormat="1" ht="17.25" customHeight="1" x14ac:dyDescent="0.25">
      <c r="A21" s="15"/>
      <c r="B21" s="16"/>
      <c r="C21" s="11" t="s">
        <v>21</v>
      </c>
      <c r="D21" s="17">
        <v>7</v>
      </c>
      <c r="E21" s="13">
        <v>3361.41</v>
      </c>
      <c r="F21" s="14">
        <v>3361.41</v>
      </c>
      <c r="G21" s="68">
        <f t="shared" si="0"/>
        <v>0</v>
      </c>
      <c r="H21" s="74">
        <f t="shared" si="1"/>
        <v>0</v>
      </c>
    </row>
    <row r="22" spans="1:8" s="3" customFormat="1" ht="17.25" customHeight="1" x14ac:dyDescent="0.25">
      <c r="A22" s="15"/>
      <c r="B22" s="16"/>
      <c r="C22" s="11" t="s">
        <v>21</v>
      </c>
      <c r="D22" s="17">
        <v>6</v>
      </c>
      <c r="E22" s="13">
        <v>2669.6</v>
      </c>
      <c r="F22" s="14">
        <v>2536.12</v>
      </c>
      <c r="G22" s="68">
        <f t="shared" si="0"/>
        <v>-5.2631578947368363E-2</v>
      </c>
      <c r="H22" s="74">
        <f t="shared" si="1"/>
        <v>1</v>
      </c>
    </row>
    <row r="23" spans="1:8" s="3" customFormat="1" ht="17.25" customHeight="1" x14ac:dyDescent="0.25">
      <c r="A23" s="15"/>
      <c r="B23" s="16"/>
      <c r="C23" s="11" t="s">
        <v>21</v>
      </c>
      <c r="D23" s="17">
        <v>5</v>
      </c>
      <c r="E23" s="13">
        <v>2208.21</v>
      </c>
      <c r="F23" s="14">
        <v>2097.7995000000001</v>
      </c>
      <c r="G23" s="68">
        <f t="shared" si="0"/>
        <v>-5.2631578947368363E-2</v>
      </c>
      <c r="H23" s="74">
        <f t="shared" si="1"/>
        <v>1</v>
      </c>
    </row>
    <row r="24" spans="1:8" s="3" customFormat="1" ht="17.25" customHeight="1" x14ac:dyDescent="0.25">
      <c r="A24" s="15"/>
      <c r="B24" s="16"/>
      <c r="C24" s="11" t="s">
        <v>21</v>
      </c>
      <c r="D24" s="17">
        <v>4</v>
      </c>
      <c r="E24" s="13">
        <v>1837.41</v>
      </c>
      <c r="F24" s="14">
        <v>1745.5395000000001</v>
      </c>
      <c r="G24" s="68">
        <f t="shared" si="0"/>
        <v>-5.2631578947368363E-2</v>
      </c>
      <c r="H24" s="74">
        <f t="shared" si="1"/>
        <v>1</v>
      </c>
    </row>
    <row r="25" spans="1:8" s="3" customFormat="1" ht="17.25" customHeight="1" x14ac:dyDescent="0.25">
      <c r="A25" s="15"/>
      <c r="B25" s="16"/>
      <c r="C25" s="11" t="s">
        <v>22</v>
      </c>
      <c r="D25" s="17">
        <v>7</v>
      </c>
      <c r="E25" s="13">
        <v>2835.12</v>
      </c>
      <c r="F25" s="14">
        <v>2835.12</v>
      </c>
      <c r="G25" s="68">
        <f t="shared" si="0"/>
        <v>0</v>
      </c>
      <c r="H25" s="74">
        <f t="shared" si="1"/>
        <v>0</v>
      </c>
    </row>
    <row r="26" spans="1:8" s="3" customFormat="1" ht="17.25" customHeight="1" x14ac:dyDescent="0.25">
      <c r="A26" s="15"/>
      <c r="B26" s="16"/>
      <c r="C26" s="11" t="s">
        <v>22</v>
      </c>
      <c r="D26" s="17">
        <v>6</v>
      </c>
      <c r="E26" s="13">
        <v>2394.87</v>
      </c>
      <c r="F26" s="14">
        <v>2275.1264999999999</v>
      </c>
      <c r="G26" s="68">
        <f t="shared" si="0"/>
        <v>-5.2631578947368363E-2</v>
      </c>
      <c r="H26" s="74">
        <f t="shared" si="1"/>
        <v>1</v>
      </c>
    </row>
    <row r="27" spans="1:8" s="3" customFormat="1" ht="17.25" customHeight="1" x14ac:dyDescent="0.25">
      <c r="A27" s="15"/>
      <c r="B27" s="16"/>
      <c r="C27" s="11" t="s">
        <v>23</v>
      </c>
      <c r="D27" s="17">
        <v>7</v>
      </c>
      <c r="E27" s="13">
        <v>3044.5</v>
      </c>
      <c r="F27" s="14">
        <v>2892.28</v>
      </c>
      <c r="G27" s="68">
        <f t="shared" si="0"/>
        <v>-5.2629759221098915E-2</v>
      </c>
      <c r="H27" s="74">
        <f t="shared" si="1"/>
        <v>1</v>
      </c>
    </row>
    <row r="28" spans="1:8" s="3" customFormat="1" ht="17.25" customHeight="1" x14ac:dyDescent="0.25">
      <c r="A28" s="15"/>
      <c r="B28" s="16"/>
      <c r="C28" s="11" t="s">
        <v>23</v>
      </c>
      <c r="D28" s="17">
        <v>6</v>
      </c>
      <c r="E28" s="13">
        <v>2573.5100000000002</v>
      </c>
      <c r="F28" s="14">
        <v>2573.5100000000002</v>
      </c>
      <c r="G28" s="68">
        <f t="shared" si="0"/>
        <v>0</v>
      </c>
      <c r="H28" s="74">
        <f t="shared" si="1"/>
        <v>0</v>
      </c>
    </row>
    <row r="29" spans="1:8" s="3" customFormat="1" ht="17.25" customHeight="1" x14ac:dyDescent="0.25">
      <c r="A29" s="15"/>
      <c r="B29" s="16"/>
      <c r="C29" s="11" t="s">
        <v>23</v>
      </c>
      <c r="D29" s="17">
        <v>5</v>
      </c>
      <c r="E29" s="13">
        <v>1987.39</v>
      </c>
      <c r="F29" s="14">
        <v>1888.0205000000001</v>
      </c>
      <c r="G29" s="68">
        <f t="shared" si="0"/>
        <v>-5.2631578947368363E-2</v>
      </c>
      <c r="H29" s="74">
        <f t="shared" si="1"/>
        <v>1</v>
      </c>
    </row>
    <row r="30" spans="1:8" s="3" customFormat="1" ht="17.25" customHeight="1" x14ac:dyDescent="0.25">
      <c r="A30" s="15"/>
      <c r="B30" s="16"/>
      <c r="C30" s="11" t="s">
        <v>23</v>
      </c>
      <c r="D30" s="17">
        <v>4</v>
      </c>
      <c r="E30" s="13">
        <v>1618.86</v>
      </c>
      <c r="F30" s="14">
        <v>1537.9169999999999</v>
      </c>
      <c r="G30" s="68">
        <f t="shared" si="0"/>
        <v>-5.2631578947368363E-2</v>
      </c>
      <c r="H30" s="74">
        <f t="shared" si="1"/>
        <v>1</v>
      </c>
    </row>
    <row r="31" spans="1:8" s="3" customFormat="1" ht="17.25" customHeight="1" x14ac:dyDescent="0.25">
      <c r="A31" s="15"/>
      <c r="B31" s="16"/>
      <c r="C31" s="11" t="s">
        <v>23</v>
      </c>
      <c r="D31" s="17">
        <v>3</v>
      </c>
      <c r="E31" s="13">
        <v>1287.67</v>
      </c>
      <c r="F31" s="14">
        <v>1287.67</v>
      </c>
      <c r="G31" s="68">
        <f t="shared" si="0"/>
        <v>0</v>
      </c>
      <c r="H31" s="74">
        <f t="shared" si="1"/>
        <v>0</v>
      </c>
    </row>
    <row r="32" spans="1:8" s="3" customFormat="1" ht="17.25" customHeight="1" x14ac:dyDescent="0.25">
      <c r="A32" s="15"/>
      <c r="B32" s="16"/>
      <c r="C32" s="11" t="s">
        <v>24</v>
      </c>
      <c r="D32" s="17">
        <v>7</v>
      </c>
      <c r="E32" s="13">
        <v>2461.5700000000002</v>
      </c>
      <c r="F32" s="14">
        <v>2461.5700000000002</v>
      </c>
      <c r="G32" s="68">
        <f t="shared" si="0"/>
        <v>0</v>
      </c>
      <c r="H32" s="74">
        <f t="shared" si="1"/>
        <v>0</v>
      </c>
    </row>
    <row r="33" spans="1:8" s="3" customFormat="1" ht="17.25" customHeight="1" x14ac:dyDescent="0.25">
      <c r="A33" s="15"/>
      <c r="B33" s="16"/>
      <c r="C33" s="11" t="s">
        <v>24</v>
      </c>
      <c r="D33" s="17">
        <v>6</v>
      </c>
      <c r="E33" s="13">
        <v>2021.88</v>
      </c>
      <c r="F33" s="14">
        <v>1920.7860000000001</v>
      </c>
      <c r="G33" s="68">
        <f t="shared" si="0"/>
        <v>-5.2631578947368363E-2</v>
      </c>
      <c r="H33" s="74">
        <f t="shared" si="1"/>
        <v>1</v>
      </c>
    </row>
    <row r="34" spans="1:8" s="3" customFormat="1" ht="17.25" customHeight="1" x14ac:dyDescent="0.25">
      <c r="A34" s="15"/>
      <c r="B34" s="16"/>
      <c r="C34" s="11" t="s">
        <v>24</v>
      </c>
      <c r="D34" s="17">
        <v>5</v>
      </c>
      <c r="E34" s="13">
        <v>1676.45</v>
      </c>
      <c r="F34" s="14">
        <v>1676.45</v>
      </c>
      <c r="G34" s="68">
        <f t="shared" si="0"/>
        <v>0</v>
      </c>
      <c r="H34" s="74">
        <f t="shared" si="1"/>
        <v>0</v>
      </c>
    </row>
    <row r="35" spans="1:8" s="3" customFormat="1" ht="17.25" customHeight="1" x14ac:dyDescent="0.25">
      <c r="A35" s="15"/>
      <c r="B35" s="16"/>
      <c r="C35" s="11" t="s">
        <v>25</v>
      </c>
      <c r="D35" s="17">
        <v>7</v>
      </c>
      <c r="E35" s="13">
        <v>2675.8</v>
      </c>
      <c r="F35" s="14">
        <v>2542.0100000000002</v>
      </c>
      <c r="G35" s="68">
        <f t="shared" si="0"/>
        <v>-5.2631578947368363E-2</v>
      </c>
      <c r="H35" s="74">
        <f t="shared" si="1"/>
        <v>1</v>
      </c>
    </row>
    <row r="36" spans="1:8" s="3" customFormat="1" ht="17.25" customHeight="1" x14ac:dyDescent="0.25">
      <c r="A36" s="15"/>
      <c r="B36" s="16"/>
      <c r="C36" s="11" t="s">
        <v>25</v>
      </c>
      <c r="D36" s="17">
        <v>6</v>
      </c>
      <c r="E36" s="13">
        <v>2297.3200000000002</v>
      </c>
      <c r="F36" s="14">
        <v>2182.4540000000002</v>
      </c>
      <c r="G36" s="68">
        <f t="shared" si="0"/>
        <v>-5.2631578947368363E-2</v>
      </c>
      <c r="H36" s="74">
        <f t="shared" si="1"/>
        <v>1</v>
      </c>
    </row>
    <row r="37" spans="1:8" s="3" customFormat="1" ht="17.25" customHeight="1" x14ac:dyDescent="0.25">
      <c r="A37" s="15"/>
      <c r="B37" s="16"/>
      <c r="C37" s="11" t="s">
        <v>25</v>
      </c>
      <c r="D37" s="17">
        <v>5</v>
      </c>
      <c r="E37" s="13">
        <v>1969.51</v>
      </c>
      <c r="F37" s="14">
        <v>1871.0345</v>
      </c>
      <c r="G37" s="68">
        <f t="shared" si="0"/>
        <v>-5.2631578947368363E-2</v>
      </c>
      <c r="H37" s="74">
        <f t="shared" si="1"/>
        <v>1</v>
      </c>
    </row>
    <row r="38" spans="1:8" s="3" customFormat="1" ht="17.25" customHeight="1" x14ac:dyDescent="0.25">
      <c r="A38" s="15"/>
      <c r="B38" s="16"/>
      <c r="C38" s="11" t="s">
        <v>25</v>
      </c>
      <c r="D38" s="17">
        <v>4</v>
      </c>
      <c r="E38" s="13">
        <v>1592.31</v>
      </c>
      <c r="F38" s="14">
        <v>1512.6945000000001</v>
      </c>
      <c r="G38" s="68">
        <f t="shared" si="0"/>
        <v>-5.2631578947368363E-2</v>
      </c>
      <c r="H38" s="74">
        <f t="shared" si="1"/>
        <v>1</v>
      </c>
    </row>
    <row r="39" spans="1:8" s="3" customFormat="1" ht="17.25" customHeight="1" x14ac:dyDescent="0.25">
      <c r="A39" s="15"/>
      <c r="B39" s="16"/>
      <c r="C39" s="11" t="s">
        <v>25</v>
      </c>
      <c r="D39" s="17">
        <v>3</v>
      </c>
      <c r="E39" s="13">
        <v>1302.04</v>
      </c>
      <c r="F39" s="14">
        <v>1236.9379999999999</v>
      </c>
      <c r="G39" s="68">
        <f t="shared" si="0"/>
        <v>-5.2631578947368585E-2</v>
      </c>
      <c r="H39" s="74">
        <f t="shared" si="1"/>
        <v>1</v>
      </c>
    </row>
    <row r="40" spans="1:8" s="3" customFormat="1" ht="17.25" customHeight="1" x14ac:dyDescent="0.25">
      <c r="A40" s="15"/>
      <c r="B40" s="16"/>
      <c r="C40" s="11" t="s">
        <v>26</v>
      </c>
      <c r="D40" s="17">
        <v>5</v>
      </c>
      <c r="E40" s="13">
        <v>1999.17</v>
      </c>
      <c r="F40" s="14">
        <v>1899.2115000000001</v>
      </c>
      <c r="G40" s="68">
        <f t="shared" si="0"/>
        <v>-5.2631578947368363E-2</v>
      </c>
      <c r="H40" s="74">
        <f t="shared" si="1"/>
        <v>1</v>
      </c>
    </row>
    <row r="41" spans="1:8" s="3" customFormat="1" ht="17.25" customHeight="1" x14ac:dyDescent="0.25">
      <c r="A41" s="15"/>
      <c r="B41" s="16"/>
      <c r="C41" s="11" t="s">
        <v>26</v>
      </c>
      <c r="D41" s="17">
        <v>4</v>
      </c>
      <c r="E41" s="13">
        <v>1655.43</v>
      </c>
      <c r="F41" s="14">
        <v>1572.6585</v>
      </c>
      <c r="G41" s="68">
        <f t="shared" si="0"/>
        <v>-5.2631578947368363E-2</v>
      </c>
      <c r="H41" s="74">
        <f t="shared" si="1"/>
        <v>1</v>
      </c>
    </row>
    <row r="42" spans="1:8" s="3" customFormat="1" ht="17.25" customHeight="1" x14ac:dyDescent="0.25">
      <c r="A42" s="15"/>
      <c r="B42" s="16"/>
      <c r="C42" s="11" t="s">
        <v>27</v>
      </c>
      <c r="D42" s="17">
        <v>6</v>
      </c>
      <c r="E42" s="13">
        <v>1861.27</v>
      </c>
      <c r="F42" s="14">
        <v>1861.27</v>
      </c>
      <c r="G42" s="68">
        <f t="shared" si="0"/>
        <v>0</v>
      </c>
      <c r="H42" s="74">
        <f t="shared" si="1"/>
        <v>0</v>
      </c>
    </row>
    <row r="43" spans="1:8" s="3" customFormat="1" ht="17.25" customHeight="1" x14ac:dyDescent="0.25">
      <c r="A43" s="15"/>
      <c r="B43" s="16"/>
      <c r="C43" s="11" t="s">
        <v>27</v>
      </c>
      <c r="D43" s="17">
        <v>5</v>
      </c>
      <c r="E43" s="13">
        <v>1568.57</v>
      </c>
      <c r="F43" s="14">
        <v>1568.57</v>
      </c>
      <c r="G43" s="68">
        <f t="shared" si="0"/>
        <v>0</v>
      </c>
      <c r="H43" s="74">
        <f t="shared" si="1"/>
        <v>0</v>
      </c>
    </row>
    <row r="44" spans="1:8" s="3" customFormat="1" ht="17.25" customHeight="1" x14ac:dyDescent="0.25">
      <c r="A44" s="15"/>
      <c r="B44" s="16"/>
      <c r="C44" s="11" t="s">
        <v>27</v>
      </c>
      <c r="D44" s="17">
        <v>4</v>
      </c>
      <c r="E44" s="13">
        <v>1323.36</v>
      </c>
      <c r="F44" s="14">
        <v>1323.36</v>
      </c>
      <c r="G44" s="68">
        <f t="shared" si="0"/>
        <v>0</v>
      </c>
      <c r="H44" s="74">
        <f t="shared" si="1"/>
        <v>0</v>
      </c>
    </row>
    <row r="45" spans="1:8" s="3" customFormat="1" ht="17.25" customHeight="1" x14ac:dyDescent="0.25">
      <c r="A45" s="15"/>
      <c r="B45" s="16"/>
      <c r="C45" s="11" t="s">
        <v>27</v>
      </c>
      <c r="D45" s="17">
        <v>3</v>
      </c>
      <c r="E45" s="13">
        <v>1137.22</v>
      </c>
      <c r="F45" s="14">
        <v>1080.3589999999999</v>
      </c>
      <c r="G45" s="68">
        <f t="shared" si="0"/>
        <v>-5.2631578947368585E-2</v>
      </c>
      <c r="H45" s="74">
        <f t="shared" si="1"/>
        <v>1</v>
      </c>
    </row>
    <row r="46" spans="1:8" s="3" customFormat="1" ht="17.25" customHeight="1" x14ac:dyDescent="0.25">
      <c r="A46" s="15"/>
      <c r="B46" s="16"/>
      <c r="C46" s="11" t="s">
        <v>27</v>
      </c>
      <c r="D46" s="17">
        <v>2</v>
      </c>
      <c r="E46" s="13">
        <v>977.93</v>
      </c>
      <c r="F46" s="14">
        <v>929.0335</v>
      </c>
      <c r="G46" s="68">
        <f t="shared" si="0"/>
        <v>-5.2631578947368363E-2</v>
      </c>
      <c r="H46" s="74">
        <f t="shared" si="1"/>
        <v>1</v>
      </c>
    </row>
    <row r="47" spans="1:8" s="3" customFormat="1" ht="17.25" customHeight="1" x14ac:dyDescent="0.25">
      <c r="A47" s="15"/>
      <c r="B47" s="18"/>
      <c r="C47" s="11" t="s">
        <v>27</v>
      </c>
      <c r="D47" s="17">
        <v>1</v>
      </c>
      <c r="E47" s="13">
        <v>849.94</v>
      </c>
      <c r="F47" s="14">
        <v>807.4430000000001</v>
      </c>
      <c r="G47" s="68">
        <f t="shared" si="0"/>
        <v>-5.2631578947368363E-2</v>
      </c>
      <c r="H47" s="74">
        <f t="shared" si="1"/>
        <v>1</v>
      </c>
    </row>
    <row r="48" spans="1:8" s="3" customFormat="1" ht="17.25" customHeight="1" x14ac:dyDescent="0.25">
      <c r="A48" s="15"/>
      <c r="B48" s="10" t="s">
        <v>28</v>
      </c>
      <c r="C48" s="11" t="s">
        <v>29</v>
      </c>
      <c r="D48" s="17">
        <v>7</v>
      </c>
      <c r="E48" s="13">
        <v>3074.19</v>
      </c>
      <c r="F48" s="14">
        <v>3074.19</v>
      </c>
      <c r="G48" s="68">
        <f t="shared" si="0"/>
        <v>0</v>
      </c>
      <c r="H48" s="74">
        <f t="shared" si="1"/>
        <v>0</v>
      </c>
    </row>
    <row r="49" spans="1:8" s="3" customFormat="1" ht="17.25" customHeight="1" x14ac:dyDescent="0.25">
      <c r="A49" s="15"/>
      <c r="B49" s="16"/>
      <c r="C49" s="11" t="s">
        <v>29</v>
      </c>
      <c r="D49" s="17">
        <v>6</v>
      </c>
      <c r="E49" s="13">
        <v>2634.24</v>
      </c>
      <c r="F49" s="14">
        <v>2502.5279999999998</v>
      </c>
      <c r="G49" s="68">
        <f t="shared" si="0"/>
        <v>-5.2631578947368363E-2</v>
      </c>
      <c r="H49" s="74">
        <f t="shared" si="1"/>
        <v>1</v>
      </c>
    </row>
    <row r="50" spans="1:8" s="3" customFormat="1" ht="17.25" customHeight="1" x14ac:dyDescent="0.25">
      <c r="A50" s="15"/>
      <c r="B50" s="16"/>
      <c r="C50" s="11" t="s">
        <v>29</v>
      </c>
      <c r="D50" s="17">
        <v>5</v>
      </c>
      <c r="E50" s="13">
        <v>2234.64</v>
      </c>
      <c r="F50" s="14">
        <v>2122.9079999999999</v>
      </c>
      <c r="G50" s="68">
        <f t="shared" si="0"/>
        <v>-5.2631578947368363E-2</v>
      </c>
      <c r="H50" s="74">
        <f t="shared" si="1"/>
        <v>1</v>
      </c>
    </row>
    <row r="51" spans="1:8" s="3" customFormat="1" ht="17.25" customHeight="1" x14ac:dyDescent="0.25">
      <c r="A51" s="15"/>
      <c r="B51" s="16"/>
      <c r="C51" s="11" t="s">
        <v>30</v>
      </c>
      <c r="D51" s="17">
        <v>6</v>
      </c>
      <c r="E51" s="13">
        <v>3079.79</v>
      </c>
      <c r="F51" s="14">
        <v>2925.8004999999998</v>
      </c>
      <c r="G51" s="68">
        <f t="shared" si="0"/>
        <v>-5.2631578947368363E-2</v>
      </c>
      <c r="H51" s="74">
        <f t="shared" si="1"/>
        <v>1</v>
      </c>
    </row>
    <row r="52" spans="1:8" s="3" customFormat="1" ht="17.25" customHeight="1" x14ac:dyDescent="0.25">
      <c r="A52" s="15"/>
      <c r="B52" s="16"/>
      <c r="C52" s="11" t="s">
        <v>30</v>
      </c>
      <c r="D52" s="17">
        <v>5</v>
      </c>
      <c r="E52" s="13">
        <v>2578.64</v>
      </c>
      <c r="F52" s="14">
        <v>2449.7080000000001</v>
      </c>
      <c r="G52" s="68">
        <f t="shared" si="0"/>
        <v>-5.2631578947368363E-2</v>
      </c>
      <c r="H52" s="74">
        <f t="shared" si="1"/>
        <v>1</v>
      </c>
    </row>
    <row r="53" spans="1:8" s="3" customFormat="1" ht="17.25" customHeight="1" x14ac:dyDescent="0.25">
      <c r="A53" s="15"/>
      <c r="B53" s="18"/>
      <c r="C53" s="11" t="s">
        <v>30</v>
      </c>
      <c r="D53" s="17">
        <v>4</v>
      </c>
      <c r="E53" s="13">
        <v>2009.65</v>
      </c>
      <c r="F53" s="14">
        <v>1909.1675</v>
      </c>
      <c r="G53" s="68">
        <f t="shared" si="0"/>
        <v>-5.2631578947368363E-2</v>
      </c>
      <c r="H53" s="74">
        <f t="shared" si="1"/>
        <v>1</v>
      </c>
    </row>
    <row r="54" spans="1:8" s="3" customFormat="1" ht="17.25" customHeight="1" x14ac:dyDescent="0.25">
      <c r="A54" s="15"/>
      <c r="B54" s="10" t="s">
        <v>31</v>
      </c>
      <c r="C54" s="11" t="s">
        <v>32</v>
      </c>
      <c r="D54" s="17">
        <v>6</v>
      </c>
      <c r="E54" s="13">
        <v>2110.38</v>
      </c>
      <c r="F54" s="14">
        <v>2004.8610000000001</v>
      </c>
      <c r="G54" s="68">
        <f t="shared" si="0"/>
        <v>-5.2631578947368363E-2</v>
      </c>
      <c r="H54" s="74">
        <f t="shared" si="1"/>
        <v>1</v>
      </c>
    </row>
    <row r="55" spans="1:8" s="3" customFormat="1" ht="17.25" customHeight="1" x14ac:dyDescent="0.25">
      <c r="A55" s="15"/>
      <c r="B55" s="10" t="s">
        <v>33</v>
      </c>
      <c r="C55" s="11" t="s">
        <v>32</v>
      </c>
      <c r="D55" s="17">
        <v>5</v>
      </c>
      <c r="E55" s="13">
        <v>1835.59</v>
      </c>
      <c r="F55" s="14">
        <v>1835.59</v>
      </c>
      <c r="G55" s="68">
        <f t="shared" si="0"/>
        <v>0</v>
      </c>
      <c r="H55" s="74">
        <f t="shared" si="1"/>
        <v>0</v>
      </c>
    </row>
    <row r="56" spans="1:8" s="3" customFormat="1" ht="17.25" customHeight="1" x14ac:dyDescent="0.25">
      <c r="A56" s="15"/>
      <c r="B56" s="10"/>
      <c r="C56" s="11" t="s">
        <v>32</v>
      </c>
      <c r="D56" s="17">
        <v>4</v>
      </c>
      <c r="E56" s="13">
        <v>1514.59</v>
      </c>
      <c r="F56" s="14">
        <v>1514.59</v>
      </c>
      <c r="G56" s="68">
        <f t="shared" si="0"/>
        <v>0</v>
      </c>
      <c r="H56" s="74">
        <f t="shared" si="1"/>
        <v>0</v>
      </c>
    </row>
    <row r="57" spans="1:8" s="3" customFormat="1" ht="17.25" customHeight="1" x14ac:dyDescent="0.25">
      <c r="A57" s="15"/>
      <c r="B57" s="10"/>
      <c r="C57" s="11" t="s">
        <v>32</v>
      </c>
      <c r="D57" s="17">
        <v>3</v>
      </c>
      <c r="E57" s="13">
        <v>1253.71</v>
      </c>
      <c r="F57" s="14">
        <v>1253.71</v>
      </c>
      <c r="G57" s="68">
        <f t="shared" si="0"/>
        <v>0</v>
      </c>
      <c r="H57" s="74">
        <f t="shared" si="1"/>
        <v>0</v>
      </c>
    </row>
    <row r="58" spans="1:8" s="3" customFormat="1" ht="17.25" customHeight="1" x14ac:dyDescent="0.25">
      <c r="A58" s="15"/>
      <c r="B58" s="10"/>
      <c r="C58" s="11" t="s">
        <v>32</v>
      </c>
      <c r="D58" s="17">
        <v>2</v>
      </c>
      <c r="E58" s="13">
        <v>1041.08</v>
      </c>
      <c r="F58" s="14">
        <v>989.02599999999995</v>
      </c>
      <c r="G58" s="68">
        <f t="shared" si="0"/>
        <v>-5.2631578947368363E-2</v>
      </c>
      <c r="H58" s="74">
        <f t="shared" si="1"/>
        <v>1</v>
      </c>
    </row>
    <row r="59" spans="1:8" s="3" customFormat="1" ht="17.25" customHeight="1" x14ac:dyDescent="0.25">
      <c r="A59" s="15"/>
      <c r="B59" s="19"/>
      <c r="C59" s="11" t="s">
        <v>34</v>
      </c>
      <c r="D59" s="17">
        <v>7</v>
      </c>
      <c r="E59" s="13">
        <v>3089.44</v>
      </c>
      <c r="F59" s="14">
        <v>2934.9679999999998</v>
      </c>
      <c r="G59" s="68">
        <f t="shared" si="0"/>
        <v>-5.2631578947368585E-2</v>
      </c>
      <c r="H59" s="74">
        <f t="shared" si="1"/>
        <v>1</v>
      </c>
    </row>
    <row r="60" spans="1:8" s="3" customFormat="1" ht="17.25" customHeight="1" x14ac:dyDescent="0.25">
      <c r="A60" s="15"/>
      <c r="B60" s="19"/>
      <c r="C60" s="11" t="s">
        <v>34</v>
      </c>
      <c r="D60" s="17">
        <v>6</v>
      </c>
      <c r="E60" s="13">
        <v>2490.84</v>
      </c>
      <c r="F60" s="14">
        <v>2366.2980000000002</v>
      </c>
      <c r="G60" s="68">
        <f t="shared" si="0"/>
        <v>-5.2631578947368363E-2</v>
      </c>
      <c r="H60" s="74">
        <f t="shared" si="1"/>
        <v>1</v>
      </c>
    </row>
    <row r="61" spans="1:8" s="3" customFormat="1" ht="17.25" customHeight="1" x14ac:dyDescent="0.25">
      <c r="A61" s="15"/>
      <c r="B61" s="19"/>
      <c r="C61" s="11" t="s">
        <v>34</v>
      </c>
      <c r="D61" s="17">
        <v>5</v>
      </c>
      <c r="E61" s="13">
        <v>2008.96</v>
      </c>
      <c r="F61" s="14">
        <v>1908.5119999999999</v>
      </c>
      <c r="G61" s="68">
        <f t="shared" si="0"/>
        <v>-5.2631578947368363E-2</v>
      </c>
      <c r="H61" s="74">
        <f t="shared" si="1"/>
        <v>1</v>
      </c>
    </row>
    <row r="62" spans="1:8" s="3" customFormat="1" ht="17.25" customHeight="1" x14ac:dyDescent="0.25">
      <c r="A62" s="15"/>
      <c r="B62" s="19"/>
      <c r="C62" s="11" t="s">
        <v>35</v>
      </c>
      <c r="D62" s="17">
        <v>6</v>
      </c>
      <c r="E62" s="13">
        <v>2281.98</v>
      </c>
      <c r="F62" s="14">
        <v>2167.8809999999999</v>
      </c>
      <c r="G62" s="68">
        <f t="shared" si="0"/>
        <v>-5.2631578947368585E-2</v>
      </c>
      <c r="H62" s="74">
        <f t="shared" si="1"/>
        <v>1</v>
      </c>
    </row>
    <row r="63" spans="1:8" s="3" customFormat="1" ht="17.25" customHeight="1" x14ac:dyDescent="0.25">
      <c r="A63" s="15"/>
      <c r="B63" s="19"/>
      <c r="C63" s="11" t="s">
        <v>35</v>
      </c>
      <c r="D63" s="17">
        <v>5</v>
      </c>
      <c r="E63" s="13">
        <v>1906.25</v>
      </c>
      <c r="F63" s="14">
        <v>1810.9375</v>
      </c>
      <c r="G63" s="68">
        <f t="shared" si="0"/>
        <v>-5.2631578947368363E-2</v>
      </c>
      <c r="H63" s="74">
        <f t="shared" si="1"/>
        <v>1</v>
      </c>
    </row>
    <row r="64" spans="1:8" s="3" customFormat="1" ht="17.25" customHeight="1" x14ac:dyDescent="0.25">
      <c r="A64" s="15"/>
      <c r="B64" s="19"/>
      <c r="C64" s="11" t="s">
        <v>35</v>
      </c>
      <c r="D64" s="17">
        <v>4</v>
      </c>
      <c r="E64" s="13">
        <v>1645.21</v>
      </c>
      <c r="F64" s="14">
        <v>1562.9494999999999</v>
      </c>
      <c r="G64" s="68">
        <f t="shared" si="0"/>
        <v>-5.2631578947368585E-2</v>
      </c>
      <c r="H64" s="74">
        <f t="shared" si="1"/>
        <v>1</v>
      </c>
    </row>
    <row r="65" spans="1:8" s="3" customFormat="1" ht="17.25" customHeight="1" x14ac:dyDescent="0.25">
      <c r="A65" s="15"/>
      <c r="B65" s="19"/>
      <c r="C65" s="11" t="s">
        <v>36</v>
      </c>
      <c r="D65" s="17">
        <v>7</v>
      </c>
      <c r="E65" s="13">
        <v>2914.27</v>
      </c>
      <c r="F65" s="14">
        <v>2768.5565000000001</v>
      </c>
      <c r="G65" s="68">
        <f t="shared" si="0"/>
        <v>-5.2631578947368363E-2</v>
      </c>
      <c r="H65" s="74">
        <f t="shared" si="1"/>
        <v>1</v>
      </c>
    </row>
    <row r="66" spans="1:8" s="3" customFormat="1" ht="17.25" customHeight="1" x14ac:dyDescent="0.25">
      <c r="A66" s="15"/>
      <c r="B66" s="19"/>
      <c r="C66" s="11" t="s">
        <v>36</v>
      </c>
      <c r="D66" s="17">
        <v>6</v>
      </c>
      <c r="E66" s="13">
        <v>3107.19</v>
      </c>
      <c r="F66" s="14">
        <v>2951.8305</v>
      </c>
      <c r="G66" s="68">
        <f t="shared" si="0"/>
        <v>-5.2631578947368363E-2</v>
      </c>
      <c r="H66" s="74">
        <f t="shared" si="1"/>
        <v>1</v>
      </c>
    </row>
    <row r="67" spans="1:8" s="3" customFormat="1" ht="17.25" customHeight="1" x14ac:dyDescent="0.25">
      <c r="A67" s="15"/>
      <c r="B67" s="19"/>
      <c r="C67" s="11" t="s">
        <v>36</v>
      </c>
      <c r="D67" s="17">
        <v>5</v>
      </c>
      <c r="E67" s="13">
        <v>2638.91</v>
      </c>
      <c r="F67" s="14">
        <v>2506.9645</v>
      </c>
      <c r="G67" s="68">
        <f t="shared" si="0"/>
        <v>-5.2631578947368363E-2</v>
      </c>
      <c r="H67" s="74">
        <f t="shared" si="1"/>
        <v>1</v>
      </c>
    </row>
    <row r="68" spans="1:8" s="3" customFormat="1" ht="17.25" customHeight="1" x14ac:dyDescent="0.25">
      <c r="A68" s="15"/>
      <c r="B68" s="19"/>
      <c r="C68" s="11" t="s">
        <v>37</v>
      </c>
      <c r="D68" s="17">
        <v>7</v>
      </c>
      <c r="E68" s="13">
        <v>2539.4299999999998</v>
      </c>
      <c r="F68" s="14">
        <v>2539.4299999999998</v>
      </c>
      <c r="G68" s="68">
        <f t="shared" si="0"/>
        <v>0</v>
      </c>
      <c r="H68" s="74">
        <f t="shared" si="1"/>
        <v>0</v>
      </c>
    </row>
    <row r="69" spans="1:8" s="3" customFormat="1" ht="17.25" customHeight="1" x14ac:dyDescent="0.25">
      <c r="A69" s="15"/>
      <c r="B69" s="19"/>
      <c r="C69" s="11" t="s">
        <v>37</v>
      </c>
      <c r="D69" s="17">
        <v>6</v>
      </c>
      <c r="E69" s="13">
        <v>2041.07</v>
      </c>
      <c r="F69" s="14">
        <v>1939.0165</v>
      </c>
      <c r="G69" s="68">
        <f t="shared" si="0"/>
        <v>-5.2631578947368363E-2</v>
      </c>
      <c r="H69" s="74">
        <f t="shared" si="1"/>
        <v>1</v>
      </c>
    </row>
    <row r="70" spans="1:8" s="3" customFormat="1" ht="17.25" customHeight="1" x14ac:dyDescent="0.25">
      <c r="A70" s="15"/>
      <c r="B70" s="19"/>
      <c r="C70" s="11" t="s">
        <v>37</v>
      </c>
      <c r="D70" s="17">
        <v>5</v>
      </c>
      <c r="E70" s="13">
        <v>1810.09</v>
      </c>
      <c r="F70" s="14">
        <v>1719.5854999999999</v>
      </c>
      <c r="G70" s="68">
        <f t="shared" si="0"/>
        <v>-5.2631578947368363E-2</v>
      </c>
      <c r="H70" s="74">
        <f t="shared" si="1"/>
        <v>1</v>
      </c>
    </row>
    <row r="71" spans="1:8" s="3" customFormat="1" ht="17.25" customHeight="1" x14ac:dyDescent="0.25">
      <c r="A71" s="15"/>
      <c r="B71" s="19"/>
      <c r="C71" s="11" t="s">
        <v>38</v>
      </c>
      <c r="D71" s="17">
        <v>7</v>
      </c>
      <c r="E71" s="13">
        <v>2778.25</v>
      </c>
      <c r="F71" s="14">
        <v>2778.25</v>
      </c>
      <c r="G71" s="68">
        <f t="shared" si="0"/>
        <v>0</v>
      </c>
      <c r="H71" s="74">
        <f t="shared" si="1"/>
        <v>0</v>
      </c>
    </row>
    <row r="72" spans="1:8" s="3" customFormat="1" ht="17.25" customHeight="1" x14ac:dyDescent="0.25">
      <c r="A72" s="15"/>
      <c r="B72" s="19"/>
      <c r="C72" s="11" t="s">
        <v>38</v>
      </c>
      <c r="D72" s="17">
        <v>6</v>
      </c>
      <c r="E72" s="13">
        <v>2353.7399999999998</v>
      </c>
      <c r="F72" s="14">
        <v>2236.0529999999999</v>
      </c>
      <c r="G72" s="68">
        <f t="shared" si="0"/>
        <v>-5.2631578947368363E-2</v>
      </c>
      <c r="H72" s="74">
        <f t="shared" si="1"/>
        <v>1</v>
      </c>
    </row>
    <row r="73" spans="1:8" s="3" customFormat="1" ht="17.25" customHeight="1" x14ac:dyDescent="0.25">
      <c r="A73" s="15"/>
      <c r="B73" s="19"/>
      <c r="C73" s="11" t="s">
        <v>38</v>
      </c>
      <c r="D73" s="17">
        <v>5</v>
      </c>
      <c r="E73" s="13">
        <v>1996.39</v>
      </c>
      <c r="F73" s="14">
        <v>1896.5705</v>
      </c>
      <c r="G73" s="68">
        <f t="shared" si="0"/>
        <v>-5.2631578947368363E-2</v>
      </c>
      <c r="H73" s="74">
        <f t="shared" si="1"/>
        <v>1</v>
      </c>
    </row>
    <row r="74" spans="1:8" s="3" customFormat="1" ht="17.25" customHeight="1" x14ac:dyDescent="0.25">
      <c r="A74" s="15"/>
      <c r="B74" s="19"/>
      <c r="C74" s="11" t="s">
        <v>39</v>
      </c>
      <c r="D74" s="17">
        <v>7</v>
      </c>
      <c r="E74" s="13">
        <v>3004.96</v>
      </c>
      <c r="F74" s="14">
        <v>2854.712</v>
      </c>
      <c r="G74" s="68">
        <f t="shared" si="0"/>
        <v>-5.2631578947368363E-2</v>
      </c>
      <c r="H74" s="74">
        <f t="shared" si="1"/>
        <v>1</v>
      </c>
    </row>
    <row r="75" spans="1:8" s="3" customFormat="1" ht="17.25" customHeight="1" x14ac:dyDescent="0.25">
      <c r="A75" s="15"/>
      <c r="B75" s="19"/>
      <c r="C75" s="11" t="s">
        <v>39</v>
      </c>
      <c r="D75" s="17">
        <v>6</v>
      </c>
      <c r="E75" s="13">
        <v>2543.56</v>
      </c>
      <c r="F75" s="14">
        <v>2416.3820000000001</v>
      </c>
      <c r="G75" s="68">
        <f t="shared" si="0"/>
        <v>-5.2631578947368363E-2</v>
      </c>
      <c r="H75" s="74">
        <f t="shared" si="1"/>
        <v>1</v>
      </c>
    </row>
    <row r="76" spans="1:8" s="3" customFormat="1" ht="17.25" customHeight="1" x14ac:dyDescent="0.25">
      <c r="A76" s="15"/>
      <c r="B76" s="19"/>
      <c r="C76" s="11" t="s">
        <v>39</v>
      </c>
      <c r="D76" s="17">
        <v>5</v>
      </c>
      <c r="E76" s="13">
        <v>1936.85</v>
      </c>
      <c r="F76" s="14">
        <v>1840.0074999999999</v>
      </c>
      <c r="G76" s="68">
        <f t="shared" si="0"/>
        <v>-5.2631578947368363E-2</v>
      </c>
      <c r="H76" s="74">
        <f t="shared" si="1"/>
        <v>1</v>
      </c>
    </row>
    <row r="77" spans="1:8" s="3" customFormat="1" ht="17.25" customHeight="1" x14ac:dyDescent="0.25">
      <c r="A77" s="15"/>
      <c r="B77" s="19"/>
      <c r="C77" s="11" t="s">
        <v>39</v>
      </c>
      <c r="D77" s="17">
        <v>4</v>
      </c>
      <c r="E77" s="13">
        <v>1660.52</v>
      </c>
      <c r="F77" s="14">
        <v>1577.4939999999999</v>
      </c>
      <c r="G77" s="68">
        <f t="shared" si="0"/>
        <v>-5.2631578947368363E-2</v>
      </c>
      <c r="H77" s="74">
        <f t="shared" si="1"/>
        <v>1</v>
      </c>
    </row>
    <row r="78" spans="1:8" s="3" customFormat="1" ht="17.25" customHeight="1" x14ac:dyDescent="0.25">
      <c r="A78" s="15"/>
      <c r="B78" s="19"/>
      <c r="C78" s="11" t="s">
        <v>40</v>
      </c>
      <c r="D78" s="17">
        <v>6</v>
      </c>
      <c r="E78" s="13">
        <v>2554.31</v>
      </c>
      <c r="F78" s="14">
        <v>2426.5945000000002</v>
      </c>
      <c r="G78" s="68">
        <f t="shared" si="0"/>
        <v>-5.2631578947368363E-2</v>
      </c>
      <c r="H78" s="74">
        <f t="shared" si="1"/>
        <v>1</v>
      </c>
    </row>
    <row r="79" spans="1:8" s="3" customFormat="1" ht="17.25" customHeight="1" x14ac:dyDescent="0.25">
      <c r="A79" s="15"/>
      <c r="B79" s="19"/>
      <c r="C79" s="11" t="s">
        <v>40</v>
      </c>
      <c r="D79" s="17">
        <v>5</v>
      </c>
      <c r="E79" s="13">
        <v>1928.26</v>
      </c>
      <c r="F79" s="14">
        <v>1831.847</v>
      </c>
      <c r="G79" s="68">
        <f t="shared" si="0"/>
        <v>-5.2631578947368363E-2</v>
      </c>
      <c r="H79" s="74">
        <f t="shared" si="1"/>
        <v>1</v>
      </c>
    </row>
    <row r="80" spans="1:8" s="3" customFormat="1" ht="17.25" customHeight="1" x14ac:dyDescent="0.25">
      <c r="A80" s="15"/>
      <c r="B80" s="19"/>
      <c r="C80" s="11" t="s">
        <v>40</v>
      </c>
      <c r="D80" s="17">
        <v>4</v>
      </c>
      <c r="E80" s="13">
        <v>1666.68</v>
      </c>
      <c r="F80" s="14">
        <v>1583.346</v>
      </c>
      <c r="G80" s="68">
        <f t="shared" ref="G80:G143" si="2">1-(E80/F80)</f>
        <v>-5.2631578947368363E-2</v>
      </c>
      <c r="H80" s="74">
        <f t="shared" si="1"/>
        <v>1</v>
      </c>
    </row>
    <row r="81" spans="1:8" s="3" customFormat="1" ht="17.25" customHeight="1" x14ac:dyDescent="0.25">
      <c r="A81" s="15"/>
      <c r="B81" s="19"/>
      <c r="C81" s="11" t="s">
        <v>41</v>
      </c>
      <c r="D81" s="17">
        <v>7</v>
      </c>
      <c r="E81" s="13">
        <v>2865.27</v>
      </c>
      <c r="F81" s="14">
        <v>2722.0065</v>
      </c>
      <c r="G81" s="68">
        <f t="shared" si="2"/>
        <v>-5.2631578947368363E-2</v>
      </c>
      <c r="H81" s="74">
        <f t="shared" ref="H81:H144" si="3">IF(E81=F81,0,1)</f>
        <v>1</v>
      </c>
    </row>
    <row r="82" spans="1:8" s="3" customFormat="1" ht="17.25" customHeight="1" x14ac:dyDescent="0.25">
      <c r="A82" s="15"/>
      <c r="B82" s="19"/>
      <c r="C82" s="11" t="s">
        <v>41</v>
      </c>
      <c r="D82" s="17">
        <v>6</v>
      </c>
      <c r="E82" s="13">
        <v>2484.96</v>
      </c>
      <c r="F82" s="14">
        <v>2360.712</v>
      </c>
      <c r="G82" s="68">
        <f t="shared" si="2"/>
        <v>-5.2631578947368363E-2</v>
      </c>
      <c r="H82" s="74">
        <f t="shared" si="3"/>
        <v>1</v>
      </c>
    </row>
    <row r="83" spans="1:8" s="3" customFormat="1" ht="17.25" customHeight="1" x14ac:dyDescent="0.25">
      <c r="A83" s="15"/>
      <c r="B83" s="19"/>
      <c r="C83" s="11" t="s">
        <v>41</v>
      </c>
      <c r="D83" s="17">
        <v>5</v>
      </c>
      <c r="E83" s="13">
        <v>2034.22</v>
      </c>
      <c r="F83" s="14">
        <v>1932.509</v>
      </c>
      <c r="G83" s="68">
        <f t="shared" si="2"/>
        <v>-5.2631578947368363E-2</v>
      </c>
      <c r="H83" s="74">
        <f t="shared" si="3"/>
        <v>1</v>
      </c>
    </row>
    <row r="84" spans="1:8" s="3" customFormat="1" ht="17.25" customHeight="1" x14ac:dyDescent="0.25">
      <c r="A84" s="15"/>
      <c r="B84" s="19"/>
      <c r="C84" s="11" t="s">
        <v>41</v>
      </c>
      <c r="D84" s="17">
        <v>4</v>
      </c>
      <c r="E84" s="13">
        <v>1687.03</v>
      </c>
      <c r="F84" s="14">
        <v>1602.6785</v>
      </c>
      <c r="G84" s="68">
        <f t="shared" si="2"/>
        <v>-5.2631578947368363E-2</v>
      </c>
      <c r="H84" s="74">
        <f t="shared" si="3"/>
        <v>1</v>
      </c>
    </row>
    <row r="85" spans="1:8" s="3" customFormat="1" ht="17.25" customHeight="1" x14ac:dyDescent="0.25">
      <c r="A85" s="15"/>
      <c r="B85" s="19"/>
      <c r="C85" s="11" t="s">
        <v>41</v>
      </c>
      <c r="D85" s="17">
        <v>3</v>
      </c>
      <c r="E85" s="13">
        <v>1289.48</v>
      </c>
      <c r="F85" s="14">
        <v>1225.0060000000001</v>
      </c>
      <c r="G85" s="68">
        <f t="shared" si="2"/>
        <v>-5.2631578947368363E-2</v>
      </c>
      <c r="H85" s="74">
        <f t="shared" si="3"/>
        <v>1</v>
      </c>
    </row>
    <row r="86" spans="1:8" s="3" customFormat="1" ht="17.25" customHeight="1" x14ac:dyDescent="0.25">
      <c r="A86" s="15"/>
      <c r="B86" s="19"/>
      <c r="C86" s="11" t="s">
        <v>41</v>
      </c>
      <c r="D86" s="17">
        <v>2</v>
      </c>
      <c r="E86" s="13">
        <v>1020.78</v>
      </c>
      <c r="F86" s="14">
        <v>969.74099999999999</v>
      </c>
      <c r="G86" s="68">
        <f t="shared" si="2"/>
        <v>-5.2631578947368363E-2</v>
      </c>
      <c r="H86" s="74">
        <f t="shared" si="3"/>
        <v>1</v>
      </c>
    </row>
    <row r="87" spans="1:8" s="3" customFormat="1" ht="17.25" customHeight="1" x14ac:dyDescent="0.25">
      <c r="A87" s="15"/>
      <c r="B87" s="19"/>
      <c r="C87" s="11" t="s">
        <v>42</v>
      </c>
      <c r="D87" s="17">
        <v>6</v>
      </c>
      <c r="E87" s="13">
        <v>2484.96</v>
      </c>
      <c r="F87" s="14">
        <v>2360.712</v>
      </c>
      <c r="G87" s="68">
        <f t="shared" si="2"/>
        <v>-5.2631578947368363E-2</v>
      </c>
      <c r="H87" s="74">
        <f t="shared" si="3"/>
        <v>1</v>
      </c>
    </row>
    <row r="88" spans="1:8" s="3" customFormat="1" ht="17.25" customHeight="1" x14ac:dyDescent="0.25">
      <c r="A88" s="15"/>
      <c r="B88" s="20"/>
      <c r="C88" s="11" t="s">
        <v>42</v>
      </c>
      <c r="D88" s="17">
        <v>5</v>
      </c>
      <c r="E88" s="13">
        <v>2034.22</v>
      </c>
      <c r="F88" s="14">
        <v>1932.509</v>
      </c>
      <c r="G88" s="68">
        <f t="shared" si="2"/>
        <v>-5.2631578947368363E-2</v>
      </c>
      <c r="H88" s="74">
        <f t="shared" si="3"/>
        <v>1</v>
      </c>
    </row>
    <row r="89" spans="1:8" s="3" customFormat="1" ht="17.25" customHeight="1" x14ac:dyDescent="0.25">
      <c r="A89" s="15"/>
      <c r="B89" s="10" t="s">
        <v>43</v>
      </c>
      <c r="C89" s="11" t="s">
        <v>44</v>
      </c>
      <c r="D89" s="17">
        <v>6</v>
      </c>
      <c r="E89" s="13">
        <v>2580.17</v>
      </c>
      <c r="F89" s="14">
        <v>2451.1615000000002</v>
      </c>
      <c r="G89" s="68">
        <f t="shared" si="2"/>
        <v>-5.2631578947368363E-2</v>
      </c>
      <c r="H89" s="74">
        <f t="shared" si="3"/>
        <v>1</v>
      </c>
    </row>
    <row r="90" spans="1:8" s="3" customFormat="1" ht="17.25" customHeight="1" x14ac:dyDescent="0.25">
      <c r="A90" s="15"/>
      <c r="B90" s="21"/>
      <c r="C90" s="11" t="s">
        <v>44</v>
      </c>
      <c r="D90" s="17">
        <v>5</v>
      </c>
      <c r="E90" s="13">
        <v>2090.34</v>
      </c>
      <c r="F90" s="14">
        <v>1985.8230000000001</v>
      </c>
      <c r="G90" s="68">
        <f t="shared" si="2"/>
        <v>-5.2631578947368363E-2</v>
      </c>
      <c r="H90" s="74">
        <f t="shared" si="3"/>
        <v>1</v>
      </c>
    </row>
    <row r="91" spans="1:8" s="3" customFormat="1" ht="17.25" customHeight="1" x14ac:dyDescent="0.25">
      <c r="A91" s="15"/>
      <c r="B91" s="99"/>
      <c r="C91" s="11" t="s">
        <v>44</v>
      </c>
      <c r="D91" s="17">
        <v>4</v>
      </c>
      <c r="E91" s="13">
        <v>1799.75</v>
      </c>
      <c r="F91" s="14">
        <v>1709.7625</v>
      </c>
      <c r="G91" s="68">
        <f t="shared" si="2"/>
        <v>-5.2631578947368363E-2</v>
      </c>
      <c r="H91" s="74">
        <f t="shared" si="3"/>
        <v>1</v>
      </c>
    </row>
    <row r="92" spans="1:8" s="3" customFormat="1" ht="17.25" customHeight="1" x14ac:dyDescent="0.25">
      <c r="A92" s="15"/>
      <c r="B92" s="99"/>
      <c r="C92" s="11" t="s">
        <v>45</v>
      </c>
      <c r="D92" s="17">
        <v>5</v>
      </c>
      <c r="E92" s="13">
        <v>2194.54</v>
      </c>
      <c r="F92" s="14">
        <v>2084.8130000000001</v>
      </c>
      <c r="G92" s="68">
        <f t="shared" si="2"/>
        <v>-5.2631578947368363E-2</v>
      </c>
      <c r="H92" s="74">
        <f t="shared" si="3"/>
        <v>1</v>
      </c>
    </row>
    <row r="93" spans="1:8" s="3" customFormat="1" ht="17.25" customHeight="1" x14ac:dyDescent="0.25">
      <c r="A93" s="15"/>
      <c r="B93" s="99"/>
      <c r="C93" s="11" t="s">
        <v>45</v>
      </c>
      <c r="D93" s="17">
        <v>4</v>
      </c>
      <c r="E93" s="13">
        <v>1713.2</v>
      </c>
      <c r="F93" s="14">
        <v>1627.54</v>
      </c>
      <c r="G93" s="68">
        <f t="shared" si="2"/>
        <v>-5.2631578947368363E-2</v>
      </c>
      <c r="H93" s="74">
        <f t="shared" si="3"/>
        <v>1</v>
      </c>
    </row>
    <row r="94" spans="1:8" s="3" customFormat="1" ht="17.25" customHeight="1" x14ac:dyDescent="0.25">
      <c r="A94" s="15"/>
      <c r="B94" s="99"/>
      <c r="C94" s="11" t="s">
        <v>46</v>
      </c>
      <c r="D94" s="17">
        <v>6</v>
      </c>
      <c r="E94" s="13">
        <v>1977.23</v>
      </c>
      <c r="F94" s="14">
        <v>1878.3685</v>
      </c>
      <c r="G94" s="68">
        <f t="shared" si="2"/>
        <v>-5.2631578947368363E-2</v>
      </c>
      <c r="H94" s="74">
        <f t="shared" si="3"/>
        <v>1</v>
      </c>
    </row>
    <row r="95" spans="1:8" s="3" customFormat="1" ht="17.25" customHeight="1" x14ac:dyDescent="0.25">
      <c r="A95" s="15"/>
      <c r="B95" s="99"/>
      <c r="C95" s="11" t="s">
        <v>46</v>
      </c>
      <c r="D95" s="17">
        <v>5</v>
      </c>
      <c r="E95" s="13">
        <v>1459.84</v>
      </c>
      <c r="F95" s="14">
        <v>1459.84</v>
      </c>
      <c r="G95" s="68">
        <f t="shared" si="2"/>
        <v>0</v>
      </c>
      <c r="H95" s="74">
        <f t="shared" si="3"/>
        <v>0</v>
      </c>
    </row>
    <row r="96" spans="1:8" s="3" customFormat="1" ht="17.25" customHeight="1" x14ac:dyDescent="0.25">
      <c r="A96" s="15"/>
      <c r="B96" s="99"/>
      <c r="C96" s="11" t="s">
        <v>47</v>
      </c>
      <c r="D96" s="17">
        <v>6</v>
      </c>
      <c r="E96" s="13">
        <v>2378.3000000000002</v>
      </c>
      <c r="F96" s="14">
        <v>2378.3000000000002</v>
      </c>
      <c r="G96" s="68">
        <f t="shared" si="2"/>
        <v>0</v>
      </c>
      <c r="H96" s="74">
        <f t="shared" si="3"/>
        <v>0</v>
      </c>
    </row>
    <row r="97" spans="1:8" s="3" customFormat="1" ht="17.25" customHeight="1" x14ac:dyDescent="0.25">
      <c r="A97" s="15"/>
      <c r="B97" s="99"/>
      <c r="C97" s="11" t="s">
        <v>47</v>
      </c>
      <c r="D97" s="17">
        <v>5</v>
      </c>
      <c r="E97" s="13">
        <v>1961.89</v>
      </c>
      <c r="F97" s="14">
        <v>1961.89</v>
      </c>
      <c r="G97" s="68">
        <f t="shared" si="2"/>
        <v>0</v>
      </c>
      <c r="H97" s="74">
        <f t="shared" si="3"/>
        <v>0</v>
      </c>
    </row>
    <row r="98" spans="1:8" s="3" customFormat="1" ht="17.25" customHeight="1" x14ac:dyDescent="0.25">
      <c r="A98" s="15"/>
      <c r="B98" s="99"/>
      <c r="C98" s="11" t="s">
        <v>47</v>
      </c>
      <c r="D98" s="17">
        <v>4</v>
      </c>
      <c r="E98" s="13">
        <v>1655.43</v>
      </c>
      <c r="F98" s="14">
        <v>1572.6585</v>
      </c>
      <c r="G98" s="68">
        <f t="shared" si="2"/>
        <v>-5.2631578947368363E-2</v>
      </c>
      <c r="H98" s="74">
        <f t="shared" si="3"/>
        <v>1</v>
      </c>
    </row>
    <row r="99" spans="1:8" s="3" customFormat="1" ht="17.25" customHeight="1" x14ac:dyDescent="0.25">
      <c r="A99" s="15"/>
      <c r="B99" s="99"/>
      <c r="C99" s="11" t="s">
        <v>48</v>
      </c>
      <c r="D99" s="17">
        <v>6</v>
      </c>
      <c r="E99" s="13">
        <v>2315.35</v>
      </c>
      <c r="F99" s="14">
        <v>2199.5825</v>
      </c>
      <c r="G99" s="68">
        <f t="shared" si="2"/>
        <v>-5.2631578947368363E-2</v>
      </c>
      <c r="H99" s="74">
        <f t="shared" si="3"/>
        <v>1</v>
      </c>
    </row>
    <row r="100" spans="1:8" s="3" customFormat="1" ht="17.25" customHeight="1" x14ac:dyDescent="0.25">
      <c r="A100" s="15"/>
      <c r="B100" s="99"/>
      <c r="C100" s="11" t="s">
        <v>48</v>
      </c>
      <c r="D100" s="17">
        <v>5</v>
      </c>
      <c r="E100" s="13">
        <v>1969.51</v>
      </c>
      <c r="F100" s="14">
        <v>1871.0345</v>
      </c>
      <c r="G100" s="68">
        <f t="shared" si="2"/>
        <v>-5.2631578947368363E-2</v>
      </c>
      <c r="H100" s="74">
        <f t="shared" si="3"/>
        <v>1</v>
      </c>
    </row>
    <row r="101" spans="1:8" s="3" customFormat="1" ht="17.25" customHeight="1" x14ac:dyDescent="0.25">
      <c r="A101" s="15"/>
      <c r="B101" s="99"/>
      <c r="C101" s="11" t="s">
        <v>48</v>
      </c>
      <c r="D101" s="17">
        <v>4</v>
      </c>
      <c r="E101" s="13">
        <v>1592.31</v>
      </c>
      <c r="F101" s="14">
        <v>1592.31</v>
      </c>
      <c r="G101" s="68">
        <f t="shared" si="2"/>
        <v>0</v>
      </c>
      <c r="H101" s="74">
        <f t="shared" si="3"/>
        <v>0</v>
      </c>
    </row>
    <row r="102" spans="1:8" s="3" customFormat="1" ht="17.25" customHeight="1" x14ac:dyDescent="0.25">
      <c r="A102" s="15"/>
      <c r="B102" s="99"/>
      <c r="C102" s="11" t="s">
        <v>48</v>
      </c>
      <c r="D102" s="17">
        <v>3</v>
      </c>
      <c r="E102" s="13">
        <v>1302.04</v>
      </c>
      <c r="F102" s="14">
        <v>1302.04</v>
      </c>
      <c r="G102" s="68">
        <f t="shared" si="2"/>
        <v>0</v>
      </c>
      <c r="H102" s="74">
        <f t="shared" si="3"/>
        <v>0</v>
      </c>
    </row>
    <row r="103" spans="1:8" s="3" customFormat="1" ht="17.25" customHeight="1" x14ac:dyDescent="0.25">
      <c r="A103" s="15"/>
      <c r="B103" s="99"/>
      <c r="C103" s="11" t="s">
        <v>48</v>
      </c>
      <c r="D103" s="17">
        <v>2</v>
      </c>
      <c r="E103" s="13">
        <v>1125.96</v>
      </c>
      <c r="F103" s="14">
        <v>1069.662</v>
      </c>
      <c r="G103" s="68">
        <f t="shared" si="2"/>
        <v>-5.2631578947368363E-2</v>
      </c>
      <c r="H103" s="74">
        <f t="shared" si="3"/>
        <v>1</v>
      </c>
    </row>
    <row r="104" spans="1:8" s="3" customFormat="1" ht="17.25" customHeight="1" x14ac:dyDescent="0.25">
      <c r="A104" s="15"/>
      <c r="B104" s="99"/>
      <c r="C104" s="11" t="s">
        <v>49</v>
      </c>
      <c r="D104" s="17">
        <v>6</v>
      </c>
      <c r="E104" s="13">
        <v>2491.56</v>
      </c>
      <c r="F104" s="14">
        <v>2366.982</v>
      </c>
      <c r="G104" s="68">
        <f t="shared" si="2"/>
        <v>-5.2631578947368363E-2</v>
      </c>
      <c r="H104" s="74">
        <f t="shared" si="3"/>
        <v>1</v>
      </c>
    </row>
    <row r="105" spans="1:8" s="3" customFormat="1" ht="17.25" customHeight="1" x14ac:dyDescent="0.25">
      <c r="A105" s="15"/>
      <c r="B105" s="99"/>
      <c r="C105" s="11" t="s">
        <v>49</v>
      </c>
      <c r="D105" s="17">
        <v>5</v>
      </c>
      <c r="E105" s="13">
        <v>1953.66</v>
      </c>
      <c r="F105" s="14">
        <v>1855.9770000000001</v>
      </c>
      <c r="G105" s="68">
        <f t="shared" si="2"/>
        <v>-5.2631578947368363E-2</v>
      </c>
      <c r="H105" s="74">
        <f t="shared" si="3"/>
        <v>1</v>
      </c>
    </row>
    <row r="106" spans="1:8" s="3" customFormat="1" ht="17.25" customHeight="1" x14ac:dyDescent="0.25">
      <c r="A106" s="15"/>
      <c r="B106" s="99"/>
      <c r="C106" s="11" t="s">
        <v>49</v>
      </c>
      <c r="D106" s="17">
        <v>4</v>
      </c>
      <c r="E106" s="13">
        <v>1546.78</v>
      </c>
      <c r="F106" s="14">
        <v>1469.441</v>
      </c>
      <c r="G106" s="68">
        <f t="shared" si="2"/>
        <v>-5.2631578947368363E-2</v>
      </c>
      <c r="H106" s="74">
        <f t="shared" si="3"/>
        <v>1</v>
      </c>
    </row>
    <row r="107" spans="1:8" s="3" customFormat="1" ht="17.25" customHeight="1" x14ac:dyDescent="0.25">
      <c r="A107" s="22"/>
      <c r="B107" s="100"/>
      <c r="C107" s="11" t="s">
        <v>49</v>
      </c>
      <c r="D107" s="17">
        <v>3</v>
      </c>
      <c r="E107" s="13">
        <v>1256.54</v>
      </c>
      <c r="F107" s="14">
        <v>1193.713</v>
      </c>
      <c r="G107" s="68">
        <f t="shared" si="2"/>
        <v>-5.2631578947368363E-2</v>
      </c>
      <c r="H107" s="74">
        <f t="shared" si="3"/>
        <v>1</v>
      </c>
    </row>
    <row r="108" spans="1:8" s="3" customFormat="1" ht="17.25" customHeight="1" x14ac:dyDescent="0.25">
      <c r="A108" s="23" t="s">
        <v>50</v>
      </c>
      <c r="B108" s="24" t="s">
        <v>51</v>
      </c>
      <c r="C108" s="11" t="s">
        <v>52</v>
      </c>
      <c r="D108" s="25">
        <v>7</v>
      </c>
      <c r="E108" s="13">
        <v>2898.05</v>
      </c>
      <c r="F108" s="26">
        <v>2753.1475</v>
      </c>
      <c r="G108" s="68">
        <f t="shared" si="2"/>
        <v>-5.2631578947368363E-2</v>
      </c>
      <c r="H108" s="74">
        <f t="shared" si="3"/>
        <v>1</v>
      </c>
    </row>
    <row r="109" spans="1:8" s="3" customFormat="1" ht="17.25" customHeight="1" x14ac:dyDescent="0.25">
      <c r="A109" s="23" t="s">
        <v>53</v>
      </c>
      <c r="B109" s="27"/>
      <c r="C109" s="11" t="s">
        <v>52</v>
      </c>
      <c r="D109" s="25">
        <v>6</v>
      </c>
      <c r="E109" s="13">
        <v>2342.65</v>
      </c>
      <c r="F109" s="26">
        <v>2225.5174999999999</v>
      </c>
      <c r="G109" s="68">
        <f t="shared" si="2"/>
        <v>-5.2631578947368585E-2</v>
      </c>
      <c r="H109" s="74">
        <f t="shared" si="3"/>
        <v>1</v>
      </c>
    </row>
    <row r="110" spans="1:8" s="3" customFormat="1" ht="17.25" customHeight="1" x14ac:dyDescent="0.25">
      <c r="A110" s="28"/>
      <c r="B110" s="24"/>
      <c r="C110" s="11" t="s">
        <v>52</v>
      </c>
      <c r="D110" s="25">
        <v>5</v>
      </c>
      <c r="E110" s="13">
        <v>1902.11</v>
      </c>
      <c r="F110" s="26">
        <v>1902.11</v>
      </c>
      <c r="G110" s="68">
        <f t="shared" si="2"/>
        <v>0</v>
      </c>
      <c r="H110" s="74">
        <f t="shared" si="3"/>
        <v>0</v>
      </c>
    </row>
    <row r="111" spans="1:8" s="3" customFormat="1" ht="17.25" customHeight="1" x14ac:dyDescent="0.25">
      <c r="A111" s="28"/>
      <c r="B111" s="24"/>
      <c r="C111" s="11" t="s">
        <v>54</v>
      </c>
      <c r="D111" s="25">
        <v>7</v>
      </c>
      <c r="E111" s="13">
        <v>3148.7</v>
      </c>
      <c r="F111" s="26">
        <v>2991.2649999999999</v>
      </c>
      <c r="G111" s="68">
        <f t="shared" si="2"/>
        <v>-5.2631578947368363E-2</v>
      </c>
      <c r="H111" s="74">
        <f t="shared" si="3"/>
        <v>1</v>
      </c>
    </row>
    <row r="112" spans="1:8" s="3" customFormat="1" ht="17.25" customHeight="1" x14ac:dyDescent="0.25">
      <c r="A112" s="28"/>
      <c r="B112" s="29"/>
      <c r="C112" s="11" t="s">
        <v>54</v>
      </c>
      <c r="D112" s="25">
        <v>6</v>
      </c>
      <c r="E112" s="13">
        <v>2553.83</v>
      </c>
      <c r="F112" s="26">
        <v>2426.1385</v>
      </c>
      <c r="G112" s="68">
        <f t="shared" si="2"/>
        <v>-5.2631578947368363E-2</v>
      </c>
      <c r="H112" s="74">
        <f t="shared" si="3"/>
        <v>1</v>
      </c>
    </row>
    <row r="113" spans="1:8" s="3" customFormat="1" ht="17.25" customHeight="1" x14ac:dyDescent="0.25">
      <c r="A113" s="28"/>
      <c r="B113" s="29"/>
      <c r="C113" s="11" t="s">
        <v>55</v>
      </c>
      <c r="D113" s="25">
        <v>7</v>
      </c>
      <c r="E113" s="13">
        <v>3097.46</v>
      </c>
      <c r="F113" s="26">
        <v>2942.587</v>
      </c>
      <c r="G113" s="68">
        <f t="shared" si="2"/>
        <v>-5.2631578947368363E-2</v>
      </c>
      <c r="H113" s="74">
        <f t="shared" si="3"/>
        <v>1</v>
      </c>
    </row>
    <row r="114" spans="1:8" s="3" customFormat="1" ht="17.25" customHeight="1" x14ac:dyDescent="0.25">
      <c r="A114" s="28"/>
      <c r="B114" s="29"/>
      <c r="C114" s="11" t="s">
        <v>55</v>
      </c>
      <c r="D114" s="25">
        <v>6</v>
      </c>
      <c r="E114" s="13">
        <v>2424.29</v>
      </c>
      <c r="F114" s="26">
        <v>2424.29</v>
      </c>
      <c r="G114" s="68">
        <f t="shared" si="2"/>
        <v>0</v>
      </c>
      <c r="H114" s="74">
        <f t="shared" si="3"/>
        <v>0</v>
      </c>
    </row>
    <row r="115" spans="1:8" s="3" customFormat="1" ht="17.25" customHeight="1" x14ac:dyDescent="0.25">
      <c r="A115" s="28"/>
      <c r="B115" s="29"/>
      <c r="C115" s="11" t="s">
        <v>55</v>
      </c>
      <c r="D115" s="25">
        <v>5</v>
      </c>
      <c r="E115" s="13">
        <v>1907.17</v>
      </c>
      <c r="F115" s="26">
        <v>1907.17</v>
      </c>
      <c r="G115" s="68">
        <f t="shared" si="2"/>
        <v>0</v>
      </c>
      <c r="H115" s="74">
        <f t="shared" si="3"/>
        <v>0</v>
      </c>
    </row>
    <row r="116" spans="1:8" s="3" customFormat="1" ht="17.25" customHeight="1" x14ac:dyDescent="0.25">
      <c r="A116" s="28"/>
      <c r="B116" s="29"/>
      <c r="C116" s="11" t="s">
        <v>55</v>
      </c>
      <c r="D116" s="25">
        <v>4</v>
      </c>
      <c r="E116" s="13">
        <v>1551.14</v>
      </c>
      <c r="F116" s="26">
        <v>1551.14</v>
      </c>
      <c r="G116" s="68">
        <f t="shared" si="2"/>
        <v>0</v>
      </c>
      <c r="H116" s="74">
        <f t="shared" si="3"/>
        <v>0</v>
      </c>
    </row>
    <row r="117" spans="1:8" s="3" customFormat="1" ht="17.25" customHeight="1" x14ac:dyDescent="0.25">
      <c r="A117" s="28"/>
      <c r="B117" s="29"/>
      <c r="C117" s="11" t="s">
        <v>56</v>
      </c>
      <c r="D117" s="25">
        <v>6</v>
      </c>
      <c r="E117" s="13">
        <v>2060.88</v>
      </c>
      <c r="F117" s="26">
        <v>2060.88</v>
      </c>
      <c r="G117" s="68">
        <f t="shared" si="2"/>
        <v>0</v>
      </c>
      <c r="H117" s="74">
        <f t="shared" si="3"/>
        <v>0</v>
      </c>
    </row>
    <row r="118" spans="1:8" s="3" customFormat="1" ht="17.25" customHeight="1" x14ac:dyDescent="0.25">
      <c r="A118" s="28"/>
      <c r="B118" s="29"/>
      <c r="C118" s="11" t="s">
        <v>56</v>
      </c>
      <c r="D118" s="25">
        <v>5</v>
      </c>
      <c r="E118" s="13">
        <v>1798.38</v>
      </c>
      <c r="F118" s="26">
        <v>1798.38</v>
      </c>
      <c r="G118" s="68">
        <f t="shared" si="2"/>
        <v>0</v>
      </c>
      <c r="H118" s="74">
        <f t="shared" si="3"/>
        <v>0</v>
      </c>
    </row>
    <row r="119" spans="1:8" s="3" customFormat="1" ht="17.25" customHeight="1" x14ac:dyDescent="0.25">
      <c r="A119" s="28"/>
      <c r="B119" s="29"/>
      <c r="C119" s="11" t="s">
        <v>56</v>
      </c>
      <c r="D119" s="25">
        <v>4</v>
      </c>
      <c r="E119" s="13">
        <v>1310.93</v>
      </c>
      <c r="F119" s="26">
        <v>1310.93</v>
      </c>
      <c r="G119" s="68">
        <f t="shared" si="2"/>
        <v>0</v>
      </c>
      <c r="H119" s="74">
        <f t="shared" si="3"/>
        <v>0</v>
      </c>
    </row>
    <row r="120" spans="1:8" s="3" customFormat="1" ht="17.25" customHeight="1" x14ac:dyDescent="0.25">
      <c r="A120" s="28"/>
      <c r="B120" s="29"/>
      <c r="C120" s="11" t="s">
        <v>56</v>
      </c>
      <c r="D120" s="25">
        <v>3</v>
      </c>
      <c r="E120" s="13">
        <v>1057.1400000000001</v>
      </c>
      <c r="F120" s="26">
        <v>1057.1400000000001</v>
      </c>
      <c r="G120" s="68">
        <f t="shared" si="2"/>
        <v>0</v>
      </c>
      <c r="H120" s="74">
        <f t="shared" si="3"/>
        <v>0</v>
      </c>
    </row>
    <row r="121" spans="1:8" s="3" customFormat="1" ht="17.25" customHeight="1" x14ac:dyDescent="0.25">
      <c r="A121" s="28"/>
      <c r="B121" s="30"/>
      <c r="C121" s="11" t="s">
        <v>56</v>
      </c>
      <c r="D121" s="25">
        <v>2</v>
      </c>
      <c r="E121" s="13">
        <v>784.82</v>
      </c>
      <c r="F121" s="26">
        <v>784.82</v>
      </c>
      <c r="G121" s="68">
        <f t="shared" si="2"/>
        <v>0</v>
      </c>
      <c r="H121" s="74">
        <f t="shared" si="3"/>
        <v>0</v>
      </c>
    </row>
    <row r="122" spans="1:8" s="3" customFormat="1" ht="17.25" customHeight="1" x14ac:dyDescent="0.25">
      <c r="A122" s="28"/>
      <c r="B122" s="24" t="s">
        <v>57</v>
      </c>
      <c r="C122" s="11" t="s">
        <v>58</v>
      </c>
      <c r="D122" s="31">
        <v>6</v>
      </c>
      <c r="E122" s="13">
        <v>2143.75</v>
      </c>
      <c r="F122" s="26">
        <v>2143.75</v>
      </c>
      <c r="G122" s="68">
        <f t="shared" si="2"/>
        <v>0</v>
      </c>
      <c r="H122" s="74">
        <f t="shared" si="3"/>
        <v>0</v>
      </c>
    </row>
    <row r="123" spans="1:8" s="3" customFormat="1" ht="17.25" customHeight="1" x14ac:dyDescent="0.25">
      <c r="A123" s="28"/>
      <c r="B123" s="32"/>
      <c r="C123" s="11" t="s">
        <v>58</v>
      </c>
      <c r="D123" s="31">
        <v>5</v>
      </c>
      <c r="E123" s="13">
        <v>1746.46</v>
      </c>
      <c r="F123" s="26">
        <v>1746.46</v>
      </c>
      <c r="G123" s="68">
        <f t="shared" si="2"/>
        <v>0</v>
      </c>
      <c r="H123" s="74">
        <f t="shared" si="3"/>
        <v>0</v>
      </c>
    </row>
    <row r="124" spans="1:8" s="3" customFormat="1" ht="17.25" customHeight="1" x14ac:dyDescent="0.25">
      <c r="A124" s="28"/>
      <c r="B124" s="32"/>
      <c r="C124" s="11" t="s">
        <v>58</v>
      </c>
      <c r="D124" s="31">
        <v>4</v>
      </c>
      <c r="E124" s="13">
        <v>1423.76</v>
      </c>
      <c r="F124" s="26">
        <v>1352.5719999999999</v>
      </c>
      <c r="G124" s="68">
        <f t="shared" si="2"/>
        <v>-5.2631578947368585E-2</v>
      </c>
      <c r="H124" s="74">
        <f t="shared" si="3"/>
        <v>1</v>
      </c>
    </row>
    <row r="125" spans="1:8" s="3" customFormat="1" ht="17.25" customHeight="1" x14ac:dyDescent="0.25">
      <c r="A125" s="28"/>
      <c r="B125" s="32"/>
      <c r="C125" s="11" t="s">
        <v>58</v>
      </c>
      <c r="D125" s="31">
        <v>3</v>
      </c>
      <c r="E125" s="13">
        <v>1161.45</v>
      </c>
      <c r="F125" s="26">
        <v>1161.45</v>
      </c>
      <c r="G125" s="68">
        <f t="shared" si="2"/>
        <v>0</v>
      </c>
      <c r="H125" s="74">
        <f t="shared" si="3"/>
        <v>0</v>
      </c>
    </row>
    <row r="126" spans="1:8" s="3" customFormat="1" ht="17.25" customHeight="1" x14ac:dyDescent="0.25">
      <c r="A126" s="28"/>
      <c r="B126" s="32"/>
      <c r="C126" s="11" t="s">
        <v>59</v>
      </c>
      <c r="D126" s="31">
        <v>6</v>
      </c>
      <c r="E126" s="13">
        <v>2332.58</v>
      </c>
      <c r="F126" s="26">
        <v>2215.951</v>
      </c>
      <c r="G126" s="68">
        <f t="shared" si="2"/>
        <v>-5.2631578947368363E-2</v>
      </c>
      <c r="H126" s="74">
        <f t="shared" si="3"/>
        <v>1</v>
      </c>
    </row>
    <row r="127" spans="1:8" s="3" customFormat="1" ht="17.25" customHeight="1" x14ac:dyDescent="0.25">
      <c r="A127" s="28"/>
      <c r="B127" s="32"/>
      <c r="C127" s="11" t="s">
        <v>59</v>
      </c>
      <c r="D127" s="31">
        <v>5</v>
      </c>
      <c r="E127" s="13">
        <v>1943.82</v>
      </c>
      <c r="F127" s="26">
        <v>1846.6289999999999</v>
      </c>
      <c r="G127" s="68">
        <f t="shared" si="2"/>
        <v>-5.2631578947368363E-2</v>
      </c>
      <c r="H127" s="74">
        <f t="shared" si="3"/>
        <v>1</v>
      </c>
    </row>
    <row r="128" spans="1:8" s="3" customFormat="1" ht="17.25" customHeight="1" x14ac:dyDescent="0.25">
      <c r="A128" s="28"/>
      <c r="B128" s="32"/>
      <c r="C128" s="11" t="s">
        <v>59</v>
      </c>
      <c r="D128" s="31">
        <v>4</v>
      </c>
      <c r="E128" s="13">
        <v>1619.84</v>
      </c>
      <c r="F128" s="26">
        <v>1538.848</v>
      </c>
      <c r="G128" s="68">
        <f t="shared" si="2"/>
        <v>-5.2631578947368363E-2</v>
      </c>
      <c r="H128" s="74">
        <f t="shared" si="3"/>
        <v>1</v>
      </c>
    </row>
    <row r="129" spans="1:8" s="3" customFormat="1" ht="17.25" customHeight="1" x14ac:dyDescent="0.25">
      <c r="A129" s="28"/>
      <c r="B129" s="32"/>
      <c r="C129" s="11" t="s">
        <v>59</v>
      </c>
      <c r="D129" s="31">
        <v>3</v>
      </c>
      <c r="E129" s="13">
        <v>1349.87</v>
      </c>
      <c r="F129" s="26">
        <v>1349.87</v>
      </c>
      <c r="G129" s="68">
        <f t="shared" si="2"/>
        <v>0</v>
      </c>
      <c r="H129" s="74">
        <f t="shared" si="3"/>
        <v>0</v>
      </c>
    </row>
    <row r="130" spans="1:8" s="3" customFormat="1" ht="17.25" customHeight="1" x14ac:dyDescent="0.25">
      <c r="A130" s="28"/>
      <c r="B130" s="32"/>
      <c r="C130" s="11" t="s">
        <v>59</v>
      </c>
      <c r="D130" s="31">
        <v>2</v>
      </c>
      <c r="E130" s="13">
        <v>1124.9000000000001</v>
      </c>
      <c r="F130" s="26">
        <v>1068.6550000000002</v>
      </c>
      <c r="G130" s="68">
        <f t="shared" si="2"/>
        <v>-5.2631578947368363E-2</v>
      </c>
      <c r="H130" s="74">
        <f t="shared" si="3"/>
        <v>1</v>
      </c>
    </row>
    <row r="131" spans="1:8" s="3" customFormat="1" ht="17.25" customHeight="1" x14ac:dyDescent="0.25">
      <c r="A131" s="28"/>
      <c r="B131" s="32"/>
      <c r="C131" s="11" t="s">
        <v>60</v>
      </c>
      <c r="D131" s="31">
        <v>6</v>
      </c>
      <c r="E131" s="13">
        <v>1810.57</v>
      </c>
      <c r="F131" s="26">
        <v>1810.57</v>
      </c>
      <c r="G131" s="68">
        <f t="shared" si="2"/>
        <v>0</v>
      </c>
      <c r="H131" s="74">
        <f t="shared" si="3"/>
        <v>0</v>
      </c>
    </row>
    <row r="132" spans="1:8" s="3" customFormat="1" ht="17.25" customHeight="1" x14ac:dyDescent="0.25">
      <c r="A132" s="28"/>
      <c r="B132" s="32"/>
      <c r="C132" s="11" t="s">
        <v>60</v>
      </c>
      <c r="D132" s="31">
        <v>5</v>
      </c>
      <c r="E132" s="13">
        <v>1549.95</v>
      </c>
      <c r="F132" s="26">
        <v>1472.4525000000001</v>
      </c>
      <c r="G132" s="68">
        <f t="shared" si="2"/>
        <v>-5.2631578947368363E-2</v>
      </c>
      <c r="H132" s="74">
        <f t="shared" si="3"/>
        <v>1</v>
      </c>
    </row>
    <row r="133" spans="1:8" s="3" customFormat="1" ht="17.25" customHeight="1" x14ac:dyDescent="0.25">
      <c r="A133" s="28"/>
      <c r="B133" s="32"/>
      <c r="C133" s="11" t="s">
        <v>60</v>
      </c>
      <c r="D133" s="31">
        <v>4</v>
      </c>
      <c r="E133" s="13">
        <v>1150.58</v>
      </c>
      <c r="F133" s="26">
        <v>1093.0509999999999</v>
      </c>
      <c r="G133" s="68">
        <f t="shared" si="2"/>
        <v>-5.2631578947368363E-2</v>
      </c>
      <c r="H133" s="74">
        <f t="shared" si="3"/>
        <v>1</v>
      </c>
    </row>
    <row r="134" spans="1:8" s="3" customFormat="1" ht="17.25" customHeight="1" x14ac:dyDescent="0.25">
      <c r="A134" s="28"/>
      <c r="B134" s="32"/>
      <c r="C134" s="11" t="s">
        <v>61</v>
      </c>
      <c r="D134" s="31">
        <v>6</v>
      </c>
      <c r="E134" s="13">
        <v>2391.19</v>
      </c>
      <c r="F134" s="26">
        <v>2271.6305000000002</v>
      </c>
      <c r="G134" s="68">
        <f t="shared" si="2"/>
        <v>-5.2631578947368363E-2</v>
      </c>
      <c r="H134" s="74">
        <f t="shared" si="3"/>
        <v>1</v>
      </c>
    </row>
    <row r="135" spans="1:8" s="3" customFormat="1" ht="17.25" customHeight="1" x14ac:dyDescent="0.25">
      <c r="A135" s="28"/>
      <c r="B135" s="32"/>
      <c r="C135" s="11" t="s">
        <v>61</v>
      </c>
      <c r="D135" s="31">
        <v>5</v>
      </c>
      <c r="E135" s="13">
        <v>1921.21</v>
      </c>
      <c r="F135" s="26">
        <v>1825.1495</v>
      </c>
      <c r="G135" s="68">
        <f t="shared" si="2"/>
        <v>-5.2631578947368363E-2</v>
      </c>
      <c r="H135" s="74">
        <f t="shared" si="3"/>
        <v>1</v>
      </c>
    </row>
    <row r="136" spans="1:8" s="3" customFormat="1" ht="17.25" customHeight="1" x14ac:dyDescent="0.25">
      <c r="A136" s="28"/>
      <c r="B136" s="32"/>
      <c r="C136" s="11" t="s">
        <v>62</v>
      </c>
      <c r="D136" s="31">
        <v>7</v>
      </c>
      <c r="E136" s="13">
        <v>3048.07</v>
      </c>
      <c r="F136" s="26">
        <v>2895.6665000000003</v>
      </c>
      <c r="G136" s="68">
        <f t="shared" si="2"/>
        <v>-5.2631578947368363E-2</v>
      </c>
      <c r="H136" s="74">
        <f t="shared" si="3"/>
        <v>1</v>
      </c>
    </row>
    <row r="137" spans="1:8" s="3" customFormat="1" ht="17.25" customHeight="1" x14ac:dyDescent="0.25">
      <c r="A137" s="28"/>
      <c r="B137" s="32"/>
      <c r="C137" s="11" t="s">
        <v>62</v>
      </c>
      <c r="D137" s="31">
        <v>6</v>
      </c>
      <c r="E137" s="13">
        <v>2118.02</v>
      </c>
      <c r="F137" s="26">
        <v>2012.1189999999999</v>
      </c>
      <c r="G137" s="68">
        <f t="shared" si="2"/>
        <v>-5.2631578947368363E-2</v>
      </c>
      <c r="H137" s="74">
        <f t="shared" si="3"/>
        <v>1</v>
      </c>
    </row>
    <row r="138" spans="1:8" s="3" customFormat="1" ht="17.25" customHeight="1" x14ac:dyDescent="0.25">
      <c r="A138" s="28"/>
      <c r="B138" s="32"/>
      <c r="C138" s="11" t="s">
        <v>62</v>
      </c>
      <c r="D138" s="31">
        <v>5</v>
      </c>
      <c r="E138" s="13">
        <v>1658.47</v>
      </c>
      <c r="F138" s="26">
        <v>1575.5464999999999</v>
      </c>
      <c r="G138" s="68">
        <f t="shared" si="2"/>
        <v>-5.2631578947368585E-2</v>
      </c>
      <c r="H138" s="74">
        <f t="shared" si="3"/>
        <v>1</v>
      </c>
    </row>
    <row r="139" spans="1:8" s="3" customFormat="1" ht="17.25" customHeight="1" x14ac:dyDescent="0.25">
      <c r="A139" s="28"/>
      <c r="B139" s="32"/>
      <c r="C139" s="11" t="s">
        <v>63</v>
      </c>
      <c r="D139" s="31">
        <v>6</v>
      </c>
      <c r="E139" s="13">
        <v>2514.27</v>
      </c>
      <c r="F139" s="26">
        <v>2388.5565000000001</v>
      </c>
      <c r="G139" s="68">
        <f t="shared" si="2"/>
        <v>-5.2631578947368363E-2</v>
      </c>
      <c r="H139" s="74">
        <f t="shared" si="3"/>
        <v>1</v>
      </c>
    </row>
    <row r="140" spans="1:8" s="3" customFormat="1" ht="17.25" customHeight="1" x14ac:dyDescent="0.25">
      <c r="A140" s="28"/>
      <c r="B140" s="32"/>
      <c r="C140" s="11" t="s">
        <v>63</v>
      </c>
      <c r="D140" s="31">
        <v>5</v>
      </c>
      <c r="E140" s="13">
        <v>2210.4899999999998</v>
      </c>
      <c r="F140" s="26">
        <v>2099.9654999999998</v>
      </c>
      <c r="G140" s="68">
        <f t="shared" si="2"/>
        <v>-5.2631578947368363E-2</v>
      </c>
      <c r="H140" s="74">
        <f t="shared" si="3"/>
        <v>1</v>
      </c>
    </row>
    <row r="141" spans="1:8" s="3" customFormat="1" ht="17.25" customHeight="1" x14ac:dyDescent="0.25">
      <c r="A141" s="28"/>
      <c r="B141" s="32"/>
      <c r="C141" s="11" t="s">
        <v>64</v>
      </c>
      <c r="D141" s="31">
        <v>6</v>
      </c>
      <c r="E141" s="13">
        <v>2117.08</v>
      </c>
      <c r="F141" s="26">
        <v>2117.08</v>
      </c>
      <c r="G141" s="68">
        <f t="shared" si="2"/>
        <v>0</v>
      </c>
      <c r="H141" s="74">
        <f t="shared" si="3"/>
        <v>0</v>
      </c>
    </row>
    <row r="142" spans="1:8" s="3" customFormat="1" ht="17.25" customHeight="1" x14ac:dyDescent="0.25">
      <c r="A142" s="28"/>
      <c r="B142" s="32"/>
      <c r="C142" s="11" t="s">
        <v>64</v>
      </c>
      <c r="D142" s="31">
        <v>5</v>
      </c>
      <c r="E142" s="13">
        <v>1693.56</v>
      </c>
      <c r="F142" s="26">
        <v>1693.56</v>
      </c>
      <c r="G142" s="68">
        <f t="shared" si="2"/>
        <v>0</v>
      </c>
      <c r="H142" s="74">
        <f t="shared" si="3"/>
        <v>0</v>
      </c>
    </row>
    <row r="143" spans="1:8" s="3" customFormat="1" ht="17.25" customHeight="1" x14ac:dyDescent="0.25">
      <c r="A143" s="28"/>
      <c r="B143" s="32"/>
      <c r="C143" s="11" t="s">
        <v>64</v>
      </c>
      <c r="D143" s="31">
        <v>4</v>
      </c>
      <c r="E143" s="13">
        <v>1400.35</v>
      </c>
      <c r="F143" s="26">
        <v>1330.3325</v>
      </c>
      <c r="G143" s="68">
        <f t="shared" si="2"/>
        <v>-5.2631578947368363E-2</v>
      </c>
      <c r="H143" s="74">
        <f t="shared" si="3"/>
        <v>1</v>
      </c>
    </row>
    <row r="144" spans="1:8" s="3" customFormat="1" ht="17.25" customHeight="1" x14ac:dyDescent="0.25">
      <c r="A144" s="28"/>
      <c r="B144" s="32"/>
      <c r="C144" s="11" t="s">
        <v>64</v>
      </c>
      <c r="D144" s="31">
        <v>3</v>
      </c>
      <c r="E144" s="13">
        <v>1155.46</v>
      </c>
      <c r="F144" s="26">
        <v>1097.6870000000001</v>
      </c>
      <c r="G144" s="68">
        <f t="shared" ref="G144:G207" si="4">1-(E144/F144)</f>
        <v>-5.2631578947368363E-2</v>
      </c>
      <c r="H144" s="74">
        <f t="shared" si="3"/>
        <v>1</v>
      </c>
    </row>
    <row r="145" spans="1:8" s="3" customFormat="1" ht="17.25" customHeight="1" x14ac:dyDescent="0.25">
      <c r="A145" s="28"/>
      <c r="B145" s="32"/>
      <c r="C145" s="11" t="s">
        <v>64</v>
      </c>
      <c r="D145" s="31">
        <v>2</v>
      </c>
      <c r="E145" s="13">
        <v>956.33</v>
      </c>
      <c r="F145" s="26">
        <v>908.51350000000002</v>
      </c>
      <c r="G145" s="68">
        <f t="shared" si="4"/>
        <v>-5.2631578947368363E-2</v>
      </c>
      <c r="H145" s="74">
        <f t="shared" ref="H145:H208" si="5">IF(E145=F145,0,1)</f>
        <v>1</v>
      </c>
    </row>
    <row r="146" spans="1:8" s="3" customFormat="1" ht="17.25" customHeight="1" x14ac:dyDescent="0.25">
      <c r="A146" s="28"/>
      <c r="B146" s="32"/>
      <c r="C146" s="11" t="s">
        <v>65</v>
      </c>
      <c r="D146" s="31">
        <v>7</v>
      </c>
      <c r="E146" s="13">
        <v>3048.07</v>
      </c>
      <c r="F146" s="26">
        <v>2895.6665000000003</v>
      </c>
      <c r="G146" s="68">
        <f t="shared" si="4"/>
        <v>-5.2631578947368363E-2</v>
      </c>
      <c r="H146" s="74">
        <f t="shared" si="5"/>
        <v>1</v>
      </c>
    </row>
    <row r="147" spans="1:8" s="3" customFormat="1" ht="17.25" customHeight="1" x14ac:dyDescent="0.25">
      <c r="A147" s="28"/>
      <c r="B147" s="32"/>
      <c r="C147" s="11" t="s">
        <v>65</v>
      </c>
      <c r="D147" s="31">
        <v>6</v>
      </c>
      <c r="E147" s="13">
        <v>2203.92</v>
      </c>
      <c r="F147" s="26">
        <v>2093.7240000000002</v>
      </c>
      <c r="G147" s="68">
        <f t="shared" si="4"/>
        <v>-5.2631578947368363E-2</v>
      </c>
      <c r="H147" s="74">
        <f t="shared" si="5"/>
        <v>1</v>
      </c>
    </row>
    <row r="148" spans="1:8" s="3" customFormat="1" ht="17.25" customHeight="1" x14ac:dyDescent="0.25">
      <c r="A148" s="33"/>
      <c r="B148" s="34"/>
      <c r="C148" s="11" t="s">
        <v>65</v>
      </c>
      <c r="D148" s="31">
        <v>5</v>
      </c>
      <c r="E148" s="13">
        <v>1817.71</v>
      </c>
      <c r="F148" s="26">
        <v>1726.8244999999999</v>
      </c>
      <c r="G148" s="68">
        <f t="shared" si="4"/>
        <v>-5.2631578947368585E-2</v>
      </c>
      <c r="H148" s="74">
        <f t="shared" si="5"/>
        <v>1</v>
      </c>
    </row>
    <row r="149" spans="1:8" s="3" customFormat="1" ht="17.25" customHeight="1" x14ac:dyDescent="0.25">
      <c r="A149" s="9" t="s">
        <v>66</v>
      </c>
      <c r="B149" s="10" t="s">
        <v>67</v>
      </c>
      <c r="C149" s="11" t="s">
        <v>68</v>
      </c>
      <c r="D149" s="35">
        <v>7</v>
      </c>
      <c r="E149" s="13">
        <v>2820.3</v>
      </c>
      <c r="F149" s="14">
        <v>2679.2850000000003</v>
      </c>
      <c r="G149" s="68">
        <f t="shared" si="4"/>
        <v>-5.2631578947368363E-2</v>
      </c>
      <c r="H149" s="74">
        <f t="shared" si="5"/>
        <v>1</v>
      </c>
    </row>
    <row r="150" spans="1:8" s="3" customFormat="1" ht="17.25" customHeight="1" x14ac:dyDescent="0.25">
      <c r="A150" s="9" t="s">
        <v>69</v>
      </c>
      <c r="B150" s="36"/>
      <c r="C150" s="11" t="s">
        <v>68</v>
      </c>
      <c r="D150" s="35">
        <v>6</v>
      </c>
      <c r="E150" s="13">
        <v>2206.17</v>
      </c>
      <c r="F150" s="14">
        <v>2095.8615</v>
      </c>
      <c r="G150" s="68">
        <f t="shared" si="4"/>
        <v>-5.2631578947368363E-2</v>
      </c>
      <c r="H150" s="74">
        <f t="shared" si="5"/>
        <v>1</v>
      </c>
    </row>
    <row r="151" spans="1:8" s="3" customFormat="1" ht="17.25" customHeight="1" x14ac:dyDescent="0.25">
      <c r="A151" s="37"/>
      <c r="B151" s="36"/>
      <c r="C151" s="11" t="s">
        <v>68</v>
      </c>
      <c r="D151" s="35">
        <v>5</v>
      </c>
      <c r="E151" s="13">
        <v>1962.56</v>
      </c>
      <c r="F151" s="14">
        <v>1962.56</v>
      </c>
      <c r="G151" s="68">
        <f t="shared" si="4"/>
        <v>0</v>
      </c>
      <c r="H151" s="74">
        <f t="shared" si="5"/>
        <v>0</v>
      </c>
    </row>
    <row r="152" spans="1:8" s="3" customFormat="1" ht="17.25" customHeight="1" x14ac:dyDescent="0.25">
      <c r="A152" s="37"/>
      <c r="B152" s="36"/>
      <c r="C152" s="11" t="s">
        <v>70</v>
      </c>
      <c r="D152" s="35">
        <v>5</v>
      </c>
      <c r="E152" s="13">
        <v>1969.51</v>
      </c>
      <c r="F152" s="14">
        <v>1871.0345</v>
      </c>
      <c r="G152" s="68">
        <f t="shared" si="4"/>
        <v>-5.2631578947368363E-2</v>
      </c>
      <c r="H152" s="74">
        <f t="shared" si="5"/>
        <v>1</v>
      </c>
    </row>
    <row r="153" spans="1:8" s="3" customFormat="1" ht="17.25" customHeight="1" x14ac:dyDescent="0.25">
      <c r="A153" s="37"/>
      <c r="B153" s="36"/>
      <c r="C153" s="11" t="s">
        <v>70</v>
      </c>
      <c r="D153" s="35">
        <v>4</v>
      </c>
      <c r="E153" s="13">
        <v>1592.31</v>
      </c>
      <c r="F153" s="14">
        <v>1512.6945000000001</v>
      </c>
      <c r="G153" s="68">
        <f t="shared" si="4"/>
        <v>-5.2631578947368363E-2</v>
      </c>
      <c r="H153" s="74">
        <f t="shared" si="5"/>
        <v>1</v>
      </c>
    </row>
    <row r="154" spans="1:8" s="3" customFormat="1" ht="17.25" customHeight="1" x14ac:dyDescent="0.25">
      <c r="A154" s="37"/>
      <c r="B154" s="36"/>
      <c r="C154" s="11" t="s">
        <v>70</v>
      </c>
      <c r="D154" s="35">
        <v>3</v>
      </c>
      <c r="E154" s="13">
        <v>1302.04</v>
      </c>
      <c r="F154" s="14">
        <v>1302.04</v>
      </c>
      <c r="G154" s="68">
        <f t="shared" si="4"/>
        <v>0</v>
      </c>
      <c r="H154" s="74">
        <f t="shared" si="5"/>
        <v>0</v>
      </c>
    </row>
    <row r="155" spans="1:8" s="3" customFormat="1" ht="17.25" customHeight="1" x14ac:dyDescent="0.25">
      <c r="A155" s="37"/>
      <c r="B155" s="36"/>
      <c r="C155" s="11" t="s">
        <v>70</v>
      </c>
      <c r="D155" s="38">
        <v>2</v>
      </c>
      <c r="E155" s="13">
        <v>1125.96</v>
      </c>
      <c r="F155" s="14">
        <v>1069.662</v>
      </c>
      <c r="G155" s="68">
        <f t="shared" si="4"/>
        <v>-5.2631578947368363E-2</v>
      </c>
      <c r="H155" s="74">
        <f t="shared" si="5"/>
        <v>1</v>
      </c>
    </row>
    <row r="156" spans="1:8" s="3" customFormat="1" ht="17.25" customHeight="1" x14ac:dyDescent="0.25">
      <c r="A156" s="37"/>
      <c r="B156" s="36"/>
      <c r="C156" s="11" t="s">
        <v>71</v>
      </c>
      <c r="D156" s="35">
        <v>6</v>
      </c>
      <c r="E156" s="13">
        <v>2135.0300000000002</v>
      </c>
      <c r="F156" s="14">
        <v>2135.0300000000002</v>
      </c>
      <c r="G156" s="68">
        <f t="shared" si="4"/>
        <v>0</v>
      </c>
      <c r="H156" s="74">
        <f t="shared" si="5"/>
        <v>0</v>
      </c>
    </row>
    <row r="157" spans="1:8" s="3" customFormat="1" ht="17.25" customHeight="1" x14ac:dyDescent="0.25">
      <c r="A157" s="37"/>
      <c r="B157" s="36"/>
      <c r="C157" s="11" t="s">
        <v>71</v>
      </c>
      <c r="D157" s="35">
        <v>5</v>
      </c>
      <c r="E157" s="13">
        <v>1743.14</v>
      </c>
      <c r="F157" s="14">
        <v>1743.14</v>
      </c>
      <c r="G157" s="68">
        <f t="shared" si="4"/>
        <v>0</v>
      </c>
      <c r="H157" s="74">
        <f t="shared" si="5"/>
        <v>0</v>
      </c>
    </row>
    <row r="158" spans="1:8" s="3" customFormat="1" ht="17.25" customHeight="1" x14ac:dyDescent="0.25">
      <c r="A158" s="37"/>
      <c r="B158" s="36"/>
      <c r="C158" s="11" t="s">
        <v>71</v>
      </c>
      <c r="D158" s="35">
        <v>4</v>
      </c>
      <c r="E158" s="13">
        <v>1337.27</v>
      </c>
      <c r="F158" s="14">
        <v>1270.4065000000001</v>
      </c>
      <c r="G158" s="68">
        <f t="shared" si="4"/>
        <v>-5.2631578947368363E-2</v>
      </c>
      <c r="H158" s="74">
        <f t="shared" si="5"/>
        <v>1</v>
      </c>
    </row>
    <row r="159" spans="1:8" s="3" customFormat="1" ht="17.25" customHeight="1" x14ac:dyDescent="0.25">
      <c r="A159" s="37"/>
      <c r="B159" s="36"/>
      <c r="C159" s="11" t="s">
        <v>72</v>
      </c>
      <c r="D159" s="35">
        <v>6</v>
      </c>
      <c r="E159" s="13">
        <v>1977.23</v>
      </c>
      <c r="F159" s="14">
        <v>1878.3685</v>
      </c>
      <c r="G159" s="68">
        <f t="shared" si="4"/>
        <v>-5.2631578947368363E-2</v>
      </c>
      <c r="H159" s="74">
        <f t="shared" si="5"/>
        <v>1</v>
      </c>
    </row>
    <row r="160" spans="1:8" s="3" customFormat="1" ht="17.25" customHeight="1" x14ac:dyDescent="0.25">
      <c r="A160" s="37"/>
      <c r="B160" s="36"/>
      <c r="C160" s="11" t="s">
        <v>72</v>
      </c>
      <c r="D160" s="35">
        <v>5</v>
      </c>
      <c r="E160" s="13">
        <v>1470.57</v>
      </c>
      <c r="F160" s="14">
        <v>1397.0415</v>
      </c>
      <c r="G160" s="68">
        <f t="shared" si="4"/>
        <v>-5.2631578947368363E-2</v>
      </c>
      <c r="H160" s="74">
        <f t="shared" si="5"/>
        <v>1</v>
      </c>
    </row>
    <row r="161" spans="1:8" s="3" customFormat="1" ht="17.25" customHeight="1" x14ac:dyDescent="0.25">
      <c r="A161" s="37"/>
      <c r="B161" s="36"/>
      <c r="C161" s="11" t="s">
        <v>73</v>
      </c>
      <c r="D161" s="38">
        <v>5</v>
      </c>
      <c r="E161" s="13">
        <v>1849.22</v>
      </c>
      <c r="F161" s="14">
        <v>1756.759</v>
      </c>
      <c r="G161" s="68">
        <f t="shared" si="4"/>
        <v>-5.2631578947368363E-2</v>
      </c>
      <c r="H161" s="74">
        <f t="shared" si="5"/>
        <v>1</v>
      </c>
    </row>
    <row r="162" spans="1:8" s="3" customFormat="1" ht="17.25" customHeight="1" x14ac:dyDescent="0.25">
      <c r="A162" s="37"/>
      <c r="B162" s="36"/>
      <c r="C162" s="11" t="s">
        <v>74</v>
      </c>
      <c r="D162" s="35">
        <v>4</v>
      </c>
      <c r="E162" s="13">
        <v>1425.13</v>
      </c>
      <c r="F162" s="14">
        <v>1353.8735000000001</v>
      </c>
      <c r="G162" s="68">
        <f t="shared" si="4"/>
        <v>-5.2631578947368363E-2</v>
      </c>
      <c r="H162" s="74">
        <f t="shared" si="5"/>
        <v>1</v>
      </c>
    </row>
    <row r="163" spans="1:8" s="3" customFormat="1" ht="17.25" customHeight="1" x14ac:dyDescent="0.25">
      <c r="A163" s="37"/>
      <c r="B163" s="36"/>
      <c r="C163" s="11" t="s">
        <v>74</v>
      </c>
      <c r="D163" s="35">
        <v>3</v>
      </c>
      <c r="E163" s="13">
        <v>1171.68</v>
      </c>
      <c r="F163" s="14">
        <v>1113.096</v>
      </c>
      <c r="G163" s="68">
        <f t="shared" si="4"/>
        <v>-5.2631578947368585E-2</v>
      </c>
      <c r="H163" s="74">
        <f t="shared" si="5"/>
        <v>1</v>
      </c>
    </row>
    <row r="164" spans="1:8" s="3" customFormat="1" ht="17.25" customHeight="1" x14ac:dyDescent="0.25">
      <c r="A164" s="37"/>
      <c r="B164" s="36"/>
      <c r="C164" s="11" t="s">
        <v>75</v>
      </c>
      <c r="D164" s="35">
        <v>6</v>
      </c>
      <c r="E164" s="13">
        <v>2253.79</v>
      </c>
      <c r="F164" s="14">
        <v>2141.1005</v>
      </c>
      <c r="G164" s="68">
        <f t="shared" si="4"/>
        <v>-5.2631578947368363E-2</v>
      </c>
      <c r="H164" s="74">
        <f t="shared" si="5"/>
        <v>1</v>
      </c>
    </row>
    <row r="165" spans="1:8" s="3" customFormat="1" ht="17.25" customHeight="1" x14ac:dyDescent="0.25">
      <c r="A165" s="37"/>
      <c r="B165" s="36"/>
      <c r="C165" s="11" t="s">
        <v>75</v>
      </c>
      <c r="D165" s="35">
        <v>5</v>
      </c>
      <c r="E165" s="13">
        <v>1666.37</v>
      </c>
      <c r="F165" s="14">
        <v>1583.0514999999998</v>
      </c>
      <c r="G165" s="68">
        <f t="shared" si="4"/>
        <v>-5.2631578947368585E-2</v>
      </c>
      <c r="H165" s="74">
        <f t="shared" si="5"/>
        <v>1</v>
      </c>
    </row>
    <row r="166" spans="1:8" s="3" customFormat="1" ht="17.25" customHeight="1" x14ac:dyDescent="0.25">
      <c r="A166" s="37"/>
      <c r="B166" s="36"/>
      <c r="C166" s="11" t="s">
        <v>75</v>
      </c>
      <c r="D166" s="35">
        <v>4</v>
      </c>
      <c r="E166" s="13">
        <v>1313.91</v>
      </c>
      <c r="F166" s="14">
        <v>1313.91</v>
      </c>
      <c r="G166" s="68">
        <f t="shared" si="4"/>
        <v>0</v>
      </c>
      <c r="H166" s="74">
        <f t="shared" si="5"/>
        <v>0</v>
      </c>
    </row>
    <row r="167" spans="1:8" s="3" customFormat="1" ht="17.25" customHeight="1" x14ac:dyDescent="0.25">
      <c r="A167" s="37"/>
      <c r="B167" s="36"/>
      <c r="C167" s="11" t="s">
        <v>75</v>
      </c>
      <c r="D167" s="35">
        <v>3</v>
      </c>
      <c r="E167" s="13">
        <v>1107.43</v>
      </c>
      <c r="F167" s="14">
        <v>1052.0585000000001</v>
      </c>
      <c r="G167" s="68">
        <f t="shared" si="4"/>
        <v>-5.2631578947368363E-2</v>
      </c>
      <c r="H167" s="74">
        <f t="shared" si="5"/>
        <v>1</v>
      </c>
    </row>
    <row r="168" spans="1:8" s="3" customFormat="1" ht="17.25" customHeight="1" x14ac:dyDescent="0.25">
      <c r="A168" s="37"/>
      <c r="B168" s="36"/>
      <c r="C168" s="11" t="s">
        <v>75</v>
      </c>
      <c r="D168" s="35">
        <v>2</v>
      </c>
      <c r="E168" s="13">
        <v>876.79</v>
      </c>
      <c r="F168" s="14">
        <v>832.95049999999992</v>
      </c>
      <c r="G168" s="68">
        <f t="shared" si="4"/>
        <v>-5.2631578947368585E-2</v>
      </c>
      <c r="H168" s="74">
        <f t="shared" si="5"/>
        <v>1</v>
      </c>
    </row>
    <row r="169" spans="1:8" s="3" customFormat="1" ht="17.25" customHeight="1" x14ac:dyDescent="0.25">
      <c r="A169" s="37"/>
      <c r="B169" s="36"/>
      <c r="C169" s="11" t="s">
        <v>76</v>
      </c>
      <c r="D169" s="35">
        <v>6</v>
      </c>
      <c r="E169" s="13">
        <v>2214.13</v>
      </c>
      <c r="F169" s="14">
        <v>2103.4234999999999</v>
      </c>
      <c r="G169" s="68">
        <f t="shared" si="4"/>
        <v>-5.2631578947368585E-2</v>
      </c>
      <c r="H169" s="74">
        <f t="shared" si="5"/>
        <v>1</v>
      </c>
    </row>
    <row r="170" spans="1:8" s="3" customFormat="1" ht="17.25" customHeight="1" x14ac:dyDescent="0.25">
      <c r="A170" s="37"/>
      <c r="B170" s="36"/>
      <c r="C170" s="11" t="s">
        <v>76</v>
      </c>
      <c r="D170" s="35">
        <v>5</v>
      </c>
      <c r="E170" s="13">
        <v>1799.73</v>
      </c>
      <c r="F170" s="14">
        <v>1709.7435</v>
      </c>
      <c r="G170" s="68">
        <f t="shared" si="4"/>
        <v>-5.2631578947368363E-2</v>
      </c>
      <c r="H170" s="74">
        <f t="shared" si="5"/>
        <v>1</v>
      </c>
    </row>
    <row r="171" spans="1:8" s="3" customFormat="1" ht="17.25" customHeight="1" x14ac:dyDescent="0.25">
      <c r="A171" s="37"/>
      <c r="B171" s="36"/>
      <c r="C171" s="11" t="s">
        <v>76</v>
      </c>
      <c r="D171" s="35">
        <v>4</v>
      </c>
      <c r="E171" s="13">
        <v>1486.28</v>
      </c>
      <c r="F171" s="14">
        <v>1411.9659999999999</v>
      </c>
      <c r="G171" s="68">
        <f t="shared" si="4"/>
        <v>-5.2631578947368585E-2</v>
      </c>
      <c r="H171" s="74">
        <f t="shared" si="5"/>
        <v>1</v>
      </c>
    </row>
    <row r="172" spans="1:8" s="3" customFormat="1" ht="17.25" customHeight="1" x14ac:dyDescent="0.25">
      <c r="A172" s="37"/>
      <c r="B172" s="36"/>
      <c r="C172" s="11" t="s">
        <v>76</v>
      </c>
      <c r="D172" s="35">
        <v>3</v>
      </c>
      <c r="E172" s="13">
        <v>1261.55</v>
      </c>
      <c r="F172" s="14">
        <v>1198.4724999999999</v>
      </c>
      <c r="G172" s="68">
        <f t="shared" si="4"/>
        <v>-5.2631578947368585E-2</v>
      </c>
      <c r="H172" s="74">
        <f t="shared" si="5"/>
        <v>1</v>
      </c>
    </row>
    <row r="173" spans="1:8" s="3" customFormat="1" ht="17.25" customHeight="1" x14ac:dyDescent="0.25">
      <c r="A173" s="37"/>
      <c r="B173" s="36"/>
      <c r="C173" s="11" t="s">
        <v>76</v>
      </c>
      <c r="D173" s="35">
        <v>2</v>
      </c>
      <c r="E173" s="13">
        <v>985.94</v>
      </c>
      <c r="F173" s="14">
        <v>936.64300000000003</v>
      </c>
      <c r="G173" s="68">
        <f t="shared" si="4"/>
        <v>-5.2631578947368363E-2</v>
      </c>
      <c r="H173" s="74">
        <f t="shared" si="5"/>
        <v>1</v>
      </c>
    </row>
    <row r="174" spans="1:8" s="3" customFormat="1" ht="17.25" customHeight="1" x14ac:dyDescent="0.25">
      <c r="A174" s="37"/>
      <c r="B174" s="36"/>
      <c r="C174" s="11" t="s">
        <v>77</v>
      </c>
      <c r="D174" s="35">
        <v>6</v>
      </c>
      <c r="E174" s="13">
        <v>2455.29</v>
      </c>
      <c r="F174" s="14">
        <v>2332.5254999999997</v>
      </c>
      <c r="G174" s="68">
        <f t="shared" si="4"/>
        <v>-5.2631578947368585E-2</v>
      </c>
      <c r="H174" s="74">
        <f t="shared" si="5"/>
        <v>1</v>
      </c>
    </row>
    <row r="175" spans="1:8" s="3" customFormat="1" ht="17.25" customHeight="1" x14ac:dyDescent="0.25">
      <c r="A175" s="37"/>
      <c r="B175" s="36"/>
      <c r="C175" s="11" t="s">
        <v>77</v>
      </c>
      <c r="D175" s="35">
        <v>5</v>
      </c>
      <c r="E175" s="13">
        <v>2004.62</v>
      </c>
      <c r="F175" s="14">
        <v>1904.3889999999999</v>
      </c>
      <c r="G175" s="68">
        <f t="shared" si="4"/>
        <v>-5.2631578947368363E-2</v>
      </c>
      <c r="H175" s="74">
        <f t="shared" si="5"/>
        <v>1</v>
      </c>
    </row>
    <row r="176" spans="1:8" s="3" customFormat="1" ht="17.25" customHeight="1" x14ac:dyDescent="0.25">
      <c r="A176" s="37"/>
      <c r="B176" s="36"/>
      <c r="C176" s="11" t="s">
        <v>77</v>
      </c>
      <c r="D176" s="35">
        <v>4</v>
      </c>
      <c r="E176" s="13">
        <v>1537.85</v>
      </c>
      <c r="F176" s="14">
        <v>1460.9575</v>
      </c>
      <c r="G176" s="68">
        <f t="shared" si="4"/>
        <v>-5.2631578947368363E-2</v>
      </c>
      <c r="H176" s="74">
        <f t="shared" si="5"/>
        <v>1</v>
      </c>
    </row>
    <row r="177" spans="1:8" s="3" customFormat="1" ht="17.25" customHeight="1" x14ac:dyDescent="0.25">
      <c r="A177" s="37"/>
      <c r="B177" s="36"/>
      <c r="C177" s="11" t="s">
        <v>77</v>
      </c>
      <c r="D177" s="35">
        <v>3</v>
      </c>
      <c r="E177" s="13">
        <v>1240.54</v>
      </c>
      <c r="F177" s="14">
        <v>1178.5129999999999</v>
      </c>
      <c r="G177" s="68">
        <f t="shared" si="4"/>
        <v>-5.2631578947368363E-2</v>
      </c>
      <c r="H177" s="74">
        <f t="shared" si="5"/>
        <v>1</v>
      </c>
    </row>
    <row r="178" spans="1:8" s="3" customFormat="1" ht="17.25" customHeight="1" x14ac:dyDescent="0.25">
      <c r="A178" s="37"/>
      <c r="B178" s="36"/>
      <c r="C178" s="11" t="s">
        <v>78</v>
      </c>
      <c r="D178" s="35">
        <v>6</v>
      </c>
      <c r="E178" s="13">
        <v>2623.32</v>
      </c>
      <c r="F178" s="14">
        <v>2623.32</v>
      </c>
      <c r="G178" s="68">
        <f t="shared" si="4"/>
        <v>0</v>
      </c>
      <c r="H178" s="74">
        <f t="shared" si="5"/>
        <v>0</v>
      </c>
    </row>
    <row r="179" spans="1:8" s="3" customFormat="1" ht="17.25" customHeight="1" x14ac:dyDescent="0.25">
      <c r="A179" s="37"/>
      <c r="B179" s="36"/>
      <c r="C179" s="11" t="s">
        <v>78</v>
      </c>
      <c r="D179" s="35">
        <v>5</v>
      </c>
      <c r="E179" s="13">
        <v>2188.52</v>
      </c>
      <c r="F179" s="14">
        <v>2079.0940000000001</v>
      </c>
      <c r="G179" s="68">
        <f t="shared" si="4"/>
        <v>-5.2631578947368363E-2</v>
      </c>
      <c r="H179" s="74">
        <f t="shared" si="5"/>
        <v>1</v>
      </c>
    </row>
    <row r="180" spans="1:8" s="3" customFormat="1" ht="17.25" customHeight="1" x14ac:dyDescent="0.25">
      <c r="A180" s="37"/>
      <c r="B180" s="36"/>
      <c r="C180" s="11" t="s">
        <v>78</v>
      </c>
      <c r="D180" s="35">
        <v>4</v>
      </c>
      <c r="E180" s="13">
        <v>1983.35</v>
      </c>
      <c r="F180" s="14">
        <v>1884.1824999999999</v>
      </c>
      <c r="G180" s="68">
        <f t="shared" si="4"/>
        <v>-5.2631578947368363E-2</v>
      </c>
      <c r="H180" s="74">
        <f t="shared" si="5"/>
        <v>1</v>
      </c>
    </row>
    <row r="181" spans="1:8" s="3" customFormat="1" ht="17.25" customHeight="1" x14ac:dyDescent="0.25">
      <c r="A181" s="37"/>
      <c r="B181" s="36"/>
      <c r="C181" s="11" t="s">
        <v>78</v>
      </c>
      <c r="D181" s="35">
        <v>3</v>
      </c>
      <c r="E181" s="13">
        <v>1690.48</v>
      </c>
      <c r="F181" s="14">
        <v>1605.9560000000001</v>
      </c>
      <c r="G181" s="68">
        <f t="shared" si="4"/>
        <v>-5.2631578947368363E-2</v>
      </c>
      <c r="H181" s="74">
        <f t="shared" si="5"/>
        <v>1</v>
      </c>
    </row>
    <row r="182" spans="1:8" s="3" customFormat="1" ht="17.25" customHeight="1" x14ac:dyDescent="0.25">
      <c r="A182" s="37"/>
      <c r="B182" s="36"/>
      <c r="C182" s="11" t="s">
        <v>79</v>
      </c>
      <c r="D182" s="35">
        <v>6</v>
      </c>
      <c r="E182" s="13">
        <v>2214.13</v>
      </c>
      <c r="F182" s="14">
        <v>2103.4234999999999</v>
      </c>
      <c r="G182" s="68">
        <f t="shared" si="4"/>
        <v>-5.2631578947368585E-2</v>
      </c>
      <c r="H182" s="74">
        <f t="shared" si="5"/>
        <v>1</v>
      </c>
    </row>
    <row r="183" spans="1:8" s="3" customFormat="1" ht="17.25" customHeight="1" x14ac:dyDescent="0.25">
      <c r="A183" s="37"/>
      <c r="B183" s="36"/>
      <c r="C183" s="11" t="s">
        <v>79</v>
      </c>
      <c r="D183" s="35">
        <v>5</v>
      </c>
      <c r="E183" s="13">
        <v>1799.73</v>
      </c>
      <c r="F183" s="14">
        <v>1709.7435</v>
      </c>
      <c r="G183" s="68">
        <f t="shared" si="4"/>
        <v>-5.2631578947368363E-2</v>
      </c>
      <c r="H183" s="74">
        <f t="shared" si="5"/>
        <v>1</v>
      </c>
    </row>
    <row r="184" spans="1:8" s="3" customFormat="1" ht="17.25" customHeight="1" x14ac:dyDescent="0.25">
      <c r="A184" s="37"/>
      <c r="B184" s="36"/>
      <c r="C184" s="11" t="s">
        <v>79</v>
      </c>
      <c r="D184" s="39">
        <v>4</v>
      </c>
      <c r="E184" s="13">
        <v>1486.28</v>
      </c>
      <c r="F184" s="14">
        <v>1411.9659999999999</v>
      </c>
      <c r="G184" s="68">
        <f t="shared" si="4"/>
        <v>-5.2631578947368585E-2</v>
      </c>
      <c r="H184" s="74">
        <f t="shared" si="5"/>
        <v>1</v>
      </c>
    </row>
    <row r="185" spans="1:8" s="3" customFormat="1" ht="17.25" customHeight="1" x14ac:dyDescent="0.25">
      <c r="A185" s="37"/>
      <c r="B185" s="36"/>
      <c r="C185" s="11" t="s">
        <v>79</v>
      </c>
      <c r="D185" s="35">
        <v>3</v>
      </c>
      <c r="E185" s="13">
        <v>1261.55</v>
      </c>
      <c r="F185" s="14">
        <v>1198.4724999999999</v>
      </c>
      <c r="G185" s="68">
        <f t="shared" si="4"/>
        <v>-5.2631578947368585E-2</v>
      </c>
      <c r="H185" s="74">
        <f t="shared" si="5"/>
        <v>1</v>
      </c>
    </row>
    <row r="186" spans="1:8" s="3" customFormat="1" ht="17.25" customHeight="1" x14ac:dyDescent="0.25">
      <c r="A186" s="37"/>
      <c r="B186" s="36"/>
      <c r="C186" s="11" t="s">
        <v>79</v>
      </c>
      <c r="D186" s="35">
        <v>2</v>
      </c>
      <c r="E186" s="13">
        <v>985.94</v>
      </c>
      <c r="F186" s="14">
        <v>936.64300000000003</v>
      </c>
      <c r="G186" s="68">
        <f t="shared" si="4"/>
        <v>-5.2631578947368363E-2</v>
      </c>
      <c r="H186" s="74">
        <f t="shared" si="5"/>
        <v>1</v>
      </c>
    </row>
    <row r="187" spans="1:8" s="3" customFormat="1" ht="17.25" customHeight="1" x14ac:dyDescent="0.25">
      <c r="A187" s="37"/>
      <c r="B187" s="36"/>
      <c r="C187" s="11" t="s">
        <v>80</v>
      </c>
      <c r="D187" s="35">
        <v>6</v>
      </c>
      <c r="E187" s="13">
        <v>2096.23</v>
      </c>
      <c r="F187" s="14">
        <v>1991.4185</v>
      </c>
      <c r="G187" s="68">
        <f t="shared" si="4"/>
        <v>-5.2631578947368363E-2</v>
      </c>
      <c r="H187" s="74">
        <f t="shared" si="5"/>
        <v>1</v>
      </c>
    </row>
    <row r="188" spans="1:8" s="3" customFormat="1" ht="17.25" customHeight="1" x14ac:dyDescent="0.25">
      <c r="A188" s="37"/>
      <c r="B188" s="36"/>
      <c r="C188" s="11" t="s">
        <v>80</v>
      </c>
      <c r="D188" s="35">
        <v>5</v>
      </c>
      <c r="E188" s="13">
        <v>1677.41</v>
      </c>
      <c r="F188" s="14">
        <v>1593.5395000000001</v>
      </c>
      <c r="G188" s="68">
        <f t="shared" si="4"/>
        <v>-5.2631578947368363E-2</v>
      </c>
      <c r="H188" s="74">
        <f t="shared" si="5"/>
        <v>1</v>
      </c>
    </row>
    <row r="189" spans="1:8" s="3" customFormat="1" ht="17.25" customHeight="1" x14ac:dyDescent="0.25">
      <c r="A189" s="37"/>
      <c r="B189" s="36"/>
      <c r="C189" s="11" t="s">
        <v>80</v>
      </c>
      <c r="D189" s="35">
        <v>4</v>
      </c>
      <c r="E189" s="13">
        <v>1495.13</v>
      </c>
      <c r="F189" s="14">
        <v>1420.3735000000001</v>
      </c>
      <c r="G189" s="68">
        <f t="shared" si="4"/>
        <v>-5.2631578947368363E-2</v>
      </c>
      <c r="H189" s="74">
        <f t="shared" si="5"/>
        <v>1</v>
      </c>
    </row>
    <row r="190" spans="1:8" s="3" customFormat="1" ht="17.25" customHeight="1" x14ac:dyDescent="0.25">
      <c r="A190" s="37"/>
      <c r="B190" s="36"/>
      <c r="C190" s="11" t="s">
        <v>80</v>
      </c>
      <c r="D190" s="35">
        <v>3</v>
      </c>
      <c r="E190" s="13">
        <v>1338.89</v>
      </c>
      <c r="F190" s="14">
        <v>1271.9455</v>
      </c>
      <c r="G190" s="68">
        <f t="shared" si="4"/>
        <v>-5.2631578947368363E-2</v>
      </c>
      <c r="H190" s="74">
        <f t="shared" si="5"/>
        <v>1</v>
      </c>
    </row>
    <row r="191" spans="1:8" s="3" customFormat="1" ht="17.25" customHeight="1" x14ac:dyDescent="0.25">
      <c r="A191" s="37"/>
      <c r="B191" s="36"/>
      <c r="C191" s="11" t="s">
        <v>80</v>
      </c>
      <c r="D191" s="35">
        <v>2</v>
      </c>
      <c r="E191" s="13">
        <v>1194.5899999999999</v>
      </c>
      <c r="F191" s="14">
        <v>1134.8605</v>
      </c>
      <c r="G191" s="68">
        <f t="shared" si="4"/>
        <v>-5.2631578947368363E-2</v>
      </c>
      <c r="H191" s="74">
        <f t="shared" si="5"/>
        <v>1</v>
      </c>
    </row>
    <row r="192" spans="1:8" s="3" customFormat="1" ht="17.25" customHeight="1" x14ac:dyDescent="0.25">
      <c r="A192" s="37"/>
      <c r="B192" s="36"/>
      <c r="C192" s="11" t="s">
        <v>80</v>
      </c>
      <c r="D192" s="35">
        <v>1</v>
      </c>
      <c r="E192" s="13">
        <v>1033.1300000000001</v>
      </c>
      <c r="F192" s="14">
        <v>981.47350000000006</v>
      </c>
      <c r="G192" s="68">
        <f t="shared" si="4"/>
        <v>-5.2631578947368363E-2</v>
      </c>
      <c r="H192" s="74">
        <f t="shared" si="5"/>
        <v>1</v>
      </c>
    </row>
    <row r="193" spans="1:8" s="3" customFormat="1" ht="17.25" customHeight="1" x14ac:dyDescent="0.25">
      <c r="A193" s="37"/>
      <c r="B193" s="36"/>
      <c r="C193" s="11" t="s">
        <v>81</v>
      </c>
      <c r="D193" s="35">
        <v>6</v>
      </c>
      <c r="E193" s="13">
        <v>1966</v>
      </c>
      <c r="F193" s="14">
        <v>1966</v>
      </c>
      <c r="G193" s="68">
        <f t="shared" si="4"/>
        <v>0</v>
      </c>
      <c r="H193" s="74">
        <f t="shared" si="5"/>
        <v>0</v>
      </c>
    </row>
    <row r="194" spans="1:8" s="3" customFormat="1" ht="17.25" customHeight="1" x14ac:dyDescent="0.25">
      <c r="A194" s="37"/>
      <c r="B194" s="36"/>
      <c r="C194" s="11" t="s">
        <v>81</v>
      </c>
      <c r="D194" s="35">
        <v>5</v>
      </c>
      <c r="E194" s="13">
        <v>1466.33</v>
      </c>
      <c r="F194" s="14">
        <v>1393.0135</v>
      </c>
      <c r="G194" s="68">
        <f t="shared" si="4"/>
        <v>-5.2631578947368363E-2</v>
      </c>
      <c r="H194" s="74">
        <f t="shared" si="5"/>
        <v>1</v>
      </c>
    </row>
    <row r="195" spans="1:8" s="3" customFormat="1" ht="17.25" customHeight="1" x14ac:dyDescent="0.25">
      <c r="A195" s="37"/>
      <c r="B195" s="36"/>
      <c r="C195" s="11" t="s">
        <v>81</v>
      </c>
      <c r="D195" s="35">
        <v>4</v>
      </c>
      <c r="E195" s="13">
        <v>1205.32</v>
      </c>
      <c r="F195" s="14">
        <v>1145.0539999999999</v>
      </c>
      <c r="G195" s="68">
        <f t="shared" si="4"/>
        <v>-5.2631578947368585E-2</v>
      </c>
      <c r="H195" s="74">
        <f t="shared" si="5"/>
        <v>1</v>
      </c>
    </row>
    <row r="196" spans="1:8" s="3" customFormat="1" ht="17.25" customHeight="1" x14ac:dyDescent="0.25">
      <c r="A196" s="37"/>
      <c r="B196" s="36"/>
      <c r="C196" s="11" t="s">
        <v>81</v>
      </c>
      <c r="D196" s="35">
        <v>3</v>
      </c>
      <c r="E196" s="13">
        <v>979.77</v>
      </c>
      <c r="F196" s="14">
        <v>979.77</v>
      </c>
      <c r="G196" s="68">
        <f t="shared" si="4"/>
        <v>0</v>
      </c>
      <c r="H196" s="74">
        <f t="shared" si="5"/>
        <v>0</v>
      </c>
    </row>
    <row r="197" spans="1:8" s="3" customFormat="1" ht="17.25" customHeight="1" x14ac:dyDescent="0.25">
      <c r="A197" s="37"/>
      <c r="B197" s="36"/>
      <c r="C197" s="11" t="s">
        <v>81</v>
      </c>
      <c r="D197" s="35">
        <v>2</v>
      </c>
      <c r="E197" s="13">
        <v>746.44</v>
      </c>
      <c r="F197" s="14">
        <v>746.44</v>
      </c>
      <c r="G197" s="68">
        <f t="shared" si="4"/>
        <v>0</v>
      </c>
      <c r="H197" s="74">
        <f t="shared" si="5"/>
        <v>0</v>
      </c>
    </row>
    <row r="198" spans="1:8" s="3" customFormat="1" ht="17.25" customHeight="1" x14ac:dyDescent="0.25">
      <c r="A198" s="37"/>
      <c r="B198" s="40"/>
      <c r="C198" s="11" t="s">
        <v>81</v>
      </c>
      <c r="D198" s="35">
        <v>1</v>
      </c>
      <c r="E198" s="13">
        <v>652.47</v>
      </c>
      <c r="F198" s="14">
        <v>619.84649999999999</v>
      </c>
      <c r="G198" s="68">
        <f t="shared" si="4"/>
        <v>-5.2631578947368585E-2</v>
      </c>
      <c r="H198" s="74">
        <f t="shared" si="5"/>
        <v>1</v>
      </c>
    </row>
    <row r="199" spans="1:8" s="3" customFormat="1" ht="17.25" customHeight="1" x14ac:dyDescent="0.25">
      <c r="A199" s="37"/>
      <c r="B199" s="10" t="s">
        <v>82</v>
      </c>
      <c r="C199" s="11" t="s">
        <v>83</v>
      </c>
      <c r="D199" s="35">
        <v>6</v>
      </c>
      <c r="E199" s="13">
        <v>2280.84</v>
      </c>
      <c r="F199" s="14">
        <v>2166.7980000000002</v>
      </c>
      <c r="G199" s="68">
        <f t="shared" si="4"/>
        <v>-5.2631578947368363E-2</v>
      </c>
      <c r="H199" s="74">
        <f t="shared" si="5"/>
        <v>1</v>
      </c>
    </row>
    <row r="200" spans="1:8" s="3" customFormat="1" ht="17.25" customHeight="1" x14ac:dyDescent="0.25">
      <c r="A200" s="37"/>
      <c r="B200" s="41"/>
      <c r="C200" s="11" t="s">
        <v>83</v>
      </c>
      <c r="D200" s="35">
        <v>5</v>
      </c>
      <c r="E200" s="13">
        <v>1929.76</v>
      </c>
      <c r="F200" s="14">
        <v>1833.2719999999999</v>
      </c>
      <c r="G200" s="68">
        <f t="shared" si="4"/>
        <v>-5.2631578947368363E-2</v>
      </c>
      <c r="H200" s="74">
        <f t="shared" si="5"/>
        <v>1</v>
      </c>
    </row>
    <row r="201" spans="1:8" s="3" customFormat="1" ht="17.25" customHeight="1" x14ac:dyDescent="0.25">
      <c r="A201" s="37"/>
      <c r="B201" s="41"/>
      <c r="C201" s="11" t="s">
        <v>83</v>
      </c>
      <c r="D201" s="35">
        <v>4</v>
      </c>
      <c r="E201" s="13">
        <v>1464.67</v>
      </c>
      <c r="F201" s="14">
        <v>1391.4365</v>
      </c>
      <c r="G201" s="68">
        <f t="shared" si="4"/>
        <v>-5.2631578947368363E-2</v>
      </c>
      <c r="H201" s="74">
        <f t="shared" si="5"/>
        <v>1</v>
      </c>
    </row>
    <row r="202" spans="1:8" s="3" customFormat="1" ht="17.25" customHeight="1" x14ac:dyDescent="0.25">
      <c r="A202" s="37"/>
      <c r="B202" s="41"/>
      <c r="C202" s="11" t="s">
        <v>83</v>
      </c>
      <c r="D202" s="35">
        <v>3</v>
      </c>
      <c r="E202" s="13">
        <v>1186.06</v>
      </c>
      <c r="F202" s="14">
        <v>1126.7570000000001</v>
      </c>
      <c r="G202" s="68">
        <f t="shared" si="4"/>
        <v>-5.2631578947368363E-2</v>
      </c>
      <c r="H202" s="74">
        <f t="shared" si="5"/>
        <v>1</v>
      </c>
    </row>
    <row r="203" spans="1:8" s="3" customFormat="1" ht="17.25" customHeight="1" x14ac:dyDescent="0.25">
      <c r="A203" s="37"/>
      <c r="B203" s="41"/>
      <c r="C203" s="11" t="s">
        <v>84</v>
      </c>
      <c r="D203" s="35">
        <v>5</v>
      </c>
      <c r="E203" s="13">
        <v>1940.1</v>
      </c>
      <c r="F203" s="14">
        <v>1843.0949999999998</v>
      </c>
      <c r="G203" s="68">
        <f t="shared" si="4"/>
        <v>-5.2631578947368585E-2</v>
      </c>
      <c r="H203" s="74">
        <f t="shared" si="5"/>
        <v>1</v>
      </c>
    </row>
    <row r="204" spans="1:8" s="3" customFormat="1" ht="17.25" customHeight="1" x14ac:dyDescent="0.25">
      <c r="A204" s="37"/>
      <c r="B204" s="41"/>
      <c r="C204" s="11" t="s">
        <v>84</v>
      </c>
      <c r="D204" s="35">
        <v>4</v>
      </c>
      <c r="E204" s="13">
        <v>1333.39</v>
      </c>
      <c r="F204" s="14">
        <v>1266.7205000000001</v>
      </c>
      <c r="G204" s="68">
        <f t="shared" si="4"/>
        <v>-5.2631578947368363E-2</v>
      </c>
      <c r="H204" s="74">
        <f t="shared" si="5"/>
        <v>1</v>
      </c>
    </row>
    <row r="205" spans="1:8" s="3" customFormat="1" ht="17.25" customHeight="1" x14ac:dyDescent="0.25">
      <c r="A205" s="37"/>
      <c r="B205" s="41"/>
      <c r="C205" s="11" t="s">
        <v>84</v>
      </c>
      <c r="D205" s="35">
        <v>3</v>
      </c>
      <c r="E205" s="13">
        <v>1135.67</v>
      </c>
      <c r="F205" s="14">
        <v>1078.8865000000001</v>
      </c>
      <c r="G205" s="68">
        <f t="shared" si="4"/>
        <v>-5.2631578947368363E-2</v>
      </c>
      <c r="H205" s="74">
        <f t="shared" si="5"/>
        <v>1</v>
      </c>
    </row>
    <row r="206" spans="1:8" s="3" customFormat="1" ht="17.25" customHeight="1" x14ac:dyDescent="0.25">
      <c r="A206" s="37"/>
      <c r="B206" s="41"/>
      <c r="C206" s="11" t="s">
        <v>85</v>
      </c>
      <c r="D206" s="35">
        <v>6</v>
      </c>
      <c r="E206" s="13">
        <v>2135.0300000000002</v>
      </c>
      <c r="F206" s="14">
        <v>2028.2785000000001</v>
      </c>
      <c r="G206" s="68">
        <f t="shared" si="4"/>
        <v>-5.2631578947368363E-2</v>
      </c>
      <c r="H206" s="74">
        <f t="shared" si="5"/>
        <v>1</v>
      </c>
    </row>
    <row r="207" spans="1:8" s="3" customFormat="1" ht="17.25" customHeight="1" x14ac:dyDescent="0.25">
      <c r="A207" s="37"/>
      <c r="B207" s="41"/>
      <c r="C207" s="11" t="s">
        <v>85</v>
      </c>
      <c r="D207" s="35">
        <v>5</v>
      </c>
      <c r="E207" s="13">
        <v>1743.14</v>
      </c>
      <c r="F207" s="14">
        <v>1655.9830000000002</v>
      </c>
      <c r="G207" s="68">
        <f t="shared" si="4"/>
        <v>-5.2631578947368363E-2</v>
      </c>
      <c r="H207" s="74">
        <f t="shared" si="5"/>
        <v>1</v>
      </c>
    </row>
    <row r="208" spans="1:8" s="3" customFormat="1" ht="17.25" customHeight="1" x14ac:dyDescent="0.25">
      <c r="A208" s="37"/>
      <c r="B208" s="41"/>
      <c r="C208" s="11" t="s">
        <v>85</v>
      </c>
      <c r="D208" s="35">
        <v>4</v>
      </c>
      <c r="E208" s="13">
        <v>1337.27</v>
      </c>
      <c r="F208" s="14">
        <v>1270.4065000000001</v>
      </c>
      <c r="G208" s="68">
        <f t="shared" ref="G208:G271" si="6">1-(E208/F208)</f>
        <v>-5.2631578947368363E-2</v>
      </c>
      <c r="H208" s="74">
        <f t="shared" si="5"/>
        <v>1</v>
      </c>
    </row>
    <row r="209" spans="1:8" s="3" customFormat="1" ht="17.25" customHeight="1" x14ac:dyDescent="0.25">
      <c r="A209" s="37"/>
      <c r="B209" s="41"/>
      <c r="C209" s="11" t="s">
        <v>85</v>
      </c>
      <c r="D209" s="35">
        <v>3</v>
      </c>
      <c r="E209" s="13">
        <v>1078.73</v>
      </c>
      <c r="F209" s="14">
        <v>1078.73</v>
      </c>
      <c r="G209" s="68">
        <f t="shared" si="6"/>
        <v>0</v>
      </c>
      <c r="H209" s="74">
        <f t="shared" ref="H209:H272" si="7">IF(E209=F209,0,1)</f>
        <v>0</v>
      </c>
    </row>
    <row r="210" spans="1:8" s="3" customFormat="1" ht="17.25" customHeight="1" x14ac:dyDescent="0.25">
      <c r="A210" s="37"/>
      <c r="B210" s="41"/>
      <c r="C210" s="11" t="s">
        <v>86</v>
      </c>
      <c r="D210" s="35">
        <v>6</v>
      </c>
      <c r="E210" s="13">
        <v>2426.65</v>
      </c>
      <c r="F210" s="14">
        <v>2305.3175000000001</v>
      </c>
      <c r="G210" s="68">
        <f t="shared" si="6"/>
        <v>-5.2631578947368363E-2</v>
      </c>
      <c r="H210" s="74">
        <f t="shared" si="7"/>
        <v>1</v>
      </c>
    </row>
    <row r="211" spans="1:8" s="3" customFormat="1" ht="17.25" customHeight="1" x14ac:dyDescent="0.25">
      <c r="A211" s="37"/>
      <c r="B211" s="41"/>
      <c r="C211" s="11" t="s">
        <v>86</v>
      </c>
      <c r="D211" s="35">
        <v>5</v>
      </c>
      <c r="E211" s="13">
        <v>2106.04</v>
      </c>
      <c r="F211" s="14">
        <v>2000.7380000000001</v>
      </c>
      <c r="G211" s="68">
        <f t="shared" si="6"/>
        <v>-5.2631578947368363E-2</v>
      </c>
      <c r="H211" s="74">
        <f t="shared" si="7"/>
        <v>1</v>
      </c>
    </row>
    <row r="212" spans="1:8" s="3" customFormat="1" ht="17.25" customHeight="1" x14ac:dyDescent="0.25">
      <c r="A212" s="37"/>
      <c r="B212" s="41"/>
      <c r="C212" s="11" t="s">
        <v>86</v>
      </c>
      <c r="D212" s="35">
        <v>4</v>
      </c>
      <c r="E212" s="13">
        <v>1723.34</v>
      </c>
      <c r="F212" s="14">
        <v>1637.173</v>
      </c>
      <c r="G212" s="68">
        <f t="shared" si="6"/>
        <v>-5.2631578947368363E-2</v>
      </c>
      <c r="H212" s="74">
        <f t="shared" si="7"/>
        <v>1</v>
      </c>
    </row>
    <row r="213" spans="1:8" s="3" customFormat="1" ht="17.25" customHeight="1" x14ac:dyDescent="0.25">
      <c r="A213" s="37"/>
      <c r="B213" s="41"/>
      <c r="C213" s="11" t="s">
        <v>86</v>
      </c>
      <c r="D213" s="35">
        <v>3</v>
      </c>
      <c r="E213" s="13">
        <v>1343.77</v>
      </c>
      <c r="F213" s="14">
        <v>1276.5815</v>
      </c>
      <c r="G213" s="68">
        <f t="shared" si="6"/>
        <v>-5.2631578947368363E-2</v>
      </c>
      <c r="H213" s="74">
        <f t="shared" si="7"/>
        <v>1</v>
      </c>
    </row>
    <row r="214" spans="1:8" s="3" customFormat="1" ht="17.25" customHeight="1" x14ac:dyDescent="0.25">
      <c r="A214" s="37"/>
      <c r="B214" s="42"/>
      <c r="C214" s="11" t="s">
        <v>86</v>
      </c>
      <c r="D214" s="35">
        <v>2</v>
      </c>
      <c r="E214" s="13">
        <v>1029.08</v>
      </c>
      <c r="F214" s="14">
        <v>977.62599999999998</v>
      </c>
      <c r="G214" s="68">
        <f t="shared" si="6"/>
        <v>-5.2631578947368363E-2</v>
      </c>
      <c r="H214" s="74">
        <f t="shared" si="7"/>
        <v>1</v>
      </c>
    </row>
    <row r="215" spans="1:8" s="3" customFormat="1" ht="17.25" customHeight="1" x14ac:dyDescent="0.25">
      <c r="A215" s="37"/>
      <c r="B215" s="10" t="s">
        <v>87</v>
      </c>
      <c r="C215" s="43" t="s">
        <v>88</v>
      </c>
      <c r="D215" s="35">
        <v>6</v>
      </c>
      <c r="E215" s="13">
        <v>2303.81</v>
      </c>
      <c r="F215" s="14">
        <v>2188.6194999999998</v>
      </c>
      <c r="G215" s="68">
        <f t="shared" si="6"/>
        <v>-5.2631578947368585E-2</v>
      </c>
      <c r="H215" s="74">
        <f t="shared" si="7"/>
        <v>1</v>
      </c>
    </row>
    <row r="216" spans="1:8" s="3" customFormat="1" ht="17.25" customHeight="1" x14ac:dyDescent="0.25">
      <c r="A216" s="37"/>
      <c r="B216" s="44"/>
      <c r="C216" s="43" t="s">
        <v>88</v>
      </c>
      <c r="D216" s="35">
        <v>5</v>
      </c>
      <c r="E216" s="13">
        <v>1858.33</v>
      </c>
      <c r="F216" s="14">
        <v>1765.4134999999999</v>
      </c>
      <c r="G216" s="68">
        <f t="shared" si="6"/>
        <v>-5.2631578947368363E-2</v>
      </c>
      <c r="H216" s="74">
        <f t="shared" si="7"/>
        <v>1</v>
      </c>
    </row>
    <row r="217" spans="1:8" s="3" customFormat="1" ht="17.25" customHeight="1" x14ac:dyDescent="0.25">
      <c r="A217" s="37"/>
      <c r="B217" s="44"/>
      <c r="C217" s="43" t="s">
        <v>88</v>
      </c>
      <c r="D217" s="35">
        <v>4</v>
      </c>
      <c r="E217" s="13">
        <v>1470.91</v>
      </c>
      <c r="F217" s="14">
        <v>1397.3645000000001</v>
      </c>
      <c r="G217" s="68">
        <f t="shared" si="6"/>
        <v>-5.2631578947368363E-2</v>
      </c>
      <c r="H217" s="74">
        <f t="shared" si="7"/>
        <v>1</v>
      </c>
    </row>
    <row r="218" spans="1:8" s="3" customFormat="1" ht="17.25" customHeight="1" x14ac:dyDescent="0.25">
      <c r="A218" s="37"/>
      <c r="B218" s="44"/>
      <c r="C218" s="43" t="s">
        <v>88</v>
      </c>
      <c r="D218" s="38">
        <v>3</v>
      </c>
      <c r="E218" s="13">
        <v>1239.76</v>
      </c>
      <c r="F218" s="14">
        <v>1177.7719999999999</v>
      </c>
      <c r="G218" s="68">
        <f t="shared" si="6"/>
        <v>-5.2631578947368363E-2</v>
      </c>
      <c r="H218" s="74">
        <f t="shared" si="7"/>
        <v>1</v>
      </c>
    </row>
    <row r="219" spans="1:8" s="3" customFormat="1" ht="17.25" customHeight="1" x14ac:dyDescent="0.25">
      <c r="A219" s="37"/>
      <c r="B219" s="44"/>
      <c r="C219" s="43" t="s">
        <v>88</v>
      </c>
      <c r="D219" s="35">
        <v>2</v>
      </c>
      <c r="E219" s="13">
        <v>944.36</v>
      </c>
      <c r="F219" s="14">
        <v>897.14200000000005</v>
      </c>
      <c r="G219" s="68">
        <f t="shared" si="6"/>
        <v>-5.2631578947368363E-2</v>
      </c>
      <c r="H219" s="74">
        <f t="shared" si="7"/>
        <v>1</v>
      </c>
    </row>
    <row r="220" spans="1:8" s="3" customFormat="1" ht="17.25" customHeight="1" x14ac:dyDescent="0.25">
      <c r="A220" s="37"/>
      <c r="B220" s="44"/>
      <c r="C220" s="43" t="s">
        <v>89</v>
      </c>
      <c r="D220" s="35">
        <v>6</v>
      </c>
      <c r="E220" s="13">
        <v>2303.81</v>
      </c>
      <c r="F220" s="14">
        <v>2188.6194999999998</v>
      </c>
      <c r="G220" s="68">
        <f t="shared" si="6"/>
        <v>-5.2631578947368585E-2</v>
      </c>
      <c r="H220" s="74">
        <f t="shared" si="7"/>
        <v>1</v>
      </c>
    </row>
    <row r="221" spans="1:8" s="3" customFormat="1" ht="17.25" customHeight="1" x14ac:dyDescent="0.25">
      <c r="A221" s="37"/>
      <c r="B221" s="44"/>
      <c r="C221" s="43" t="s">
        <v>89</v>
      </c>
      <c r="D221" s="35">
        <v>5</v>
      </c>
      <c r="E221" s="13">
        <v>1858.33</v>
      </c>
      <c r="F221" s="14">
        <v>1765.4134999999999</v>
      </c>
      <c r="G221" s="68">
        <f t="shared" si="6"/>
        <v>-5.2631578947368363E-2</v>
      </c>
      <c r="H221" s="74">
        <f t="shared" si="7"/>
        <v>1</v>
      </c>
    </row>
    <row r="222" spans="1:8" s="3" customFormat="1" ht="17.25" customHeight="1" x14ac:dyDescent="0.25">
      <c r="A222" s="37"/>
      <c r="B222" s="44"/>
      <c r="C222" s="43" t="s">
        <v>89</v>
      </c>
      <c r="D222" s="35">
        <v>4</v>
      </c>
      <c r="E222" s="13">
        <v>1470.91</v>
      </c>
      <c r="F222" s="14">
        <v>1397.3645000000001</v>
      </c>
      <c r="G222" s="68">
        <f t="shared" si="6"/>
        <v>-5.2631578947368363E-2</v>
      </c>
      <c r="H222" s="74">
        <f t="shared" si="7"/>
        <v>1</v>
      </c>
    </row>
    <row r="223" spans="1:8" s="3" customFormat="1" ht="17.25" customHeight="1" x14ac:dyDescent="0.25">
      <c r="A223" s="37"/>
      <c r="B223" s="44"/>
      <c r="C223" s="43" t="s">
        <v>89</v>
      </c>
      <c r="D223" s="35">
        <v>3</v>
      </c>
      <c r="E223" s="13">
        <v>1239.76</v>
      </c>
      <c r="F223" s="14">
        <v>1177.7719999999999</v>
      </c>
      <c r="G223" s="68">
        <f t="shared" si="6"/>
        <v>-5.2631578947368363E-2</v>
      </c>
      <c r="H223" s="74">
        <f t="shared" si="7"/>
        <v>1</v>
      </c>
    </row>
    <row r="224" spans="1:8" s="3" customFormat="1" ht="17.25" customHeight="1" x14ac:dyDescent="0.25">
      <c r="A224" s="37"/>
      <c r="B224" s="44"/>
      <c r="C224" s="43" t="s">
        <v>90</v>
      </c>
      <c r="D224" s="35">
        <v>6</v>
      </c>
      <c r="E224" s="13">
        <v>2135.0300000000002</v>
      </c>
      <c r="F224" s="14">
        <v>2028.2785000000001</v>
      </c>
      <c r="G224" s="68">
        <f t="shared" si="6"/>
        <v>-5.2631578947368363E-2</v>
      </c>
      <c r="H224" s="74">
        <f t="shared" si="7"/>
        <v>1</v>
      </c>
    </row>
    <row r="225" spans="1:8" s="3" customFormat="1" ht="17.25" customHeight="1" x14ac:dyDescent="0.25">
      <c r="A225" s="37"/>
      <c r="B225" s="44"/>
      <c r="C225" s="43" t="s">
        <v>90</v>
      </c>
      <c r="D225" s="35">
        <v>5</v>
      </c>
      <c r="E225" s="13">
        <v>1743.14</v>
      </c>
      <c r="F225" s="14">
        <v>1655.9830000000002</v>
      </c>
      <c r="G225" s="68">
        <f t="shared" si="6"/>
        <v>-5.2631578947368363E-2</v>
      </c>
      <c r="H225" s="74">
        <f t="shared" si="7"/>
        <v>1</v>
      </c>
    </row>
    <row r="226" spans="1:8" s="3" customFormat="1" ht="17.25" customHeight="1" x14ac:dyDescent="0.25">
      <c r="A226" s="37"/>
      <c r="B226" s="44"/>
      <c r="C226" s="43" t="s">
        <v>90</v>
      </c>
      <c r="D226" s="35">
        <v>4</v>
      </c>
      <c r="E226" s="13">
        <v>1337.27</v>
      </c>
      <c r="F226" s="14">
        <v>1270.4065000000001</v>
      </c>
      <c r="G226" s="68">
        <f t="shared" si="6"/>
        <v>-5.2631578947368363E-2</v>
      </c>
      <c r="H226" s="74">
        <f t="shared" si="7"/>
        <v>1</v>
      </c>
    </row>
    <row r="227" spans="1:8" s="3" customFormat="1" ht="17.25" customHeight="1" x14ac:dyDescent="0.25">
      <c r="A227" s="37"/>
      <c r="B227" s="44"/>
      <c r="C227" s="43" t="s">
        <v>91</v>
      </c>
      <c r="D227" s="35">
        <v>5</v>
      </c>
      <c r="E227" s="13">
        <v>1700.84</v>
      </c>
      <c r="F227" s="14">
        <v>1615.798</v>
      </c>
      <c r="G227" s="68">
        <f t="shared" si="6"/>
        <v>-5.2631578947368363E-2</v>
      </c>
      <c r="H227" s="74">
        <f t="shared" si="7"/>
        <v>1</v>
      </c>
    </row>
    <row r="228" spans="1:8" s="3" customFormat="1" ht="17.25" customHeight="1" x14ac:dyDescent="0.25">
      <c r="A228" s="37"/>
      <c r="B228" s="44"/>
      <c r="C228" s="43" t="s">
        <v>91</v>
      </c>
      <c r="D228" s="35">
        <v>4</v>
      </c>
      <c r="E228" s="13">
        <v>1403.08</v>
      </c>
      <c r="F228" s="14">
        <v>1332.9259999999999</v>
      </c>
      <c r="G228" s="68">
        <f t="shared" si="6"/>
        <v>-5.2631578947368363E-2</v>
      </c>
      <c r="H228" s="74">
        <f t="shared" si="7"/>
        <v>1</v>
      </c>
    </row>
    <row r="229" spans="1:8" s="3" customFormat="1" ht="17.25" customHeight="1" x14ac:dyDescent="0.25">
      <c r="A229" s="37"/>
      <c r="B229" s="44"/>
      <c r="C229" s="43" t="s">
        <v>91</v>
      </c>
      <c r="D229" s="35">
        <v>3</v>
      </c>
      <c r="E229" s="13">
        <v>1117.6600000000001</v>
      </c>
      <c r="F229" s="14">
        <v>1061.777</v>
      </c>
      <c r="G229" s="68">
        <f t="shared" si="6"/>
        <v>-5.2631578947368363E-2</v>
      </c>
      <c r="H229" s="74">
        <f t="shared" si="7"/>
        <v>1</v>
      </c>
    </row>
    <row r="230" spans="1:8" s="3" customFormat="1" ht="17.25" customHeight="1" x14ac:dyDescent="0.25">
      <c r="A230" s="37"/>
      <c r="B230" s="44"/>
      <c r="C230" s="43" t="s">
        <v>91</v>
      </c>
      <c r="D230" s="35">
        <v>2</v>
      </c>
      <c r="E230" s="13">
        <v>912.83</v>
      </c>
      <c r="F230" s="14">
        <v>867.18849999999998</v>
      </c>
      <c r="G230" s="68">
        <f t="shared" si="6"/>
        <v>-5.2631578947368585E-2</v>
      </c>
      <c r="H230" s="74">
        <f t="shared" si="7"/>
        <v>1</v>
      </c>
    </row>
    <row r="231" spans="1:8" s="3" customFormat="1" ht="17.25" customHeight="1" x14ac:dyDescent="0.25">
      <c r="A231" s="45"/>
      <c r="B231" s="46"/>
      <c r="C231" s="43" t="s">
        <v>91</v>
      </c>
      <c r="D231" s="35">
        <v>1</v>
      </c>
      <c r="E231" s="13">
        <v>758.15</v>
      </c>
      <c r="F231" s="14">
        <v>720.24249999999995</v>
      </c>
      <c r="G231" s="68">
        <f t="shared" si="6"/>
        <v>-5.2631578947368363E-2</v>
      </c>
      <c r="H231" s="74">
        <f t="shared" si="7"/>
        <v>1</v>
      </c>
    </row>
    <row r="232" spans="1:8" s="3" customFormat="1" ht="17.25" customHeight="1" x14ac:dyDescent="0.25">
      <c r="A232" s="23" t="s">
        <v>92</v>
      </c>
      <c r="B232" s="24" t="s">
        <v>93</v>
      </c>
      <c r="C232" s="43" t="s">
        <v>94</v>
      </c>
      <c r="D232" s="31">
        <v>6</v>
      </c>
      <c r="E232" s="13">
        <v>2408.06</v>
      </c>
      <c r="F232" s="26">
        <v>2287.6570000000002</v>
      </c>
      <c r="G232" s="68">
        <f t="shared" si="6"/>
        <v>-5.2631578947368363E-2</v>
      </c>
      <c r="H232" s="74">
        <f t="shared" si="7"/>
        <v>1</v>
      </c>
    </row>
    <row r="233" spans="1:8" s="3" customFormat="1" ht="17.25" customHeight="1" x14ac:dyDescent="0.25">
      <c r="A233" s="28"/>
      <c r="B233" s="47"/>
      <c r="C233" s="43" t="s">
        <v>94</v>
      </c>
      <c r="D233" s="31">
        <v>5</v>
      </c>
      <c r="E233" s="13">
        <v>2017.47</v>
      </c>
      <c r="F233" s="26">
        <v>1916.5965000000001</v>
      </c>
      <c r="G233" s="68">
        <f t="shared" si="6"/>
        <v>-5.2631578947368363E-2</v>
      </c>
      <c r="H233" s="74">
        <f t="shared" si="7"/>
        <v>1</v>
      </c>
    </row>
    <row r="234" spans="1:8" s="3" customFormat="1" ht="17.25" customHeight="1" x14ac:dyDescent="0.25">
      <c r="A234" s="28"/>
      <c r="B234" s="47"/>
      <c r="C234" s="43" t="s">
        <v>94</v>
      </c>
      <c r="D234" s="31">
        <v>4</v>
      </c>
      <c r="E234" s="13">
        <v>1720.28</v>
      </c>
      <c r="F234" s="26">
        <v>1634.2660000000001</v>
      </c>
      <c r="G234" s="68">
        <f t="shared" si="6"/>
        <v>-5.2631578947368363E-2</v>
      </c>
      <c r="H234" s="74">
        <f t="shared" si="7"/>
        <v>1</v>
      </c>
    </row>
    <row r="235" spans="1:8" s="3" customFormat="1" ht="17.25" customHeight="1" x14ac:dyDescent="0.25">
      <c r="A235" s="28"/>
      <c r="B235" s="47"/>
      <c r="C235" s="43" t="s">
        <v>95</v>
      </c>
      <c r="D235" s="31">
        <v>7</v>
      </c>
      <c r="E235" s="13">
        <v>2716.75</v>
      </c>
      <c r="F235" s="26">
        <v>2580.9124999999999</v>
      </c>
      <c r="G235" s="68">
        <f t="shared" si="6"/>
        <v>-5.2631578947368363E-2</v>
      </c>
      <c r="H235" s="74">
        <f t="shared" si="7"/>
        <v>1</v>
      </c>
    </row>
    <row r="236" spans="1:8" s="3" customFormat="1" ht="17.25" customHeight="1" x14ac:dyDescent="0.25">
      <c r="A236" s="28"/>
      <c r="B236" s="47"/>
      <c r="C236" s="43" t="s">
        <v>95</v>
      </c>
      <c r="D236" s="31">
        <v>6</v>
      </c>
      <c r="E236" s="13">
        <v>2241.67</v>
      </c>
      <c r="F236" s="26">
        <v>2129.5864999999999</v>
      </c>
      <c r="G236" s="68">
        <f t="shared" si="6"/>
        <v>-5.2631578947368585E-2</v>
      </c>
      <c r="H236" s="74">
        <f t="shared" si="7"/>
        <v>1</v>
      </c>
    </row>
    <row r="237" spans="1:8" s="3" customFormat="1" ht="17.25" customHeight="1" x14ac:dyDescent="0.25">
      <c r="A237" s="28"/>
      <c r="B237" s="47"/>
      <c r="C237" s="43" t="s">
        <v>95</v>
      </c>
      <c r="D237" s="31">
        <v>5</v>
      </c>
      <c r="E237" s="13">
        <v>1891.49</v>
      </c>
      <c r="F237" s="26">
        <v>1796.9155000000001</v>
      </c>
      <c r="G237" s="68">
        <f t="shared" si="6"/>
        <v>-5.2631578947368363E-2</v>
      </c>
      <c r="H237" s="74">
        <f t="shared" si="7"/>
        <v>1</v>
      </c>
    </row>
    <row r="238" spans="1:8" s="3" customFormat="1" ht="17.25" customHeight="1" x14ac:dyDescent="0.25">
      <c r="A238" s="28"/>
      <c r="B238" s="47"/>
      <c r="C238" s="43" t="s">
        <v>95</v>
      </c>
      <c r="D238" s="31">
        <v>4</v>
      </c>
      <c r="E238" s="13">
        <v>1609.15</v>
      </c>
      <c r="F238" s="26">
        <v>1528.6925000000001</v>
      </c>
      <c r="G238" s="68">
        <f t="shared" si="6"/>
        <v>-5.2631578947368363E-2</v>
      </c>
      <c r="H238" s="74">
        <f t="shared" si="7"/>
        <v>1</v>
      </c>
    </row>
    <row r="239" spans="1:8" s="3" customFormat="1" ht="17.25" customHeight="1" x14ac:dyDescent="0.25">
      <c r="A239" s="28"/>
      <c r="B239" s="47"/>
      <c r="C239" s="43" t="s">
        <v>95</v>
      </c>
      <c r="D239" s="31">
        <v>3</v>
      </c>
      <c r="E239" s="13">
        <v>1323.07</v>
      </c>
      <c r="F239" s="26">
        <v>1256.9165</v>
      </c>
      <c r="G239" s="68">
        <f t="shared" si="6"/>
        <v>-5.2631578947368363E-2</v>
      </c>
      <c r="H239" s="74">
        <f t="shared" si="7"/>
        <v>1</v>
      </c>
    </row>
    <row r="240" spans="1:8" s="3" customFormat="1" ht="17.25" customHeight="1" x14ac:dyDescent="0.25">
      <c r="A240" s="28"/>
      <c r="B240" s="47"/>
      <c r="C240" s="43" t="s">
        <v>95</v>
      </c>
      <c r="D240" s="31">
        <v>2</v>
      </c>
      <c r="E240" s="13">
        <v>1122.0899999999999</v>
      </c>
      <c r="F240" s="26">
        <v>1065.9855</v>
      </c>
      <c r="G240" s="68">
        <f t="shared" si="6"/>
        <v>-5.2631578947368363E-2</v>
      </c>
      <c r="H240" s="74">
        <f t="shared" si="7"/>
        <v>1</v>
      </c>
    </row>
    <row r="241" spans="1:8" s="3" customFormat="1" ht="17.25" customHeight="1" x14ac:dyDescent="0.25">
      <c r="A241" s="28"/>
      <c r="B241" s="48" t="s">
        <v>96</v>
      </c>
      <c r="C241" s="43" t="s">
        <v>97</v>
      </c>
      <c r="D241" s="25">
        <v>6</v>
      </c>
      <c r="E241" s="13">
        <v>2110.25</v>
      </c>
      <c r="F241" s="26">
        <v>2004.7375</v>
      </c>
      <c r="G241" s="68">
        <f t="shared" si="6"/>
        <v>-5.2631578947368363E-2</v>
      </c>
      <c r="H241" s="74">
        <f t="shared" si="7"/>
        <v>1</v>
      </c>
    </row>
    <row r="242" spans="1:8" s="3" customFormat="1" ht="17.25" customHeight="1" x14ac:dyDescent="0.25">
      <c r="A242" s="28"/>
      <c r="B242" s="49"/>
      <c r="C242" s="43" t="s">
        <v>97</v>
      </c>
      <c r="D242" s="25">
        <v>5</v>
      </c>
      <c r="E242" s="13">
        <v>1750.87</v>
      </c>
      <c r="F242" s="26">
        <v>1663.3264999999999</v>
      </c>
      <c r="G242" s="68">
        <f t="shared" si="6"/>
        <v>-5.2631578947368363E-2</v>
      </c>
      <c r="H242" s="74">
        <f t="shared" si="7"/>
        <v>1</v>
      </c>
    </row>
    <row r="243" spans="1:8" s="3" customFormat="1" ht="17.25" customHeight="1" x14ac:dyDescent="0.25">
      <c r="A243" s="28"/>
      <c r="B243" s="49"/>
      <c r="C243" s="43" t="s">
        <v>97</v>
      </c>
      <c r="D243" s="25">
        <v>4</v>
      </c>
      <c r="E243" s="13">
        <v>1553.27</v>
      </c>
      <c r="F243" s="26">
        <v>1475.6064999999999</v>
      </c>
      <c r="G243" s="68">
        <f t="shared" si="6"/>
        <v>-5.2631578947368585E-2</v>
      </c>
      <c r="H243" s="74">
        <f t="shared" si="7"/>
        <v>1</v>
      </c>
    </row>
    <row r="244" spans="1:8" s="3" customFormat="1" ht="17.25" customHeight="1" x14ac:dyDescent="0.25">
      <c r="A244" s="28"/>
      <c r="B244" s="49"/>
      <c r="C244" s="43" t="s">
        <v>98</v>
      </c>
      <c r="D244" s="25">
        <v>6</v>
      </c>
      <c r="E244" s="13">
        <v>2674.25</v>
      </c>
      <c r="F244" s="26">
        <v>2540.5374999999999</v>
      </c>
      <c r="G244" s="68">
        <f t="shared" si="6"/>
        <v>-5.2631578947368363E-2</v>
      </c>
      <c r="H244" s="74">
        <f t="shared" si="7"/>
        <v>1</v>
      </c>
    </row>
    <row r="245" spans="1:8" s="3" customFormat="1" ht="17.25" customHeight="1" x14ac:dyDescent="0.25">
      <c r="A245" s="28"/>
      <c r="B245" s="49"/>
      <c r="C245" s="43" t="s">
        <v>98</v>
      </c>
      <c r="D245" s="25">
        <v>5</v>
      </c>
      <c r="E245" s="13">
        <v>2103.81</v>
      </c>
      <c r="F245" s="26">
        <v>1998.6195</v>
      </c>
      <c r="G245" s="68">
        <f t="shared" si="6"/>
        <v>-5.2631578947368363E-2</v>
      </c>
      <c r="H245" s="74">
        <f t="shared" si="7"/>
        <v>1</v>
      </c>
    </row>
    <row r="246" spans="1:8" s="3" customFormat="1" ht="17.25" customHeight="1" x14ac:dyDescent="0.25">
      <c r="A246" s="28"/>
      <c r="B246" s="49"/>
      <c r="C246" s="43" t="s">
        <v>98</v>
      </c>
      <c r="D246" s="25">
        <v>4</v>
      </c>
      <c r="E246" s="13">
        <v>1711.07</v>
      </c>
      <c r="F246" s="26">
        <v>1625.5165</v>
      </c>
      <c r="G246" s="68">
        <f t="shared" si="6"/>
        <v>-5.2631578947368363E-2</v>
      </c>
      <c r="H246" s="74">
        <f t="shared" si="7"/>
        <v>1</v>
      </c>
    </row>
    <row r="247" spans="1:8" s="3" customFormat="1" ht="17.25" customHeight="1" x14ac:dyDescent="0.25">
      <c r="A247" s="28"/>
      <c r="B247" s="49"/>
      <c r="C247" s="43" t="s">
        <v>98</v>
      </c>
      <c r="D247" s="25">
        <v>3</v>
      </c>
      <c r="E247" s="13">
        <v>1395.24</v>
      </c>
      <c r="F247" s="26">
        <v>1325.4780000000001</v>
      </c>
      <c r="G247" s="68">
        <f t="shared" si="6"/>
        <v>-5.2631578947368363E-2</v>
      </c>
      <c r="H247" s="74">
        <f t="shared" si="7"/>
        <v>1</v>
      </c>
    </row>
    <row r="248" spans="1:8" s="3" customFormat="1" ht="17.25" customHeight="1" x14ac:dyDescent="0.25">
      <c r="A248" s="28"/>
      <c r="B248" s="49"/>
      <c r="C248" s="43" t="s">
        <v>98</v>
      </c>
      <c r="D248" s="25">
        <v>2</v>
      </c>
      <c r="E248" s="13">
        <v>1140.71</v>
      </c>
      <c r="F248" s="26">
        <v>1083.6745000000001</v>
      </c>
      <c r="G248" s="68">
        <f t="shared" si="6"/>
        <v>-5.2631578947368363E-2</v>
      </c>
      <c r="H248" s="74">
        <f t="shared" si="7"/>
        <v>1</v>
      </c>
    </row>
    <row r="249" spans="1:8" s="3" customFormat="1" ht="17.25" customHeight="1" x14ac:dyDescent="0.25">
      <c r="A249" s="28"/>
      <c r="B249" s="49"/>
      <c r="C249" s="43" t="s">
        <v>99</v>
      </c>
      <c r="D249" s="25">
        <v>6</v>
      </c>
      <c r="E249" s="13">
        <v>2625.22</v>
      </c>
      <c r="F249" s="26">
        <v>2493.9589999999998</v>
      </c>
      <c r="G249" s="68">
        <f t="shared" si="6"/>
        <v>-5.2631578947368363E-2</v>
      </c>
      <c r="H249" s="74">
        <f t="shared" si="7"/>
        <v>1</v>
      </c>
    </row>
    <row r="250" spans="1:8" s="3" customFormat="1" ht="17.25" customHeight="1" x14ac:dyDescent="0.25">
      <c r="A250" s="28"/>
      <c r="B250" s="49"/>
      <c r="C250" s="43" t="s">
        <v>99</v>
      </c>
      <c r="D250" s="25">
        <v>5</v>
      </c>
      <c r="E250" s="13">
        <v>2120.31</v>
      </c>
      <c r="F250" s="26">
        <v>2014.2945</v>
      </c>
      <c r="G250" s="68">
        <f t="shared" si="6"/>
        <v>-5.2631578947368363E-2</v>
      </c>
      <c r="H250" s="74">
        <f t="shared" si="7"/>
        <v>1</v>
      </c>
    </row>
    <row r="251" spans="1:8" s="3" customFormat="1" ht="17.25" customHeight="1" x14ac:dyDescent="0.25">
      <c r="A251" s="28"/>
      <c r="B251" s="49"/>
      <c r="C251" s="43" t="s">
        <v>99</v>
      </c>
      <c r="D251" s="25">
        <v>4</v>
      </c>
      <c r="E251" s="13">
        <v>1781.67</v>
      </c>
      <c r="F251" s="26">
        <v>1692.5865000000001</v>
      </c>
      <c r="G251" s="68">
        <f t="shared" si="6"/>
        <v>-5.2631578947368363E-2</v>
      </c>
      <c r="H251" s="74">
        <f t="shared" si="7"/>
        <v>1</v>
      </c>
    </row>
    <row r="252" spans="1:8" s="3" customFormat="1" ht="17.25" customHeight="1" x14ac:dyDescent="0.25">
      <c r="A252" s="28"/>
      <c r="B252" s="49"/>
      <c r="C252" s="43" t="s">
        <v>99</v>
      </c>
      <c r="D252" s="25">
        <v>3</v>
      </c>
      <c r="E252" s="13">
        <v>1285.83</v>
      </c>
      <c r="F252" s="26">
        <v>1221.5384999999999</v>
      </c>
      <c r="G252" s="68">
        <f t="shared" si="6"/>
        <v>-5.2631578947368363E-2</v>
      </c>
      <c r="H252" s="74">
        <f t="shared" si="7"/>
        <v>1</v>
      </c>
    </row>
    <row r="253" spans="1:8" s="3" customFormat="1" ht="17.25" customHeight="1" x14ac:dyDescent="0.25">
      <c r="A253" s="28"/>
      <c r="B253" s="49"/>
      <c r="C253" s="43" t="s">
        <v>99</v>
      </c>
      <c r="D253" s="25">
        <v>2</v>
      </c>
      <c r="E253" s="13">
        <v>1048.6600000000001</v>
      </c>
      <c r="F253" s="26">
        <v>996.22700000000009</v>
      </c>
      <c r="G253" s="68">
        <f t="shared" si="6"/>
        <v>-5.2631578947368363E-2</v>
      </c>
      <c r="H253" s="74">
        <f t="shared" si="7"/>
        <v>1</v>
      </c>
    </row>
    <row r="254" spans="1:8" s="3" customFormat="1" ht="17.25" customHeight="1" x14ac:dyDescent="0.25">
      <c r="A254" s="28"/>
      <c r="B254" s="49"/>
      <c r="C254" s="43" t="s">
        <v>100</v>
      </c>
      <c r="D254" s="25">
        <v>6</v>
      </c>
      <c r="E254" s="13">
        <v>2881.13</v>
      </c>
      <c r="F254" s="26">
        <v>2737.0735</v>
      </c>
      <c r="G254" s="68">
        <f t="shared" si="6"/>
        <v>-5.2631578947368363E-2</v>
      </c>
      <c r="H254" s="74">
        <f t="shared" si="7"/>
        <v>1</v>
      </c>
    </row>
    <row r="255" spans="1:8" s="3" customFormat="1" ht="17.25" customHeight="1" x14ac:dyDescent="0.25">
      <c r="A255" s="28"/>
      <c r="B255" s="49"/>
      <c r="C255" s="43" t="s">
        <v>100</v>
      </c>
      <c r="D255" s="25">
        <v>5</v>
      </c>
      <c r="E255" s="13">
        <v>2419.9699999999998</v>
      </c>
      <c r="F255" s="26">
        <v>2298.9714999999997</v>
      </c>
      <c r="G255" s="68">
        <f t="shared" si="6"/>
        <v>-5.2631578947368585E-2</v>
      </c>
      <c r="H255" s="74">
        <f t="shared" si="7"/>
        <v>1</v>
      </c>
    </row>
    <row r="256" spans="1:8" s="3" customFormat="1" ht="17.25" customHeight="1" x14ac:dyDescent="0.25">
      <c r="A256" s="28"/>
      <c r="B256" s="49"/>
      <c r="C256" s="43" t="s">
        <v>100</v>
      </c>
      <c r="D256" s="25">
        <v>4</v>
      </c>
      <c r="E256" s="13">
        <v>2033.37</v>
      </c>
      <c r="F256" s="26">
        <v>1931.7014999999999</v>
      </c>
      <c r="G256" s="68">
        <f t="shared" si="6"/>
        <v>-5.2631578947368363E-2</v>
      </c>
      <c r="H256" s="74">
        <f t="shared" si="7"/>
        <v>1</v>
      </c>
    </row>
    <row r="257" spans="1:8" s="3" customFormat="1" ht="17.25" customHeight="1" x14ac:dyDescent="0.25">
      <c r="A257" s="28"/>
      <c r="B257" s="49"/>
      <c r="C257" s="43" t="s">
        <v>100</v>
      </c>
      <c r="D257" s="25">
        <v>3</v>
      </c>
      <c r="E257" s="13">
        <v>1637.46</v>
      </c>
      <c r="F257" s="26">
        <v>1555.587</v>
      </c>
      <c r="G257" s="68">
        <f t="shared" si="6"/>
        <v>-5.2631578947368363E-2</v>
      </c>
      <c r="H257" s="74">
        <f t="shared" si="7"/>
        <v>1</v>
      </c>
    </row>
    <row r="258" spans="1:8" s="3" customFormat="1" ht="17.25" customHeight="1" x14ac:dyDescent="0.25">
      <c r="A258" s="28"/>
      <c r="B258" s="49"/>
      <c r="C258" s="43" t="s">
        <v>100</v>
      </c>
      <c r="D258" s="25">
        <v>2</v>
      </c>
      <c r="E258" s="13">
        <v>1414.53</v>
      </c>
      <c r="F258" s="26">
        <v>1343.8035</v>
      </c>
      <c r="G258" s="68">
        <f t="shared" si="6"/>
        <v>-5.2631578947368363E-2</v>
      </c>
      <c r="H258" s="74">
        <f t="shared" si="7"/>
        <v>1</v>
      </c>
    </row>
    <row r="259" spans="1:8" s="3" customFormat="1" ht="17.25" customHeight="1" x14ac:dyDescent="0.25">
      <c r="A259" s="28"/>
      <c r="B259" s="49"/>
      <c r="C259" s="43" t="s">
        <v>101</v>
      </c>
      <c r="D259" s="25">
        <v>6</v>
      </c>
      <c r="E259" s="13">
        <v>2791.21</v>
      </c>
      <c r="F259" s="26">
        <v>2651.6495</v>
      </c>
      <c r="G259" s="68">
        <f t="shared" si="6"/>
        <v>-5.2631578947368363E-2</v>
      </c>
      <c r="H259" s="74">
        <f t="shared" si="7"/>
        <v>1</v>
      </c>
    </row>
    <row r="260" spans="1:8" s="3" customFormat="1" ht="17.25" customHeight="1" x14ac:dyDescent="0.25">
      <c r="A260" s="28"/>
      <c r="B260" s="49"/>
      <c r="C260" s="43" t="s">
        <v>101</v>
      </c>
      <c r="D260" s="25">
        <v>5</v>
      </c>
      <c r="E260" s="13">
        <v>2176.59</v>
      </c>
      <c r="F260" s="26">
        <v>2067.7605000000003</v>
      </c>
      <c r="G260" s="68">
        <f t="shared" si="6"/>
        <v>-5.2631578947368363E-2</v>
      </c>
      <c r="H260" s="74">
        <f t="shared" si="7"/>
        <v>1</v>
      </c>
    </row>
    <row r="261" spans="1:8" s="3" customFormat="1" ht="17.25" customHeight="1" x14ac:dyDescent="0.25">
      <c r="A261" s="28"/>
      <c r="B261" s="49"/>
      <c r="C261" s="43" t="s">
        <v>101</v>
      </c>
      <c r="D261" s="25">
        <v>4</v>
      </c>
      <c r="E261" s="13">
        <v>1691.64</v>
      </c>
      <c r="F261" s="26">
        <v>1607.058</v>
      </c>
      <c r="G261" s="68">
        <f t="shared" si="6"/>
        <v>-5.2631578947368585E-2</v>
      </c>
      <c r="H261" s="74">
        <f t="shared" si="7"/>
        <v>1</v>
      </c>
    </row>
    <row r="262" spans="1:8" s="3" customFormat="1" ht="17.25" customHeight="1" x14ac:dyDescent="0.25">
      <c r="A262" s="28"/>
      <c r="B262" s="50"/>
      <c r="C262" s="43" t="s">
        <v>101</v>
      </c>
      <c r="D262" s="25">
        <v>3</v>
      </c>
      <c r="E262" s="13">
        <v>1204.1600000000001</v>
      </c>
      <c r="F262" s="26">
        <v>1143.952</v>
      </c>
      <c r="G262" s="68">
        <f t="shared" si="6"/>
        <v>-5.2631578947368585E-2</v>
      </c>
      <c r="H262" s="74">
        <f t="shared" si="7"/>
        <v>1</v>
      </c>
    </row>
    <row r="263" spans="1:8" s="3" customFormat="1" ht="17.25" customHeight="1" x14ac:dyDescent="0.25">
      <c r="A263" s="28"/>
      <c r="B263" s="24" t="s">
        <v>102</v>
      </c>
      <c r="C263" s="43" t="s">
        <v>103</v>
      </c>
      <c r="D263" s="31">
        <v>5</v>
      </c>
      <c r="E263" s="13">
        <v>2067.69</v>
      </c>
      <c r="F263" s="26">
        <v>1964.3054999999999</v>
      </c>
      <c r="G263" s="68">
        <f t="shared" si="6"/>
        <v>-5.2631578947368585E-2</v>
      </c>
      <c r="H263" s="74">
        <f t="shared" si="7"/>
        <v>1</v>
      </c>
    </row>
    <row r="264" spans="1:8" s="3" customFormat="1" ht="17.25" customHeight="1" x14ac:dyDescent="0.25">
      <c r="A264" s="28"/>
      <c r="B264" s="51"/>
      <c r="C264" s="43" t="s">
        <v>103</v>
      </c>
      <c r="D264" s="31">
        <v>4</v>
      </c>
      <c r="E264" s="13">
        <v>1416.12</v>
      </c>
      <c r="F264" s="26">
        <v>1416.12</v>
      </c>
      <c r="G264" s="68">
        <f t="shared" si="6"/>
        <v>0</v>
      </c>
      <c r="H264" s="74">
        <f t="shared" si="7"/>
        <v>0</v>
      </c>
    </row>
    <row r="265" spans="1:8" s="3" customFormat="1" ht="17.25" customHeight="1" x14ac:dyDescent="0.25">
      <c r="A265" s="28"/>
      <c r="B265" s="52"/>
      <c r="C265" s="43" t="s">
        <v>103</v>
      </c>
      <c r="D265" s="31">
        <v>3</v>
      </c>
      <c r="E265" s="13">
        <v>1047.83</v>
      </c>
      <c r="F265" s="26">
        <v>1047.83</v>
      </c>
      <c r="G265" s="68">
        <f t="shared" si="6"/>
        <v>0</v>
      </c>
      <c r="H265" s="74">
        <f t="shared" si="7"/>
        <v>0</v>
      </c>
    </row>
    <row r="266" spans="1:8" s="3" customFormat="1" ht="17.25" customHeight="1" x14ac:dyDescent="0.25">
      <c r="A266" s="28"/>
      <c r="B266" s="52"/>
      <c r="C266" s="43" t="s">
        <v>104</v>
      </c>
      <c r="D266" s="31">
        <v>6</v>
      </c>
      <c r="E266" s="13">
        <v>2568.3200000000002</v>
      </c>
      <c r="F266" s="26">
        <v>2439.904</v>
      </c>
      <c r="G266" s="68">
        <f t="shared" si="6"/>
        <v>-5.2631578947368585E-2</v>
      </c>
      <c r="H266" s="74">
        <f t="shared" si="7"/>
        <v>1</v>
      </c>
    </row>
    <row r="267" spans="1:8" s="3" customFormat="1" ht="17.25" customHeight="1" x14ac:dyDescent="0.25">
      <c r="A267" s="28"/>
      <c r="B267" s="52"/>
      <c r="C267" s="43" t="s">
        <v>104</v>
      </c>
      <c r="D267" s="31">
        <v>5</v>
      </c>
      <c r="E267" s="13">
        <v>2100.52</v>
      </c>
      <c r="F267" s="26">
        <v>1995.4939999999999</v>
      </c>
      <c r="G267" s="68">
        <f t="shared" si="6"/>
        <v>-5.2631578947368363E-2</v>
      </c>
      <c r="H267" s="74">
        <f t="shared" si="7"/>
        <v>1</v>
      </c>
    </row>
    <row r="268" spans="1:8" s="3" customFormat="1" ht="17.25" customHeight="1" x14ac:dyDescent="0.25">
      <c r="A268" s="28"/>
      <c r="B268" s="52"/>
      <c r="C268" s="43" t="s">
        <v>104</v>
      </c>
      <c r="D268" s="31">
        <v>4</v>
      </c>
      <c r="E268" s="13">
        <v>1704.89</v>
      </c>
      <c r="F268" s="26">
        <v>1619.6455000000001</v>
      </c>
      <c r="G268" s="68">
        <f t="shared" si="6"/>
        <v>-5.2631578947368363E-2</v>
      </c>
      <c r="H268" s="74">
        <f t="shared" si="7"/>
        <v>1</v>
      </c>
    </row>
    <row r="269" spans="1:8" s="3" customFormat="1" ht="17.25" customHeight="1" x14ac:dyDescent="0.25">
      <c r="A269" s="28"/>
      <c r="B269" s="52"/>
      <c r="C269" s="43" t="s">
        <v>105</v>
      </c>
      <c r="D269" s="31">
        <v>6</v>
      </c>
      <c r="E269" s="13">
        <v>2120.0700000000002</v>
      </c>
      <c r="F269" s="26">
        <v>2014.0665000000001</v>
      </c>
      <c r="G269" s="68">
        <f t="shared" si="6"/>
        <v>-5.2631578947368363E-2</v>
      </c>
      <c r="H269" s="74">
        <f t="shared" si="7"/>
        <v>1</v>
      </c>
    </row>
    <row r="270" spans="1:8" s="3" customFormat="1" ht="17.25" customHeight="1" x14ac:dyDescent="0.25">
      <c r="A270" s="28"/>
      <c r="B270" s="52"/>
      <c r="C270" s="43" t="s">
        <v>105</v>
      </c>
      <c r="D270" s="31">
        <v>5</v>
      </c>
      <c r="E270" s="13">
        <v>1879.22</v>
      </c>
      <c r="F270" s="26">
        <v>1785.259</v>
      </c>
      <c r="G270" s="68">
        <f t="shared" si="6"/>
        <v>-5.2631578947368363E-2</v>
      </c>
      <c r="H270" s="74">
        <f t="shared" si="7"/>
        <v>1</v>
      </c>
    </row>
    <row r="271" spans="1:8" s="3" customFormat="1" ht="17.25" customHeight="1" x14ac:dyDescent="0.25">
      <c r="A271" s="28"/>
      <c r="B271" s="52"/>
      <c r="C271" s="43" t="s">
        <v>105</v>
      </c>
      <c r="D271" s="31">
        <v>4</v>
      </c>
      <c r="E271" s="13">
        <v>1459.33</v>
      </c>
      <c r="F271" s="26">
        <v>1386.3634999999999</v>
      </c>
      <c r="G271" s="68">
        <f t="shared" si="6"/>
        <v>-5.2631578947368363E-2</v>
      </c>
      <c r="H271" s="74">
        <f t="shared" si="7"/>
        <v>1</v>
      </c>
    </row>
    <row r="272" spans="1:8" s="3" customFormat="1" ht="17.25" customHeight="1" x14ac:dyDescent="0.25">
      <c r="A272" s="28"/>
      <c r="B272" s="52"/>
      <c r="C272" s="43" t="s">
        <v>105</v>
      </c>
      <c r="D272" s="31">
        <v>3</v>
      </c>
      <c r="E272" s="13">
        <v>1266.2</v>
      </c>
      <c r="F272" s="26">
        <v>1202.8900000000001</v>
      </c>
      <c r="G272" s="68">
        <f t="shared" ref="G272:G335" si="8">1-(E272/F272)</f>
        <v>-5.2631578947368363E-2</v>
      </c>
      <c r="H272" s="74">
        <f t="shared" si="7"/>
        <v>1</v>
      </c>
    </row>
    <row r="273" spans="1:8" s="3" customFormat="1" ht="17.25" customHeight="1" x14ac:dyDescent="0.25">
      <c r="A273" s="28"/>
      <c r="B273" s="52"/>
      <c r="C273" s="43" t="s">
        <v>105</v>
      </c>
      <c r="D273" s="31">
        <v>2</v>
      </c>
      <c r="E273" s="13">
        <v>1103.05</v>
      </c>
      <c r="F273" s="26">
        <v>1047.8975</v>
      </c>
      <c r="G273" s="68">
        <f t="shared" si="8"/>
        <v>-5.2631578947368363E-2</v>
      </c>
      <c r="H273" s="74">
        <f t="shared" ref="H273:H336" si="9">IF(E273=F273,0,1)</f>
        <v>1</v>
      </c>
    </row>
    <row r="274" spans="1:8" s="3" customFormat="1" ht="17.25" customHeight="1" x14ac:dyDescent="0.25">
      <c r="A274" s="28"/>
      <c r="B274" s="52"/>
      <c r="C274" s="43" t="s">
        <v>105</v>
      </c>
      <c r="D274" s="31">
        <v>1</v>
      </c>
      <c r="E274" s="13">
        <v>985.29</v>
      </c>
      <c r="F274" s="26">
        <v>936.02549999999997</v>
      </c>
      <c r="G274" s="68">
        <f t="shared" si="8"/>
        <v>-5.2631578947368363E-2</v>
      </c>
      <c r="H274" s="74">
        <f t="shared" si="9"/>
        <v>1</v>
      </c>
    </row>
    <row r="275" spans="1:8" s="3" customFormat="1" ht="17.25" customHeight="1" x14ac:dyDescent="0.25">
      <c r="A275" s="28"/>
      <c r="B275" s="52"/>
      <c r="C275" s="43" t="s">
        <v>106</v>
      </c>
      <c r="D275" s="31">
        <v>6</v>
      </c>
      <c r="E275" s="13">
        <v>2123.29</v>
      </c>
      <c r="F275" s="26">
        <v>2017.1254999999999</v>
      </c>
      <c r="G275" s="68">
        <f t="shared" si="8"/>
        <v>-5.2631578947368363E-2</v>
      </c>
      <c r="H275" s="74">
        <f t="shared" si="9"/>
        <v>1</v>
      </c>
    </row>
    <row r="276" spans="1:8" s="3" customFormat="1" ht="17.25" customHeight="1" x14ac:dyDescent="0.25">
      <c r="A276" s="28"/>
      <c r="B276" s="52"/>
      <c r="C276" s="43" t="s">
        <v>106</v>
      </c>
      <c r="D276" s="31">
        <v>5</v>
      </c>
      <c r="E276" s="13">
        <v>1583.63</v>
      </c>
      <c r="F276" s="26">
        <v>1504.4485000000002</v>
      </c>
      <c r="G276" s="68">
        <f t="shared" si="8"/>
        <v>-5.2631578947368363E-2</v>
      </c>
      <c r="H276" s="74">
        <f t="shared" si="9"/>
        <v>1</v>
      </c>
    </row>
    <row r="277" spans="1:8" s="3" customFormat="1" ht="17.25" customHeight="1" x14ac:dyDescent="0.25">
      <c r="A277" s="28"/>
      <c r="B277" s="52"/>
      <c r="C277" s="43" t="s">
        <v>106</v>
      </c>
      <c r="D277" s="31">
        <v>4</v>
      </c>
      <c r="E277" s="13">
        <v>1301.74</v>
      </c>
      <c r="F277" s="26">
        <v>1236.653</v>
      </c>
      <c r="G277" s="68">
        <f t="shared" si="8"/>
        <v>-5.2631578947368363E-2</v>
      </c>
      <c r="H277" s="74">
        <f t="shared" si="9"/>
        <v>1</v>
      </c>
    </row>
    <row r="278" spans="1:8" s="3" customFormat="1" ht="17.25" customHeight="1" x14ac:dyDescent="0.25">
      <c r="A278" s="28"/>
      <c r="B278" s="52"/>
      <c r="C278" s="43" t="s">
        <v>107</v>
      </c>
      <c r="D278" s="31">
        <v>6</v>
      </c>
      <c r="E278" s="13">
        <v>2147.0500000000002</v>
      </c>
      <c r="F278" s="26">
        <v>2039.6975000000002</v>
      </c>
      <c r="G278" s="68">
        <f t="shared" si="8"/>
        <v>-5.2631578947368363E-2</v>
      </c>
      <c r="H278" s="74">
        <f t="shared" si="9"/>
        <v>1</v>
      </c>
    </row>
    <row r="279" spans="1:8" s="3" customFormat="1" ht="17.25" customHeight="1" x14ac:dyDescent="0.25">
      <c r="A279" s="28"/>
      <c r="B279" s="52"/>
      <c r="C279" s="43" t="s">
        <v>107</v>
      </c>
      <c r="D279" s="31">
        <v>5</v>
      </c>
      <c r="E279" s="13">
        <v>1754</v>
      </c>
      <c r="F279" s="26">
        <v>1666.3</v>
      </c>
      <c r="G279" s="68">
        <f t="shared" si="8"/>
        <v>-5.2631578947368363E-2</v>
      </c>
      <c r="H279" s="74">
        <f t="shared" si="9"/>
        <v>1</v>
      </c>
    </row>
    <row r="280" spans="1:8" s="3" customFormat="1" ht="17.25" customHeight="1" x14ac:dyDescent="0.25">
      <c r="A280" s="28"/>
      <c r="B280" s="52"/>
      <c r="C280" s="43" t="s">
        <v>107</v>
      </c>
      <c r="D280" s="31">
        <v>4</v>
      </c>
      <c r="E280" s="13">
        <v>1508.01</v>
      </c>
      <c r="F280" s="26">
        <v>1432.6095</v>
      </c>
      <c r="G280" s="68">
        <f t="shared" si="8"/>
        <v>-5.2631578947368363E-2</v>
      </c>
      <c r="H280" s="74">
        <f t="shared" si="9"/>
        <v>1</v>
      </c>
    </row>
    <row r="281" spans="1:8" s="3" customFormat="1" ht="17.25" customHeight="1" x14ac:dyDescent="0.25">
      <c r="A281" s="28"/>
      <c r="B281" s="52"/>
      <c r="C281" s="43" t="s">
        <v>107</v>
      </c>
      <c r="D281" s="31">
        <v>3</v>
      </c>
      <c r="E281" s="13">
        <v>1157.75</v>
      </c>
      <c r="F281" s="26">
        <v>1099.8625</v>
      </c>
      <c r="G281" s="68">
        <f t="shared" si="8"/>
        <v>-5.2631578947368363E-2</v>
      </c>
      <c r="H281" s="74">
        <f t="shared" si="9"/>
        <v>1</v>
      </c>
    </row>
    <row r="282" spans="1:8" s="3" customFormat="1" ht="17.25" customHeight="1" x14ac:dyDescent="0.25">
      <c r="A282" s="28"/>
      <c r="B282" s="52"/>
      <c r="C282" s="43" t="s">
        <v>107</v>
      </c>
      <c r="D282" s="31">
        <v>2</v>
      </c>
      <c r="E282" s="13">
        <v>983.96</v>
      </c>
      <c r="F282" s="26">
        <v>934.76200000000006</v>
      </c>
      <c r="G282" s="68">
        <f t="shared" si="8"/>
        <v>-5.2631578947368363E-2</v>
      </c>
      <c r="H282" s="74">
        <f t="shared" si="9"/>
        <v>1</v>
      </c>
    </row>
    <row r="283" spans="1:8" s="3" customFormat="1" ht="17.25" customHeight="1" x14ac:dyDescent="0.25">
      <c r="A283" s="28"/>
      <c r="B283" s="52"/>
      <c r="C283" s="43" t="s">
        <v>108</v>
      </c>
      <c r="D283" s="31">
        <v>5</v>
      </c>
      <c r="E283" s="13">
        <v>1792.34</v>
      </c>
      <c r="F283" s="26">
        <v>1702.723</v>
      </c>
      <c r="G283" s="68">
        <f t="shared" si="8"/>
        <v>-5.2631578947368363E-2</v>
      </c>
      <c r="H283" s="74">
        <f t="shared" si="9"/>
        <v>1</v>
      </c>
    </row>
    <row r="284" spans="1:8" s="3" customFormat="1" ht="17.25" customHeight="1" x14ac:dyDescent="0.25">
      <c r="A284" s="28"/>
      <c r="B284" s="52"/>
      <c r="C284" s="43" t="s">
        <v>108</v>
      </c>
      <c r="D284" s="31">
        <v>4</v>
      </c>
      <c r="E284" s="13">
        <v>1486.86</v>
      </c>
      <c r="F284" s="26">
        <v>1412.5169999999998</v>
      </c>
      <c r="G284" s="68">
        <f t="shared" si="8"/>
        <v>-5.2631578947368585E-2</v>
      </c>
      <c r="H284" s="74">
        <f t="shared" si="9"/>
        <v>1</v>
      </c>
    </row>
    <row r="285" spans="1:8" s="3" customFormat="1" ht="17.25" customHeight="1" x14ac:dyDescent="0.25">
      <c r="A285" s="28"/>
      <c r="B285" s="52"/>
      <c r="C285" s="43" t="s">
        <v>108</v>
      </c>
      <c r="D285" s="31">
        <v>3</v>
      </c>
      <c r="E285" s="13">
        <v>1209.52</v>
      </c>
      <c r="F285" s="26">
        <v>1149.0439999999999</v>
      </c>
      <c r="G285" s="68">
        <f t="shared" si="8"/>
        <v>-5.2631578947368585E-2</v>
      </c>
      <c r="H285" s="74">
        <f t="shared" si="9"/>
        <v>1</v>
      </c>
    </row>
    <row r="286" spans="1:8" s="3" customFormat="1" ht="17.25" customHeight="1" x14ac:dyDescent="0.25">
      <c r="A286" s="28"/>
      <c r="B286" s="52"/>
      <c r="C286" s="43" t="s">
        <v>108</v>
      </c>
      <c r="D286" s="31">
        <v>2</v>
      </c>
      <c r="E286" s="13">
        <v>1003.35</v>
      </c>
      <c r="F286" s="26">
        <v>953.1825</v>
      </c>
      <c r="G286" s="68">
        <f t="shared" si="8"/>
        <v>-5.2631578947368363E-2</v>
      </c>
      <c r="H286" s="74">
        <f t="shared" si="9"/>
        <v>1</v>
      </c>
    </row>
    <row r="287" spans="1:8" s="3" customFormat="1" ht="17.25" customHeight="1" x14ac:dyDescent="0.25">
      <c r="A287" s="28"/>
      <c r="B287" s="52"/>
      <c r="C287" s="43" t="s">
        <v>109</v>
      </c>
      <c r="D287" s="31">
        <v>4</v>
      </c>
      <c r="E287" s="13">
        <v>1717.46</v>
      </c>
      <c r="F287" s="26">
        <v>1631.587</v>
      </c>
      <c r="G287" s="68">
        <f t="shared" si="8"/>
        <v>-5.2631578947368363E-2</v>
      </c>
      <c r="H287" s="74">
        <f t="shared" si="9"/>
        <v>1</v>
      </c>
    </row>
    <row r="288" spans="1:8" s="3" customFormat="1" ht="17.25" customHeight="1" x14ac:dyDescent="0.25">
      <c r="A288" s="28"/>
      <c r="B288" s="52"/>
      <c r="C288" s="43" t="s">
        <v>109</v>
      </c>
      <c r="D288" s="31">
        <v>3</v>
      </c>
      <c r="E288" s="13">
        <v>1452.96</v>
      </c>
      <c r="F288" s="26">
        <v>1380.3120000000001</v>
      </c>
      <c r="G288" s="68">
        <f t="shared" si="8"/>
        <v>-5.2631578947368363E-2</v>
      </c>
      <c r="H288" s="74">
        <f t="shared" si="9"/>
        <v>1</v>
      </c>
    </row>
    <row r="289" spans="1:8" s="3" customFormat="1" ht="17.25" customHeight="1" x14ac:dyDescent="0.25">
      <c r="A289" s="28"/>
      <c r="B289" s="52"/>
      <c r="C289" s="43" t="s">
        <v>109</v>
      </c>
      <c r="D289" s="31">
        <v>2</v>
      </c>
      <c r="E289" s="13">
        <v>1233.9000000000001</v>
      </c>
      <c r="F289" s="26">
        <v>1172.2050000000002</v>
      </c>
      <c r="G289" s="68">
        <f t="shared" si="8"/>
        <v>-5.2631578947368363E-2</v>
      </c>
      <c r="H289" s="74">
        <f t="shared" si="9"/>
        <v>1</v>
      </c>
    </row>
    <row r="290" spans="1:8" s="3" customFormat="1" ht="17.25" customHeight="1" x14ac:dyDescent="0.25">
      <c r="A290" s="28"/>
      <c r="B290" s="52"/>
      <c r="C290" s="43" t="s">
        <v>109</v>
      </c>
      <c r="D290" s="31">
        <v>1</v>
      </c>
      <c r="E290" s="13">
        <v>1069.94</v>
      </c>
      <c r="F290" s="26">
        <v>1016.4430000000001</v>
      </c>
      <c r="G290" s="68">
        <f t="shared" si="8"/>
        <v>-5.2631578947368363E-2</v>
      </c>
      <c r="H290" s="74">
        <f t="shared" si="9"/>
        <v>1</v>
      </c>
    </row>
    <row r="291" spans="1:8" s="3" customFormat="1" ht="17.25" customHeight="1" x14ac:dyDescent="0.25">
      <c r="A291" s="28"/>
      <c r="B291" s="52"/>
      <c r="C291" s="43" t="s">
        <v>110</v>
      </c>
      <c r="D291" s="31">
        <v>5</v>
      </c>
      <c r="E291" s="13">
        <v>2057.2199999999998</v>
      </c>
      <c r="F291" s="26">
        <v>1954.3589999999999</v>
      </c>
      <c r="G291" s="68">
        <f t="shared" si="8"/>
        <v>-5.2631578947368363E-2</v>
      </c>
      <c r="H291" s="74">
        <f t="shared" si="9"/>
        <v>1</v>
      </c>
    </row>
    <row r="292" spans="1:8" s="3" customFormat="1" ht="17.25" customHeight="1" x14ac:dyDescent="0.25">
      <c r="A292" s="28"/>
      <c r="B292" s="52"/>
      <c r="C292" s="43" t="s">
        <v>110</v>
      </c>
      <c r="D292" s="31">
        <v>4</v>
      </c>
      <c r="E292" s="13">
        <v>1534.71</v>
      </c>
      <c r="F292" s="26">
        <v>1457.9745</v>
      </c>
      <c r="G292" s="68">
        <f t="shared" si="8"/>
        <v>-5.2631578947368363E-2</v>
      </c>
      <c r="H292" s="74">
        <f t="shared" si="9"/>
        <v>1</v>
      </c>
    </row>
    <row r="293" spans="1:8" s="3" customFormat="1" ht="17.25" customHeight="1" x14ac:dyDescent="0.25">
      <c r="A293" s="28"/>
      <c r="B293" s="52"/>
      <c r="C293" s="43" t="s">
        <v>110</v>
      </c>
      <c r="D293" s="31">
        <v>3</v>
      </c>
      <c r="E293" s="13">
        <v>1235.22</v>
      </c>
      <c r="F293" s="26">
        <v>1173.4590000000001</v>
      </c>
      <c r="G293" s="68">
        <f t="shared" si="8"/>
        <v>-5.2631578947368363E-2</v>
      </c>
      <c r="H293" s="74">
        <f t="shared" si="9"/>
        <v>1</v>
      </c>
    </row>
    <row r="294" spans="1:8" s="3" customFormat="1" ht="17.25" customHeight="1" x14ac:dyDescent="0.25">
      <c r="A294" s="28"/>
      <c r="B294" s="52"/>
      <c r="C294" s="43" t="s">
        <v>110</v>
      </c>
      <c r="D294" s="31">
        <v>2</v>
      </c>
      <c r="E294" s="13">
        <v>994.46</v>
      </c>
      <c r="F294" s="26">
        <v>944.73700000000008</v>
      </c>
      <c r="G294" s="68">
        <f t="shared" si="8"/>
        <v>-5.2631578947368363E-2</v>
      </c>
      <c r="H294" s="74">
        <f t="shared" si="9"/>
        <v>1</v>
      </c>
    </row>
    <row r="295" spans="1:8" s="3" customFormat="1" ht="17.25" customHeight="1" x14ac:dyDescent="0.25">
      <c r="A295" s="28"/>
      <c r="B295" s="52"/>
      <c r="C295" s="43" t="s">
        <v>111</v>
      </c>
      <c r="D295" s="31">
        <v>6</v>
      </c>
      <c r="E295" s="13">
        <v>2578.64</v>
      </c>
      <c r="F295" s="26">
        <v>2449.7080000000001</v>
      </c>
      <c r="G295" s="68">
        <f t="shared" si="8"/>
        <v>-5.2631578947368363E-2</v>
      </c>
      <c r="H295" s="74">
        <f t="shared" si="9"/>
        <v>1</v>
      </c>
    </row>
    <row r="296" spans="1:8" s="3" customFormat="1" ht="17.25" customHeight="1" x14ac:dyDescent="0.25">
      <c r="A296" s="28"/>
      <c r="B296" s="52"/>
      <c r="C296" s="43" t="s">
        <v>111</v>
      </c>
      <c r="D296" s="31">
        <v>5</v>
      </c>
      <c r="E296" s="13">
        <v>2009.65</v>
      </c>
      <c r="F296" s="26">
        <v>1909.1675</v>
      </c>
      <c r="G296" s="68">
        <f t="shared" si="8"/>
        <v>-5.2631578947368363E-2</v>
      </c>
      <c r="H296" s="74">
        <f t="shared" si="9"/>
        <v>1</v>
      </c>
    </row>
    <row r="297" spans="1:8" s="3" customFormat="1" ht="17.25" customHeight="1" x14ac:dyDescent="0.25">
      <c r="A297" s="28"/>
      <c r="B297" s="52"/>
      <c r="C297" s="43" t="s">
        <v>111</v>
      </c>
      <c r="D297" s="31">
        <v>4</v>
      </c>
      <c r="E297" s="13">
        <v>1723.78</v>
      </c>
      <c r="F297" s="26">
        <v>1637.5909999999999</v>
      </c>
      <c r="G297" s="68">
        <f t="shared" si="8"/>
        <v>-5.2631578947368363E-2</v>
      </c>
      <c r="H297" s="74">
        <f t="shared" si="9"/>
        <v>1</v>
      </c>
    </row>
    <row r="298" spans="1:8" s="3" customFormat="1" ht="17.25" customHeight="1" x14ac:dyDescent="0.25">
      <c r="A298" s="28"/>
      <c r="B298" s="52"/>
      <c r="C298" s="43" t="s">
        <v>111</v>
      </c>
      <c r="D298" s="31">
        <v>3</v>
      </c>
      <c r="E298" s="13">
        <v>1472.2</v>
      </c>
      <c r="F298" s="26">
        <v>1398.5900000000001</v>
      </c>
      <c r="G298" s="68">
        <f t="shared" si="8"/>
        <v>-5.2631578947368363E-2</v>
      </c>
      <c r="H298" s="74">
        <f t="shared" si="9"/>
        <v>1</v>
      </c>
    </row>
    <row r="299" spans="1:8" s="3" customFormat="1" ht="17.25" customHeight="1" x14ac:dyDescent="0.25">
      <c r="A299" s="28"/>
      <c r="B299" s="52"/>
      <c r="C299" s="43" t="s">
        <v>112</v>
      </c>
      <c r="D299" s="31">
        <v>5</v>
      </c>
      <c r="E299" s="13">
        <v>1459.84</v>
      </c>
      <c r="F299" s="26">
        <v>1386.848</v>
      </c>
      <c r="G299" s="68">
        <f t="shared" si="8"/>
        <v>-5.2631578947368363E-2</v>
      </c>
      <c r="H299" s="74">
        <f t="shared" si="9"/>
        <v>1</v>
      </c>
    </row>
    <row r="300" spans="1:8" s="3" customFormat="1" ht="17.25" customHeight="1" x14ac:dyDescent="0.25">
      <c r="A300" s="28"/>
      <c r="B300" s="52"/>
      <c r="C300" s="43" t="s">
        <v>112</v>
      </c>
      <c r="D300" s="31">
        <v>4</v>
      </c>
      <c r="E300" s="13">
        <v>1170.47</v>
      </c>
      <c r="F300" s="26">
        <v>1170.47</v>
      </c>
      <c r="G300" s="68">
        <f t="shared" si="8"/>
        <v>0</v>
      </c>
      <c r="H300" s="74">
        <f t="shared" si="9"/>
        <v>0</v>
      </c>
    </row>
    <row r="301" spans="1:8" s="3" customFormat="1" ht="17.25" customHeight="1" x14ac:dyDescent="0.25">
      <c r="A301" s="28"/>
      <c r="B301" s="52"/>
      <c r="C301" s="43" t="s">
        <v>112</v>
      </c>
      <c r="D301" s="31">
        <v>3</v>
      </c>
      <c r="E301" s="13">
        <v>941.92</v>
      </c>
      <c r="F301" s="26">
        <v>894.82399999999996</v>
      </c>
      <c r="G301" s="68">
        <f t="shared" si="8"/>
        <v>-5.2631578947368363E-2</v>
      </c>
      <c r="H301" s="74">
        <f t="shared" si="9"/>
        <v>1</v>
      </c>
    </row>
    <row r="302" spans="1:8" s="3" customFormat="1" ht="17.25" customHeight="1" x14ac:dyDescent="0.25">
      <c r="A302" s="28"/>
      <c r="B302" s="52"/>
      <c r="C302" s="43" t="s">
        <v>112</v>
      </c>
      <c r="D302" s="31">
        <v>2</v>
      </c>
      <c r="E302" s="13">
        <v>760.67</v>
      </c>
      <c r="F302" s="26">
        <v>722.63649999999996</v>
      </c>
      <c r="G302" s="68">
        <f t="shared" si="8"/>
        <v>-5.2631578947368363E-2</v>
      </c>
      <c r="H302" s="74">
        <f t="shared" si="9"/>
        <v>1</v>
      </c>
    </row>
    <row r="303" spans="1:8" s="3" customFormat="1" ht="17.25" customHeight="1" x14ac:dyDescent="0.25">
      <c r="A303" s="28"/>
      <c r="B303" s="52"/>
      <c r="C303" s="43" t="s">
        <v>113</v>
      </c>
      <c r="D303" s="31">
        <v>5</v>
      </c>
      <c r="E303" s="13">
        <v>1892.25</v>
      </c>
      <c r="F303" s="26">
        <v>1797.6375</v>
      </c>
      <c r="G303" s="68">
        <f t="shared" si="8"/>
        <v>-5.2631578947368363E-2</v>
      </c>
      <c r="H303" s="74">
        <f t="shared" si="9"/>
        <v>1</v>
      </c>
    </row>
    <row r="304" spans="1:8" s="3" customFormat="1" ht="17.25" customHeight="1" x14ac:dyDescent="0.25">
      <c r="A304" s="28"/>
      <c r="B304" s="52"/>
      <c r="C304" s="43" t="s">
        <v>113</v>
      </c>
      <c r="D304" s="31">
        <v>4</v>
      </c>
      <c r="E304" s="13">
        <v>1706.62</v>
      </c>
      <c r="F304" s="26">
        <v>1621.289</v>
      </c>
      <c r="G304" s="68">
        <f t="shared" si="8"/>
        <v>-5.2631578947368363E-2</v>
      </c>
      <c r="H304" s="74">
        <f t="shared" si="9"/>
        <v>1</v>
      </c>
    </row>
    <row r="305" spans="1:8" s="3" customFormat="1" ht="17.25" customHeight="1" x14ac:dyDescent="0.25">
      <c r="A305" s="28"/>
      <c r="B305" s="52"/>
      <c r="C305" s="43" t="s">
        <v>113</v>
      </c>
      <c r="D305" s="31">
        <v>3</v>
      </c>
      <c r="E305" s="13">
        <v>1461.01</v>
      </c>
      <c r="F305" s="26">
        <v>1387.9594999999999</v>
      </c>
      <c r="G305" s="68">
        <f t="shared" si="8"/>
        <v>-5.2631578947368363E-2</v>
      </c>
      <c r="H305" s="74">
        <f t="shared" si="9"/>
        <v>1</v>
      </c>
    </row>
    <row r="306" spans="1:8" s="3" customFormat="1" ht="17.25" customHeight="1" x14ac:dyDescent="0.25">
      <c r="A306" s="28"/>
      <c r="B306" s="52"/>
      <c r="C306" s="43" t="s">
        <v>114</v>
      </c>
      <c r="D306" s="31">
        <v>5</v>
      </c>
      <c r="E306" s="13">
        <v>1744.77</v>
      </c>
      <c r="F306" s="26">
        <v>1657.5315000000001</v>
      </c>
      <c r="G306" s="68">
        <f t="shared" si="8"/>
        <v>-5.2631578947368363E-2</v>
      </c>
      <c r="H306" s="74">
        <f t="shared" si="9"/>
        <v>1</v>
      </c>
    </row>
    <row r="307" spans="1:8" s="3" customFormat="1" ht="17.25" customHeight="1" x14ac:dyDescent="0.25">
      <c r="A307" s="28"/>
      <c r="B307" s="52"/>
      <c r="C307" s="43" t="s">
        <v>114</v>
      </c>
      <c r="D307" s="31">
        <v>4</v>
      </c>
      <c r="E307" s="13">
        <v>1397.75</v>
      </c>
      <c r="F307" s="26">
        <v>1327.8625</v>
      </c>
      <c r="G307" s="68">
        <f t="shared" si="8"/>
        <v>-5.2631578947368363E-2</v>
      </c>
      <c r="H307" s="74">
        <f t="shared" si="9"/>
        <v>1</v>
      </c>
    </row>
    <row r="308" spans="1:8" s="3" customFormat="1" ht="17.25" customHeight="1" x14ac:dyDescent="0.25">
      <c r="A308" s="28"/>
      <c r="B308" s="52"/>
      <c r="C308" s="43" t="s">
        <v>114</v>
      </c>
      <c r="D308" s="31">
        <v>3</v>
      </c>
      <c r="E308" s="13">
        <v>1183.1400000000001</v>
      </c>
      <c r="F308" s="26">
        <v>1123.9830000000002</v>
      </c>
      <c r="G308" s="68">
        <f t="shared" si="8"/>
        <v>-5.2631578947368363E-2</v>
      </c>
      <c r="H308" s="74">
        <f t="shared" si="9"/>
        <v>1</v>
      </c>
    </row>
    <row r="309" spans="1:8" s="3" customFormat="1" ht="17.25" customHeight="1" x14ac:dyDescent="0.25">
      <c r="A309" s="28"/>
      <c r="B309" s="52"/>
      <c r="C309" s="43" t="s">
        <v>114</v>
      </c>
      <c r="D309" s="31">
        <v>2</v>
      </c>
      <c r="E309" s="13">
        <v>921.93</v>
      </c>
      <c r="F309" s="26">
        <v>875.83349999999996</v>
      </c>
      <c r="G309" s="68">
        <f t="shared" si="8"/>
        <v>-5.2631578947368363E-2</v>
      </c>
      <c r="H309" s="74">
        <f t="shared" si="9"/>
        <v>1</v>
      </c>
    </row>
    <row r="310" spans="1:8" s="3" customFormat="1" ht="17.25" customHeight="1" x14ac:dyDescent="0.25">
      <c r="A310" s="28"/>
      <c r="B310" s="52"/>
      <c r="C310" s="43" t="s">
        <v>115</v>
      </c>
      <c r="D310" s="31">
        <v>6</v>
      </c>
      <c r="E310" s="13">
        <v>2554.31</v>
      </c>
      <c r="F310" s="26">
        <v>2426.5945000000002</v>
      </c>
      <c r="G310" s="68">
        <f t="shared" si="8"/>
        <v>-5.2631578947368363E-2</v>
      </c>
      <c r="H310" s="74">
        <f t="shared" si="9"/>
        <v>1</v>
      </c>
    </row>
    <row r="311" spans="1:8" s="3" customFormat="1" ht="17.25" customHeight="1" x14ac:dyDescent="0.25">
      <c r="A311" s="28"/>
      <c r="B311" s="52"/>
      <c r="C311" s="43" t="s">
        <v>115</v>
      </c>
      <c r="D311" s="31">
        <v>5</v>
      </c>
      <c r="E311" s="13">
        <v>1928.26</v>
      </c>
      <c r="F311" s="26">
        <v>1831.847</v>
      </c>
      <c r="G311" s="68">
        <f t="shared" si="8"/>
        <v>-5.2631578947368363E-2</v>
      </c>
      <c r="H311" s="74">
        <f t="shared" si="9"/>
        <v>1</v>
      </c>
    </row>
    <row r="312" spans="1:8" s="3" customFormat="1" ht="17.25" customHeight="1" x14ac:dyDescent="0.25">
      <c r="A312" s="28"/>
      <c r="B312" s="52"/>
      <c r="C312" s="43" t="s">
        <v>115</v>
      </c>
      <c r="D312" s="31">
        <v>4</v>
      </c>
      <c r="E312" s="13">
        <v>1668.47</v>
      </c>
      <c r="F312" s="26">
        <v>1585.0464999999999</v>
      </c>
      <c r="G312" s="68">
        <f t="shared" si="8"/>
        <v>-5.2631578947368585E-2</v>
      </c>
      <c r="H312" s="74">
        <f t="shared" si="9"/>
        <v>1</v>
      </c>
    </row>
    <row r="313" spans="1:8" s="3" customFormat="1" ht="17.25" customHeight="1" x14ac:dyDescent="0.25">
      <c r="A313" s="33"/>
      <c r="B313" s="53"/>
      <c r="C313" s="43" t="s">
        <v>115</v>
      </c>
      <c r="D313" s="31">
        <v>3</v>
      </c>
      <c r="E313" s="13">
        <v>1427.95</v>
      </c>
      <c r="F313" s="26">
        <v>1356.5525</v>
      </c>
      <c r="G313" s="68">
        <f t="shared" si="8"/>
        <v>-5.2631578947368363E-2</v>
      </c>
      <c r="H313" s="74">
        <f t="shared" si="9"/>
        <v>1</v>
      </c>
    </row>
    <row r="314" spans="1:8" s="3" customFormat="1" ht="17.25" customHeight="1" x14ac:dyDescent="0.25">
      <c r="A314" s="9" t="s">
        <v>116</v>
      </c>
      <c r="B314" s="10" t="s">
        <v>117</v>
      </c>
      <c r="C314" s="43" t="s">
        <v>118</v>
      </c>
      <c r="D314" s="35">
        <v>7</v>
      </c>
      <c r="E314" s="13">
        <v>2830.94</v>
      </c>
      <c r="F314" s="14">
        <v>2689.393</v>
      </c>
      <c r="G314" s="68">
        <f t="shared" si="8"/>
        <v>-5.2631578947368363E-2</v>
      </c>
      <c r="H314" s="74">
        <f t="shared" si="9"/>
        <v>1</v>
      </c>
    </row>
    <row r="315" spans="1:8" s="3" customFormat="1" ht="17.25" customHeight="1" x14ac:dyDescent="0.25">
      <c r="A315" s="37"/>
      <c r="B315" s="54"/>
      <c r="C315" s="43" t="s">
        <v>118</v>
      </c>
      <c r="D315" s="35">
        <v>6</v>
      </c>
      <c r="E315" s="13">
        <v>2424.02</v>
      </c>
      <c r="F315" s="14">
        <v>2302.819</v>
      </c>
      <c r="G315" s="68">
        <f t="shared" si="8"/>
        <v>-5.2631578947368363E-2</v>
      </c>
      <c r="H315" s="74">
        <f t="shared" si="9"/>
        <v>1</v>
      </c>
    </row>
    <row r="316" spans="1:8" s="3" customFormat="1" ht="17.25" customHeight="1" x14ac:dyDescent="0.25">
      <c r="A316" s="37"/>
      <c r="B316" s="54"/>
      <c r="C316" s="43" t="s">
        <v>118</v>
      </c>
      <c r="D316" s="35">
        <v>5</v>
      </c>
      <c r="E316" s="13">
        <v>1971.7</v>
      </c>
      <c r="F316" s="14">
        <v>1873.115</v>
      </c>
      <c r="G316" s="68">
        <f t="shared" si="8"/>
        <v>-5.2631578947368363E-2</v>
      </c>
      <c r="H316" s="74">
        <f t="shared" si="9"/>
        <v>1</v>
      </c>
    </row>
    <row r="317" spans="1:8" s="3" customFormat="1" ht="17.25" customHeight="1" x14ac:dyDescent="0.25">
      <c r="A317" s="37"/>
      <c r="B317" s="54"/>
      <c r="C317" s="43" t="s">
        <v>118</v>
      </c>
      <c r="D317" s="35">
        <v>4</v>
      </c>
      <c r="E317" s="13">
        <v>1691.99</v>
      </c>
      <c r="F317" s="14">
        <v>1607.3905</v>
      </c>
      <c r="G317" s="68">
        <f t="shared" si="8"/>
        <v>-5.2631578947368363E-2</v>
      </c>
      <c r="H317" s="74">
        <f t="shared" si="9"/>
        <v>1</v>
      </c>
    </row>
    <row r="318" spans="1:8" s="3" customFormat="1" ht="17.25" customHeight="1" x14ac:dyDescent="0.25">
      <c r="A318" s="37"/>
      <c r="B318" s="54"/>
      <c r="C318" s="43" t="s">
        <v>118</v>
      </c>
      <c r="D318" s="35">
        <v>3</v>
      </c>
      <c r="E318" s="13">
        <v>1437.75</v>
      </c>
      <c r="F318" s="14">
        <v>1365.8625</v>
      </c>
      <c r="G318" s="68">
        <f t="shared" si="8"/>
        <v>-5.2631578947368363E-2</v>
      </c>
      <c r="H318" s="74">
        <f t="shared" si="9"/>
        <v>1</v>
      </c>
    </row>
    <row r="319" spans="1:8" s="3" customFormat="1" ht="17.25" customHeight="1" x14ac:dyDescent="0.25">
      <c r="A319" s="37"/>
      <c r="B319" s="54"/>
      <c r="C319" s="43" t="s">
        <v>119</v>
      </c>
      <c r="D319" s="35">
        <v>6</v>
      </c>
      <c r="E319" s="13">
        <v>2390.2600000000002</v>
      </c>
      <c r="F319" s="14">
        <v>2270.7470000000003</v>
      </c>
      <c r="G319" s="68">
        <f t="shared" si="8"/>
        <v>-5.2631578947368363E-2</v>
      </c>
      <c r="H319" s="74">
        <f t="shared" si="9"/>
        <v>1</v>
      </c>
    </row>
    <row r="320" spans="1:8" s="3" customFormat="1" ht="17.25" customHeight="1" x14ac:dyDescent="0.25">
      <c r="A320" s="37"/>
      <c r="B320" s="54"/>
      <c r="C320" s="43" t="s">
        <v>119</v>
      </c>
      <c r="D320" s="35">
        <v>5</v>
      </c>
      <c r="E320" s="13">
        <v>1946.5</v>
      </c>
      <c r="F320" s="14">
        <v>1849.175</v>
      </c>
      <c r="G320" s="68">
        <f t="shared" si="8"/>
        <v>-5.2631578947368363E-2</v>
      </c>
      <c r="H320" s="74">
        <f t="shared" si="9"/>
        <v>1</v>
      </c>
    </row>
    <row r="321" spans="1:8" s="3" customFormat="1" ht="17.25" customHeight="1" x14ac:dyDescent="0.25">
      <c r="A321" s="37"/>
      <c r="B321" s="54"/>
      <c r="C321" s="43" t="s">
        <v>119</v>
      </c>
      <c r="D321" s="35">
        <v>4</v>
      </c>
      <c r="E321" s="13">
        <v>1695.02</v>
      </c>
      <c r="F321" s="14">
        <v>1610.269</v>
      </c>
      <c r="G321" s="68">
        <f t="shared" si="8"/>
        <v>-5.2631578947368363E-2</v>
      </c>
      <c r="H321" s="74">
        <f t="shared" si="9"/>
        <v>1</v>
      </c>
    </row>
    <row r="322" spans="1:8" s="3" customFormat="1" ht="17.25" customHeight="1" x14ac:dyDescent="0.25">
      <c r="A322" s="37"/>
      <c r="B322" s="54"/>
      <c r="C322" s="43" t="s">
        <v>119</v>
      </c>
      <c r="D322" s="35">
        <v>3</v>
      </c>
      <c r="E322" s="13">
        <v>1435.71</v>
      </c>
      <c r="F322" s="14">
        <v>1363.9245000000001</v>
      </c>
      <c r="G322" s="68">
        <f t="shared" si="8"/>
        <v>-5.2631578947368363E-2</v>
      </c>
      <c r="H322" s="74">
        <f t="shared" si="9"/>
        <v>1</v>
      </c>
    </row>
    <row r="323" spans="1:8" s="3" customFormat="1" ht="17.25" customHeight="1" x14ac:dyDescent="0.25">
      <c r="A323" s="37"/>
      <c r="B323" s="54"/>
      <c r="C323" s="43" t="s">
        <v>120</v>
      </c>
      <c r="D323" s="35">
        <v>5</v>
      </c>
      <c r="E323" s="13">
        <v>2424.02</v>
      </c>
      <c r="F323" s="14">
        <v>2302.819</v>
      </c>
      <c r="G323" s="68">
        <f t="shared" si="8"/>
        <v>-5.2631578947368363E-2</v>
      </c>
      <c r="H323" s="74">
        <f t="shared" si="9"/>
        <v>1</v>
      </c>
    </row>
    <row r="324" spans="1:8" s="3" customFormat="1" ht="17.25" customHeight="1" x14ac:dyDescent="0.25">
      <c r="A324" s="37"/>
      <c r="B324" s="54"/>
      <c r="C324" s="43" t="s">
        <v>120</v>
      </c>
      <c r="D324" s="35">
        <v>4</v>
      </c>
      <c r="E324" s="13">
        <v>1971.7</v>
      </c>
      <c r="F324" s="14">
        <v>1873.115</v>
      </c>
      <c r="G324" s="68">
        <f t="shared" si="8"/>
        <v>-5.2631578947368363E-2</v>
      </c>
      <c r="H324" s="74">
        <f t="shared" si="9"/>
        <v>1</v>
      </c>
    </row>
    <row r="325" spans="1:8" s="3" customFormat="1" ht="17.25" customHeight="1" x14ac:dyDescent="0.25">
      <c r="A325" s="37"/>
      <c r="B325" s="54"/>
      <c r="C325" s="43" t="s">
        <v>120</v>
      </c>
      <c r="D325" s="35">
        <v>3</v>
      </c>
      <c r="E325" s="13">
        <v>1700.96</v>
      </c>
      <c r="F325" s="14">
        <v>1615.912</v>
      </c>
      <c r="G325" s="68">
        <f t="shared" si="8"/>
        <v>-5.2631578947368363E-2</v>
      </c>
      <c r="H325" s="74">
        <f t="shared" si="9"/>
        <v>1</v>
      </c>
    </row>
    <row r="326" spans="1:8" s="3" customFormat="1" ht="17.25" customHeight="1" x14ac:dyDescent="0.25">
      <c r="A326" s="37"/>
      <c r="B326" s="54"/>
      <c r="C326" s="43" t="s">
        <v>121</v>
      </c>
      <c r="D326" s="35">
        <v>5</v>
      </c>
      <c r="E326" s="13">
        <v>2446.7600000000002</v>
      </c>
      <c r="F326" s="14">
        <v>2324.422</v>
      </c>
      <c r="G326" s="68">
        <f t="shared" si="8"/>
        <v>-5.2631578947368585E-2</v>
      </c>
      <c r="H326" s="74">
        <f t="shared" si="9"/>
        <v>1</v>
      </c>
    </row>
    <row r="327" spans="1:8" s="3" customFormat="1" ht="17.25" customHeight="1" x14ac:dyDescent="0.25">
      <c r="A327" s="37"/>
      <c r="B327" s="54"/>
      <c r="C327" s="43" t="s">
        <v>121</v>
      </c>
      <c r="D327" s="35">
        <v>4</v>
      </c>
      <c r="E327" s="13">
        <v>1957.3</v>
      </c>
      <c r="F327" s="14">
        <v>1859.4349999999999</v>
      </c>
      <c r="G327" s="68">
        <f t="shared" si="8"/>
        <v>-5.2631578947368363E-2</v>
      </c>
      <c r="H327" s="74">
        <f t="shared" si="9"/>
        <v>1</v>
      </c>
    </row>
    <row r="328" spans="1:8" s="3" customFormat="1" ht="17.25" customHeight="1" x14ac:dyDescent="0.25">
      <c r="A328" s="37"/>
      <c r="B328" s="54"/>
      <c r="C328" s="43" t="s">
        <v>121</v>
      </c>
      <c r="D328" s="35">
        <v>3</v>
      </c>
      <c r="E328" s="13">
        <v>1690.1</v>
      </c>
      <c r="F328" s="14">
        <v>1605.5949999999998</v>
      </c>
      <c r="G328" s="68">
        <f t="shared" si="8"/>
        <v>-5.2631578947368585E-2</v>
      </c>
      <c r="H328" s="74">
        <f t="shared" si="9"/>
        <v>1</v>
      </c>
    </row>
    <row r="329" spans="1:8" s="3" customFormat="1" ht="17.25" customHeight="1" x14ac:dyDescent="0.25">
      <c r="A329" s="37"/>
      <c r="B329" s="54"/>
      <c r="C329" s="43" t="s">
        <v>122</v>
      </c>
      <c r="D329" s="35">
        <v>6</v>
      </c>
      <c r="E329" s="13">
        <v>2779.84</v>
      </c>
      <c r="F329" s="14">
        <v>2640.848</v>
      </c>
      <c r="G329" s="68">
        <f t="shared" si="8"/>
        <v>-5.2631578947368585E-2</v>
      </c>
      <c r="H329" s="74">
        <f t="shared" si="9"/>
        <v>1</v>
      </c>
    </row>
    <row r="330" spans="1:8" s="3" customFormat="1" ht="17.25" customHeight="1" x14ac:dyDescent="0.25">
      <c r="A330" s="37"/>
      <c r="B330" s="55"/>
      <c r="C330" s="43" t="s">
        <v>122</v>
      </c>
      <c r="D330" s="35">
        <v>5</v>
      </c>
      <c r="E330" s="13">
        <v>2400.0300000000002</v>
      </c>
      <c r="F330" s="14">
        <v>2280.0285000000003</v>
      </c>
      <c r="G330" s="68">
        <f t="shared" si="8"/>
        <v>-5.2631578947368363E-2</v>
      </c>
      <c r="H330" s="74">
        <f t="shared" si="9"/>
        <v>1</v>
      </c>
    </row>
    <row r="331" spans="1:8" s="3" customFormat="1" ht="17.25" customHeight="1" x14ac:dyDescent="0.25">
      <c r="A331" s="37"/>
      <c r="B331" s="10" t="s">
        <v>123</v>
      </c>
      <c r="C331" s="43" t="s">
        <v>124</v>
      </c>
      <c r="D331" s="35">
        <v>6</v>
      </c>
      <c r="E331" s="13">
        <v>2544.59</v>
      </c>
      <c r="F331" s="14">
        <v>2417.3605000000002</v>
      </c>
      <c r="G331" s="68">
        <f t="shared" si="8"/>
        <v>-5.2631578947368363E-2</v>
      </c>
      <c r="H331" s="74">
        <f t="shared" si="9"/>
        <v>1</v>
      </c>
    </row>
    <row r="332" spans="1:8" s="3" customFormat="1" ht="17.25" customHeight="1" x14ac:dyDescent="0.25">
      <c r="A332" s="37"/>
      <c r="B332" s="56"/>
      <c r="C332" s="43" t="s">
        <v>124</v>
      </c>
      <c r="D332" s="35">
        <v>5</v>
      </c>
      <c r="E332" s="13">
        <v>1950.05</v>
      </c>
      <c r="F332" s="14">
        <v>1852.5474999999999</v>
      </c>
      <c r="G332" s="68">
        <f t="shared" si="8"/>
        <v>-5.2631578947368363E-2</v>
      </c>
      <c r="H332" s="74">
        <f t="shared" si="9"/>
        <v>1</v>
      </c>
    </row>
    <row r="333" spans="1:8" s="3" customFormat="1" ht="17.25" customHeight="1" x14ac:dyDescent="0.25">
      <c r="A333" s="37"/>
      <c r="B333" s="56"/>
      <c r="C333" s="43" t="s">
        <v>124</v>
      </c>
      <c r="D333" s="35">
        <v>4</v>
      </c>
      <c r="E333" s="13">
        <v>1694.09</v>
      </c>
      <c r="F333" s="14">
        <v>1609.3854999999999</v>
      </c>
      <c r="G333" s="68">
        <f t="shared" si="8"/>
        <v>-5.2631578947368363E-2</v>
      </c>
      <c r="H333" s="74">
        <f t="shared" si="9"/>
        <v>1</v>
      </c>
    </row>
    <row r="334" spans="1:8" s="3" customFormat="1" ht="17.25" customHeight="1" x14ac:dyDescent="0.25">
      <c r="A334" s="37"/>
      <c r="B334" s="56"/>
      <c r="C334" s="43" t="s">
        <v>125</v>
      </c>
      <c r="D334" s="35">
        <v>6</v>
      </c>
      <c r="E334" s="13">
        <v>2506.9899999999998</v>
      </c>
      <c r="F334" s="14">
        <v>2381.6405</v>
      </c>
      <c r="G334" s="68">
        <f t="shared" si="8"/>
        <v>-5.2631578947368363E-2</v>
      </c>
      <c r="H334" s="74">
        <f t="shared" si="9"/>
        <v>1</v>
      </c>
    </row>
    <row r="335" spans="1:8" s="3" customFormat="1" ht="17.25" customHeight="1" x14ac:dyDescent="0.25">
      <c r="A335" s="37"/>
      <c r="B335" s="56"/>
      <c r="C335" s="43" t="s">
        <v>125</v>
      </c>
      <c r="D335" s="35">
        <v>5</v>
      </c>
      <c r="E335" s="13">
        <v>2048.0500000000002</v>
      </c>
      <c r="F335" s="14">
        <v>1945.6475000000003</v>
      </c>
      <c r="G335" s="68">
        <f t="shared" si="8"/>
        <v>-5.2631578947368363E-2</v>
      </c>
      <c r="H335" s="74">
        <f t="shared" si="9"/>
        <v>1</v>
      </c>
    </row>
    <row r="336" spans="1:8" s="3" customFormat="1" ht="17.25" customHeight="1" x14ac:dyDescent="0.25">
      <c r="A336" s="37"/>
      <c r="B336" s="56"/>
      <c r="C336" s="43" t="s">
        <v>125</v>
      </c>
      <c r="D336" s="35">
        <v>4</v>
      </c>
      <c r="E336" s="13">
        <v>1775.7</v>
      </c>
      <c r="F336" s="14">
        <v>1686.915</v>
      </c>
      <c r="G336" s="68">
        <f t="shared" ref="G336:G361" si="10">1-(E336/F336)</f>
        <v>-5.2631578947368363E-2</v>
      </c>
      <c r="H336" s="74">
        <f t="shared" si="9"/>
        <v>1</v>
      </c>
    </row>
    <row r="337" spans="1:8" s="3" customFormat="1" ht="17.25" customHeight="1" x14ac:dyDescent="0.25">
      <c r="A337" s="37"/>
      <c r="B337" s="56"/>
      <c r="C337" s="43" t="s">
        <v>126</v>
      </c>
      <c r="D337" s="35">
        <v>6</v>
      </c>
      <c r="E337" s="13">
        <v>2198.7600000000002</v>
      </c>
      <c r="F337" s="14">
        <v>2088.8220000000001</v>
      </c>
      <c r="G337" s="68">
        <f t="shared" si="10"/>
        <v>-5.2631578947368363E-2</v>
      </c>
      <c r="H337" s="74">
        <f t="shared" ref="H337:H361" si="11">IF(E337=F337,0,1)</f>
        <v>1</v>
      </c>
    </row>
    <row r="338" spans="1:8" s="3" customFormat="1" ht="17.25" customHeight="1" x14ac:dyDescent="0.25">
      <c r="A338" s="37"/>
      <c r="B338" s="56"/>
      <c r="C338" s="43" t="s">
        <v>126</v>
      </c>
      <c r="D338" s="35">
        <v>5</v>
      </c>
      <c r="E338" s="13">
        <v>1796.24</v>
      </c>
      <c r="F338" s="14">
        <v>1706.4279999999999</v>
      </c>
      <c r="G338" s="68">
        <f t="shared" si="10"/>
        <v>-5.2631578947368585E-2</v>
      </c>
      <c r="H338" s="74">
        <f t="shared" si="11"/>
        <v>1</v>
      </c>
    </row>
    <row r="339" spans="1:8" s="3" customFormat="1" ht="17.25" customHeight="1" x14ac:dyDescent="0.25">
      <c r="A339" s="37"/>
      <c r="B339" s="57"/>
      <c r="C339" s="43" t="s">
        <v>126</v>
      </c>
      <c r="D339" s="35">
        <v>4</v>
      </c>
      <c r="E339" s="13">
        <v>1563.15</v>
      </c>
      <c r="F339" s="14">
        <v>1484.9925000000001</v>
      </c>
      <c r="G339" s="68">
        <f t="shared" si="10"/>
        <v>-5.2631578947368363E-2</v>
      </c>
      <c r="H339" s="74">
        <f t="shared" si="11"/>
        <v>1</v>
      </c>
    </row>
    <row r="340" spans="1:8" s="3" customFormat="1" ht="17.25" customHeight="1" x14ac:dyDescent="0.25">
      <c r="A340" s="37"/>
      <c r="B340" s="10" t="s">
        <v>127</v>
      </c>
      <c r="C340" s="43" t="s">
        <v>128</v>
      </c>
      <c r="D340" s="35">
        <v>7</v>
      </c>
      <c r="E340" s="13">
        <v>2692.5</v>
      </c>
      <c r="F340" s="14">
        <v>2557.875</v>
      </c>
      <c r="G340" s="68">
        <f t="shared" si="10"/>
        <v>-5.2631578947368363E-2</v>
      </c>
      <c r="H340" s="74">
        <f t="shared" si="11"/>
        <v>1</v>
      </c>
    </row>
    <row r="341" spans="1:8" s="3" customFormat="1" ht="17.25" customHeight="1" x14ac:dyDescent="0.25">
      <c r="A341" s="37"/>
      <c r="B341" s="58"/>
      <c r="C341" s="43" t="s">
        <v>128</v>
      </c>
      <c r="D341" s="35">
        <v>6</v>
      </c>
      <c r="E341" s="13">
        <v>2211.09</v>
      </c>
      <c r="F341" s="14">
        <v>2100.5355</v>
      </c>
      <c r="G341" s="68">
        <f t="shared" si="10"/>
        <v>-5.2631578947368585E-2</v>
      </c>
      <c r="H341" s="74">
        <f t="shared" si="11"/>
        <v>1</v>
      </c>
    </row>
    <row r="342" spans="1:8" s="3" customFormat="1" ht="17.25" customHeight="1" x14ac:dyDescent="0.25">
      <c r="A342" s="37"/>
      <c r="B342" s="58"/>
      <c r="C342" s="43" t="s">
        <v>128</v>
      </c>
      <c r="D342" s="35">
        <v>5</v>
      </c>
      <c r="E342" s="13">
        <v>1815.88</v>
      </c>
      <c r="F342" s="14">
        <v>1725.086</v>
      </c>
      <c r="G342" s="68">
        <f t="shared" si="10"/>
        <v>-5.2631578947368585E-2</v>
      </c>
      <c r="H342" s="74">
        <f t="shared" si="11"/>
        <v>1</v>
      </c>
    </row>
    <row r="343" spans="1:8" s="3" customFormat="1" ht="17.25" customHeight="1" x14ac:dyDescent="0.25">
      <c r="A343" s="37"/>
      <c r="B343" s="58"/>
      <c r="C343" s="43" t="s">
        <v>128</v>
      </c>
      <c r="D343" s="35">
        <v>4</v>
      </c>
      <c r="E343" s="13">
        <v>1573.54</v>
      </c>
      <c r="F343" s="14">
        <v>1494.8630000000001</v>
      </c>
      <c r="G343" s="68">
        <f t="shared" si="10"/>
        <v>-5.2631578947368363E-2</v>
      </c>
      <c r="H343" s="74">
        <f t="shared" si="11"/>
        <v>1</v>
      </c>
    </row>
    <row r="344" spans="1:8" s="3" customFormat="1" ht="17.25" customHeight="1" x14ac:dyDescent="0.25">
      <c r="A344" s="37"/>
      <c r="B344" s="58"/>
      <c r="C344" s="43" t="s">
        <v>128</v>
      </c>
      <c r="D344" s="35">
        <v>3</v>
      </c>
      <c r="E344" s="13">
        <v>1399.64</v>
      </c>
      <c r="F344" s="14">
        <v>1329.6580000000001</v>
      </c>
      <c r="G344" s="68">
        <f t="shared" si="10"/>
        <v>-5.2631578947368363E-2</v>
      </c>
      <c r="H344" s="74">
        <f t="shared" si="11"/>
        <v>1</v>
      </c>
    </row>
    <row r="345" spans="1:8" s="3" customFormat="1" ht="17.25" customHeight="1" x14ac:dyDescent="0.25">
      <c r="A345" s="37"/>
      <c r="B345" s="58"/>
      <c r="C345" s="43" t="s">
        <v>129</v>
      </c>
      <c r="D345" s="35">
        <v>6</v>
      </c>
      <c r="E345" s="13">
        <v>2110.25</v>
      </c>
      <c r="F345" s="14">
        <v>2004.7375</v>
      </c>
      <c r="G345" s="68">
        <f t="shared" si="10"/>
        <v>-5.2631578947368363E-2</v>
      </c>
      <c r="H345" s="74">
        <f t="shared" si="11"/>
        <v>1</v>
      </c>
    </row>
    <row r="346" spans="1:8" s="3" customFormat="1" ht="17.25" customHeight="1" x14ac:dyDescent="0.25">
      <c r="A346" s="37"/>
      <c r="B346" s="58"/>
      <c r="C346" s="43" t="s">
        <v>129</v>
      </c>
      <c r="D346" s="35">
        <v>5</v>
      </c>
      <c r="E346" s="13">
        <v>1750.87</v>
      </c>
      <c r="F346" s="14">
        <v>1663.3264999999999</v>
      </c>
      <c r="G346" s="68">
        <f t="shared" si="10"/>
        <v>-5.2631578947368363E-2</v>
      </c>
      <c r="H346" s="74">
        <f t="shared" si="11"/>
        <v>1</v>
      </c>
    </row>
    <row r="347" spans="1:8" s="3" customFormat="1" ht="17.25" customHeight="1" x14ac:dyDescent="0.25">
      <c r="A347" s="37"/>
      <c r="B347" s="58"/>
      <c r="C347" s="43" t="s">
        <v>129</v>
      </c>
      <c r="D347" s="35">
        <v>4</v>
      </c>
      <c r="E347" s="13">
        <v>1553.27</v>
      </c>
      <c r="F347" s="14">
        <v>1475.6064999999999</v>
      </c>
      <c r="G347" s="68">
        <f t="shared" si="10"/>
        <v>-5.2631578947368585E-2</v>
      </c>
      <c r="H347" s="74">
        <f t="shared" si="11"/>
        <v>1</v>
      </c>
    </row>
    <row r="348" spans="1:8" s="3" customFormat="1" ht="17.25" customHeight="1" x14ac:dyDescent="0.25">
      <c r="A348" s="37"/>
      <c r="B348" s="58"/>
      <c r="C348" s="43" t="s">
        <v>129</v>
      </c>
      <c r="D348" s="35">
        <v>3</v>
      </c>
      <c r="E348" s="13">
        <v>1324.46</v>
      </c>
      <c r="F348" s="14">
        <v>1258.2370000000001</v>
      </c>
      <c r="G348" s="68">
        <f t="shared" si="10"/>
        <v>-5.2631578947368363E-2</v>
      </c>
      <c r="H348" s="74">
        <f t="shared" si="11"/>
        <v>1</v>
      </c>
    </row>
    <row r="349" spans="1:8" s="3" customFormat="1" ht="17.25" customHeight="1" x14ac:dyDescent="0.25">
      <c r="A349" s="37"/>
      <c r="B349" s="58"/>
      <c r="C349" s="43" t="s">
        <v>130</v>
      </c>
      <c r="D349" s="35">
        <v>6</v>
      </c>
      <c r="E349" s="13">
        <v>2896</v>
      </c>
      <c r="F349" s="14">
        <v>2751.2</v>
      </c>
      <c r="G349" s="68">
        <f t="shared" si="10"/>
        <v>-5.2631578947368585E-2</v>
      </c>
      <c r="H349" s="74">
        <f t="shared" si="11"/>
        <v>1</v>
      </c>
    </row>
    <row r="350" spans="1:8" s="3" customFormat="1" ht="17.25" customHeight="1" x14ac:dyDescent="0.25">
      <c r="A350" s="37"/>
      <c r="B350" s="58"/>
      <c r="C350" s="43" t="s">
        <v>130</v>
      </c>
      <c r="D350" s="35">
        <v>5</v>
      </c>
      <c r="E350" s="13">
        <v>2324.67</v>
      </c>
      <c r="F350" s="14">
        <v>2208.4365000000003</v>
      </c>
      <c r="G350" s="68">
        <f t="shared" si="10"/>
        <v>-5.2631578947368363E-2</v>
      </c>
      <c r="H350" s="74">
        <f t="shared" si="11"/>
        <v>1</v>
      </c>
    </row>
    <row r="351" spans="1:8" s="3" customFormat="1" ht="17.25" customHeight="1" x14ac:dyDescent="0.25">
      <c r="A351" s="37"/>
      <c r="B351" s="58"/>
      <c r="C351" s="43" t="s">
        <v>130</v>
      </c>
      <c r="D351" s="35">
        <v>4</v>
      </c>
      <c r="E351" s="13">
        <v>1830.75</v>
      </c>
      <c r="F351" s="14">
        <v>1739.2125000000001</v>
      </c>
      <c r="G351" s="68">
        <f t="shared" si="10"/>
        <v>-5.2631578947368363E-2</v>
      </c>
      <c r="H351" s="74">
        <f t="shared" si="11"/>
        <v>1</v>
      </c>
    </row>
    <row r="352" spans="1:8" s="3" customFormat="1" ht="17.25" customHeight="1" x14ac:dyDescent="0.25">
      <c r="A352" s="37"/>
      <c r="B352" s="58"/>
      <c r="C352" s="43" t="s">
        <v>130</v>
      </c>
      <c r="D352" s="35">
        <v>3</v>
      </c>
      <c r="E352" s="13">
        <v>1561.99</v>
      </c>
      <c r="F352" s="14">
        <v>1483.8905</v>
      </c>
      <c r="G352" s="68">
        <f t="shared" si="10"/>
        <v>-5.2631578947368363E-2</v>
      </c>
      <c r="H352" s="74">
        <f t="shared" si="11"/>
        <v>1</v>
      </c>
    </row>
    <row r="353" spans="1:8" s="3" customFormat="1" ht="17.25" customHeight="1" x14ac:dyDescent="0.25">
      <c r="A353" s="37"/>
      <c r="B353" s="58"/>
      <c r="C353" s="43" t="s">
        <v>131</v>
      </c>
      <c r="D353" s="35">
        <v>6</v>
      </c>
      <c r="E353" s="13">
        <v>2352.1</v>
      </c>
      <c r="F353" s="14">
        <v>2234.4949999999999</v>
      </c>
      <c r="G353" s="68">
        <f t="shared" si="10"/>
        <v>-5.2631578947368363E-2</v>
      </c>
      <c r="H353" s="74">
        <f t="shared" si="11"/>
        <v>1</v>
      </c>
    </row>
    <row r="354" spans="1:8" s="3" customFormat="1" ht="17.25" customHeight="1" x14ac:dyDescent="0.25">
      <c r="A354" s="37"/>
      <c r="B354" s="58"/>
      <c r="C354" s="43" t="s">
        <v>131</v>
      </c>
      <c r="D354" s="35">
        <v>5</v>
      </c>
      <c r="E354" s="13">
        <v>1957.89</v>
      </c>
      <c r="F354" s="14">
        <v>1859.9955</v>
      </c>
      <c r="G354" s="68">
        <f t="shared" si="10"/>
        <v>-5.2631578947368585E-2</v>
      </c>
      <c r="H354" s="74">
        <f t="shared" si="11"/>
        <v>1</v>
      </c>
    </row>
    <row r="355" spans="1:8" s="3" customFormat="1" ht="17.25" customHeight="1" x14ac:dyDescent="0.25">
      <c r="A355" s="37"/>
      <c r="B355" s="58"/>
      <c r="C355" s="43" t="s">
        <v>131</v>
      </c>
      <c r="D355" s="35">
        <v>4</v>
      </c>
      <c r="E355" s="13">
        <v>1772.09</v>
      </c>
      <c r="F355" s="14">
        <v>1683.4855</v>
      </c>
      <c r="G355" s="68">
        <f t="shared" si="10"/>
        <v>-5.2631578947368363E-2</v>
      </c>
      <c r="H355" s="74">
        <f t="shared" si="11"/>
        <v>1</v>
      </c>
    </row>
    <row r="356" spans="1:8" s="3" customFormat="1" ht="17.25" customHeight="1" x14ac:dyDescent="0.25">
      <c r="A356" s="37"/>
      <c r="B356" s="58"/>
      <c r="C356" s="43" t="s">
        <v>131</v>
      </c>
      <c r="D356" s="35">
        <v>3</v>
      </c>
      <c r="E356" s="13">
        <v>1497.54</v>
      </c>
      <c r="F356" s="14">
        <v>1422.663</v>
      </c>
      <c r="G356" s="68">
        <f t="shared" si="10"/>
        <v>-5.2631578947368363E-2</v>
      </c>
      <c r="H356" s="74">
        <f t="shared" si="11"/>
        <v>1</v>
      </c>
    </row>
    <row r="357" spans="1:8" s="3" customFormat="1" ht="17.25" customHeight="1" x14ac:dyDescent="0.25">
      <c r="A357" s="37"/>
      <c r="B357" s="58"/>
      <c r="C357" s="43" t="s">
        <v>132</v>
      </c>
      <c r="D357" s="35">
        <v>6</v>
      </c>
      <c r="E357" s="13">
        <v>2390.4499999999998</v>
      </c>
      <c r="F357" s="14">
        <v>2390.4499999999998</v>
      </c>
      <c r="G357" s="68">
        <f t="shared" si="10"/>
        <v>0</v>
      </c>
      <c r="H357" s="74">
        <f t="shared" si="11"/>
        <v>0</v>
      </c>
    </row>
    <row r="358" spans="1:8" s="3" customFormat="1" ht="17.25" customHeight="1" x14ac:dyDescent="0.25">
      <c r="A358" s="37"/>
      <c r="B358" s="58"/>
      <c r="C358" s="43" t="s">
        <v>132</v>
      </c>
      <c r="D358" s="35">
        <v>5</v>
      </c>
      <c r="E358" s="13">
        <v>1972.97</v>
      </c>
      <c r="F358" s="14">
        <v>1874.3215</v>
      </c>
      <c r="G358" s="68">
        <f t="shared" si="10"/>
        <v>-5.2631578947368363E-2</v>
      </c>
      <c r="H358" s="74">
        <f t="shared" si="11"/>
        <v>1</v>
      </c>
    </row>
    <row r="359" spans="1:8" s="3" customFormat="1" ht="17.25" customHeight="1" x14ac:dyDescent="0.25">
      <c r="A359" s="37"/>
      <c r="B359" s="58"/>
      <c r="C359" s="43" t="s">
        <v>133</v>
      </c>
      <c r="D359" s="35">
        <v>6</v>
      </c>
      <c r="E359" s="13">
        <v>2144.59</v>
      </c>
      <c r="F359" s="14">
        <v>2144.59</v>
      </c>
      <c r="G359" s="68">
        <f t="shared" si="10"/>
        <v>0</v>
      </c>
      <c r="H359" s="74">
        <f t="shared" si="11"/>
        <v>0</v>
      </c>
    </row>
    <row r="360" spans="1:8" s="3" customFormat="1" ht="17.25" customHeight="1" x14ac:dyDescent="0.25">
      <c r="A360" s="37"/>
      <c r="B360" s="58"/>
      <c r="C360" s="43" t="s">
        <v>133</v>
      </c>
      <c r="D360" s="35">
        <v>5</v>
      </c>
      <c r="E360" s="13">
        <v>1656.16</v>
      </c>
      <c r="F360" s="14">
        <v>1656.16</v>
      </c>
      <c r="G360" s="68">
        <f t="shared" si="10"/>
        <v>0</v>
      </c>
      <c r="H360" s="74">
        <f t="shared" si="11"/>
        <v>0</v>
      </c>
    </row>
    <row r="361" spans="1:8" s="3" customFormat="1" ht="17.25" customHeight="1" x14ac:dyDescent="0.25">
      <c r="A361" s="59"/>
      <c r="B361" s="60"/>
      <c r="C361" s="61" t="s">
        <v>133</v>
      </c>
      <c r="D361" s="62">
        <v>4</v>
      </c>
      <c r="E361" s="63">
        <v>1349.05</v>
      </c>
      <c r="F361" s="64">
        <v>1349.05</v>
      </c>
      <c r="G361" s="68">
        <f t="shared" si="10"/>
        <v>0</v>
      </c>
      <c r="H361" s="74">
        <f t="shared" si="11"/>
        <v>0</v>
      </c>
    </row>
  </sheetData>
  <mergeCells count="16">
    <mergeCell ref="A10:F10"/>
    <mergeCell ref="A13:D13"/>
    <mergeCell ref="E13:E14"/>
    <mergeCell ref="B91:B107"/>
    <mergeCell ref="E11:G11"/>
    <mergeCell ref="F13:G14"/>
    <mergeCell ref="A1:E1"/>
    <mergeCell ref="A2:A9"/>
    <mergeCell ref="B2:E2"/>
    <mergeCell ref="B3:E3"/>
    <mergeCell ref="B4:F4"/>
    <mergeCell ref="B5:E5"/>
    <mergeCell ref="B6:E6"/>
    <mergeCell ref="B7:E7"/>
    <mergeCell ref="B8:E8"/>
    <mergeCell ref="B9:E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5E8CC-637A-43C2-9496-F9E87C03FCE1}">
  <sheetPr>
    <pageSetUpPr fitToPage="1"/>
  </sheetPr>
  <dimension ref="A1"/>
  <sheetViews>
    <sheetView workbookViewId="0">
      <selection activeCell="O21" sqref="O21"/>
    </sheetView>
  </sheetViews>
  <sheetFormatPr defaultRowHeight="15" x14ac:dyDescent="0.25"/>
  <sheetData/>
  <pageMargins left="0.70866141732283472" right="0.70866141732283472" top="0.74803149606299213" bottom="0.74803149606299213" header="0.31496062992125984" footer="0.31496062992125984"/>
  <pageSetup paperSize="9" scale="73" orientation="portrait" r:id="rId1"/>
  <headerFooter>
    <oddHeader>&amp;LICTPA Refresh RFT Attachment X ICTPA SFIA Rates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Version=16.0.0.0,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Version=16.0.0.0, Culture=neutral, PublicKeyToken=71e9bce111e9429c</Assembly>
    <Class>Microsoft.Office.RecordsManagement.Internal.AuditHandler</Class>
    <Data/>
    <Filter/>
  </Receiver>
</spe:Receivers>
</file>

<file path=customXml/item4.xml><?xml version="1.0" encoding="utf-8"?>
<?mso-contentType ?>
<p:Policy xmlns:p="office.server.policy" id="" local="true">
  <p:Name>Document</p:Name>
  <p:Description/>
  <p:Statement/>
  <p:PolicyItems>
    <p:PolicyItem featureId="Microsoft.Office.RecordsManagement.PolicyFeatures.PolicyAudit" staticId="0x0101|8138272" UniqueId="119fceb1-640d-4e60-a868-87308dd1b8e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DB66B75D673346AB900A02C3F450BD" ma:contentTypeVersion="5" ma:contentTypeDescription="Create a new document." ma:contentTypeScope="" ma:versionID="e451dc0352ef1af97dbba4b5f369af14">
  <xsd:schema xmlns:xsd="http://www.w3.org/2001/XMLSchema" xmlns:xs="http://www.w3.org/2001/XMLSchema" xmlns:p="http://schemas.microsoft.com/office/2006/metadata/properties" xmlns:ns1="http://schemas.microsoft.com/sharepoint/v3" xmlns:ns2="6798527c-6699-4e53-b654-539b227c47f8" targetNamespace="http://schemas.microsoft.com/office/2006/metadata/properties" ma:root="true" ma:fieldsID="aaf32a46de6801753c3e54894e4cf938" ns1:_="" ns2:_="">
    <xsd:import namespace="http://schemas.microsoft.com/sharepoint/v3"/>
    <xsd:import namespace="6798527c-6699-4e53-b654-539b227c47f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0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98527c-6699-4e53-b654-539b227c47f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CD5BA6-85C5-4E1F-8EBA-DAC38BB271D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2ED908A-CF69-4957-B643-05EEE9AF66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C0B6AEE-36AF-49FA-BD64-C4C6F42DE2B9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066D85DB-D832-46E4-83EE-F7CF0904ED5B}">
  <ds:schemaRefs>
    <ds:schemaRef ds:uri="office.server.policy"/>
  </ds:schemaRefs>
</ds:datastoreItem>
</file>

<file path=customXml/itemProps5.xml><?xml version="1.0" encoding="utf-8"?>
<ds:datastoreItem xmlns:ds="http://schemas.openxmlformats.org/officeDocument/2006/customXml" ds:itemID="{DD0E9B54-E42D-4B12-9FBA-B90D1EFC23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98527c-6699-4e53-b654-539b227c47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7295cc1-d279-42ac-ab4d-3b0f4fece050}" enabled="1" method="Standard" siteId="{a19f121d-81e1-4858-a9d8-736e267fd4c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FUJITSU ROLES AND RATES</vt:lpstr>
      <vt:lpstr>ICTPA Refresh-Cover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Brettell, Simon</dc:creator>
  <cp:lastModifiedBy>Ben Kell</cp:lastModifiedBy>
  <dcterms:created xsi:type="dcterms:W3CDTF">2024-03-22T01:46:16Z</dcterms:created>
  <dcterms:modified xsi:type="dcterms:W3CDTF">2026-04-17T15:17:22Z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2024-03-22T01:53:33Z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3aee93cf-1d43-4a96-8972-2aa197634e4c</vt:lpwstr>
  </property>
  <property fmtid="{D5CDD505-2E9C-101B-9397-08002B2CF9AE}" pid="8" name="MSIP_Label_a7295cc1-d279-42ac-ab4d-3b0f4fece050_ContentBits">
    <vt:lpwstr>0</vt:lpwstr>
  </property>
  <property fmtid="{D5CDD505-2E9C-101B-9397-08002B2CF9AE}" pid="9" name="ContentTypeId">
    <vt:lpwstr>0x01010011DB66B75D673346AB900A02C3F450BD</vt:lpwstr>
  </property>
</Properties>
</file>