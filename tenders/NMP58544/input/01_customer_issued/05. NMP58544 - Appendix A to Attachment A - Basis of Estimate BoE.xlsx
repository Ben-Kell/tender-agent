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styles.xml" ContentType="application/vnd.openxmlformats-officedocument.spreadsheetml.styles+xml"/>
  <Override PartName="/xl/calcChain.xml" ContentType="application/vnd.openxmlformats-officedocument.spreadsheetml.calcChain+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85userdata.dpe.protected.mil.au\ro\rowena.cupples\My Documents\"/>
    </mc:Choice>
  </mc:AlternateContent>
  <bookViews>
    <workbookView xWindow="0" yWindow="0" windowWidth="21816" windowHeight="8364"/>
  </bookViews>
  <sheets>
    <sheet name="1. Basis of Estimate" sheetId="1" r:id="rId1"/>
    <sheet name="2.Risk Register (Delete if N-A)" sheetId="2" r:id="rId2"/>
    <sheet name="3. Risk Management Framework" sheetId="3"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Vxgy/pkDNBfuYjSZ38JsZ1bOiPdJi+pSBz0K/88S7jQ="/>
    </ext>
  </extLst>
</workbook>
</file>

<file path=xl/calcChain.xml><?xml version="1.0" encoding="utf-8"?>
<calcChain xmlns="http://schemas.openxmlformats.org/spreadsheetml/2006/main">
  <c r="V21" i="1" l="1"/>
  <c r="X21" i="1" s="1"/>
  <c r="W21" i="1" s="1"/>
  <c r="V20" i="1"/>
  <c r="X20" i="1" s="1"/>
  <c r="W20" i="1" s="1"/>
  <c r="V19" i="1"/>
  <c r="X19" i="1" s="1"/>
  <c r="W19" i="1" s="1"/>
  <c r="V18" i="1"/>
  <c r="X18" i="1" s="1"/>
  <c r="W18" i="1" s="1"/>
  <c r="X30" i="1" l="1"/>
  <c r="S18" i="1"/>
  <c r="O18" i="1"/>
  <c r="K18" i="1"/>
  <c r="U18" i="1" l="1"/>
  <c r="S29" i="1"/>
  <c r="O29" i="1"/>
  <c r="K29" i="1"/>
  <c r="S28" i="1"/>
  <c r="O28" i="1"/>
  <c r="K28" i="1"/>
  <c r="S27" i="1"/>
  <c r="O27" i="1"/>
  <c r="K27" i="1"/>
  <c r="S26" i="1"/>
  <c r="O26" i="1"/>
  <c r="K26" i="1"/>
  <c r="S25" i="1"/>
  <c r="O25" i="1"/>
  <c r="K25" i="1"/>
  <c r="S24" i="1"/>
  <c r="O24" i="1"/>
  <c r="K24" i="1"/>
  <c r="S23" i="1"/>
  <c r="O23" i="1"/>
  <c r="K23" i="1"/>
  <c r="S22" i="1"/>
  <c r="O22" i="1"/>
  <c r="K22" i="1"/>
  <c r="S21" i="1"/>
  <c r="O21" i="1"/>
  <c r="K21" i="1"/>
  <c r="S20" i="1"/>
  <c r="O20" i="1"/>
  <c r="K20" i="1"/>
  <c r="S19" i="1"/>
  <c r="O19" i="1"/>
  <c r="K19" i="1"/>
  <c r="U22" i="1" l="1"/>
  <c r="V22" i="1" s="1"/>
  <c r="X22" i="1" s="1"/>
  <c r="W22" i="1" s="1"/>
  <c r="U20" i="1"/>
  <c r="U28" i="1"/>
  <c r="V28" i="1" s="1"/>
  <c r="X28" i="1" s="1"/>
  <c r="W28" i="1" s="1"/>
  <c r="U27" i="1"/>
  <c r="V27" i="1" s="1"/>
  <c r="X27" i="1" s="1"/>
  <c r="W27" i="1" s="1"/>
  <c r="U23" i="1"/>
  <c r="V23" i="1" s="1"/>
  <c r="X23" i="1" s="1"/>
  <c r="W23" i="1" s="1"/>
  <c r="U19" i="1"/>
  <c r="U25" i="1"/>
  <c r="V25" i="1" s="1"/>
  <c r="X25" i="1" s="1"/>
  <c r="W25" i="1" s="1"/>
  <c r="U21" i="1"/>
  <c r="U24" i="1"/>
  <c r="V24" i="1" s="1"/>
  <c r="X24" i="1" s="1"/>
  <c r="W24" i="1" s="1"/>
  <c r="U26" i="1"/>
  <c r="V26" i="1" s="1"/>
  <c r="X26" i="1" s="1"/>
  <c r="W26" i="1" s="1"/>
  <c r="U29" i="1"/>
  <c r="V29" i="1" s="1"/>
  <c r="X29" i="1" s="1"/>
  <c r="W29" i="1" s="1"/>
  <c r="V30" i="1" l="1"/>
  <c r="W30" i="1" l="1"/>
</calcChain>
</file>

<file path=xl/sharedStrings.xml><?xml version="1.0" encoding="utf-8"?>
<sst xmlns="http://schemas.openxmlformats.org/spreadsheetml/2006/main" count="163" uniqueCount="111">
  <si>
    <t>Information Communications Technology Provider Arrangement (ICTPA)</t>
  </si>
  <si>
    <t>Attachment A to Supplier's Quotation - Work Order Price Basis of Estimate</t>
  </si>
  <si>
    <t>Notes:</t>
  </si>
  <si>
    <t>1. Amounts are to be stated in Australian dollars except for any portion of the Services to be imported from overseas, which is to be stated in the applicable foreign (source) currency. Foreign exchange currency rates are to be sourced from the Reserve Bank of Australia (https://www.rba.gov.au/statistics/historical-data.html#exchange-rates) unless unavailable, in which case the most appropriate alternate source must be used.</t>
  </si>
  <si>
    <t>RFQ Number:</t>
  </si>
  <si>
    <t>NMP43562</t>
  </si>
  <si>
    <t>2. Amounts included in the below Basis of Estimate are to be inclusive of all profit, overheads, and G&amp;A costs - unless otherwise specified.</t>
  </si>
  <si>
    <t>Procurement Title:</t>
  </si>
  <si>
    <t>3. Allowable Expenses (as defined in clause 2.1 of Attachment B to the COD) are not be to included in the below Basis of Estimate - see Supplier's Quotation Form for further instructions.</t>
  </si>
  <si>
    <t>Supplier Name:</t>
  </si>
  <si>
    <t>4. All amounts are to be stated in Base Date dollars, with the Base Date being as per the Deed Details Schedule unless otherwise specified in the draft Work Order.</t>
  </si>
  <si>
    <t>5. If more than one cost category (including different labour skillsets/levels) is required to deliver a particular Milestone / Deliverable / Service Outcome, the different categories are to be itemised in separate rows against that applicable Milestone / Deliverable / Service Outcome.</t>
  </si>
  <si>
    <t>6. For any management reserve / risk contingency allowance, a risk assessment (see Worksheet No.2) must be submitted to support the proposed allowance.</t>
  </si>
  <si>
    <t>Line Item No.</t>
  </si>
  <si>
    <t>Resource Name</t>
  </si>
  <si>
    <t>Resource Role</t>
  </si>
  <si>
    <r>
      <rPr>
        <b/>
        <sz val="9"/>
        <color theme="1"/>
        <rFont val="Calibri"/>
        <family val="2"/>
      </rPr>
      <t xml:space="preserve">Supplier or Subcontractor
</t>
    </r>
    <r>
      <rPr>
        <sz val="8"/>
        <color theme="1"/>
        <rFont val="Calibri"/>
        <family val="2"/>
      </rPr>
      <t>(provide Subcontractor details)</t>
    </r>
  </si>
  <si>
    <t>Source Currency</t>
  </si>
  <si>
    <t>Exchange Rate</t>
  </si>
  <si>
    <t>Labour</t>
  </si>
  <si>
    <t>Materials</t>
  </si>
  <si>
    <t>Other</t>
  </si>
  <si>
    <t>Management Reserve / Risk Contingency
(Source)</t>
  </si>
  <si>
    <t>Totals</t>
  </si>
  <si>
    <t>Comments</t>
  </si>
  <si>
    <t>SFIA Skill / Code</t>
  </si>
  <si>
    <t>SFIA Level</t>
  </si>
  <si>
    <t>Daily Rate
(Source)</t>
  </si>
  <si>
    <t>No. of Days</t>
  </si>
  <si>
    <t>Total
(Source)</t>
  </si>
  <si>
    <t>Item</t>
  </si>
  <si>
    <t>Unit Price
(Source)</t>
  </si>
  <si>
    <t>Quantity</t>
  </si>
  <si>
    <t>Total
(Excl. GST)
(Source)</t>
  </si>
  <si>
    <t>Total
(Excl. GST)
(AUD$)</t>
  </si>
  <si>
    <t>GST Amount
(AUD$)</t>
  </si>
  <si>
    <t>Total
(Incl. GST)
(AUD$)</t>
  </si>
  <si>
    <t>TOTAL</t>
  </si>
  <si>
    <t>`</t>
  </si>
  <si>
    <t>Attachment A to Supplier's Quotation - Risk Register</t>
  </si>
  <si>
    <t>Guidance:</t>
  </si>
  <si>
    <t>1. Enter details of risks in section 1 below - ensure to detail the root cause of the risk where known.</t>
  </si>
  <si>
    <t>2. Using the Risk Management Framework (see Worksheet No.3), enter the likelihood and consequence rating into section 2 below on the assumption that no controls are in place. Enter the Inherent Risk rating.</t>
  </si>
  <si>
    <t>Cargo Visibility System 2.0 (CVS2.0)</t>
  </si>
  <si>
    <t xml:space="preserve">3. Enter details of the current risk treatment strategies in place and provide details of any associated costs for risk treatment, status of risk treatment and date of next review in section 3 below. </t>
  </si>
  <si>
    <t>x-RD Pty Ltd</t>
  </si>
  <si>
    <t>4. Using the Risk Management Framework (see Worksheet No.3), enter the likelihood and consequence rating into section 4 below based on the current risk treatment strategies in place. Enter the Residual Risk rating.</t>
  </si>
  <si>
    <t>Risk
#</t>
  </si>
  <si>
    <t>1. Risk Details</t>
  </si>
  <si>
    <t>2. Inherent Risk Rating</t>
  </si>
  <si>
    <t>3. Current Risk Treatment Strategies</t>
  </si>
  <si>
    <t>4. Residual Risk Rating</t>
  </si>
  <si>
    <t>Risk</t>
  </si>
  <si>
    <t>Risk Owner</t>
  </si>
  <si>
    <t>Impact</t>
  </si>
  <si>
    <t>Inherent Risk Assessment
(No controls in place)</t>
  </si>
  <si>
    <t>Current Risk Treatment Strategies</t>
  </si>
  <si>
    <t>Risk Treatment Cost
(Incl. GST) (AUD$)</t>
  </si>
  <si>
    <t>Status of Risk Treatment</t>
  </si>
  <si>
    <t>Date of next review</t>
  </si>
  <si>
    <t>Residual Risk Assessment
(Risk treatment strategies in place)</t>
  </si>
  <si>
    <t>Consequence</t>
  </si>
  <si>
    <t>Likelihood</t>
  </si>
  <si>
    <t>Risk Rating</t>
  </si>
  <si>
    <t>[Enter description of risk. This should include details of the root cause of the risk]</t>
  </si>
  <si>
    <t>[Enter the potential impact of the risk]</t>
  </si>
  <si>
    <t>[Enter the consequence rating with no controls in place]</t>
  </si>
  <si>
    <t>[Enter the likelihood rating with no controls in place]</t>
  </si>
  <si>
    <t>[Enter the risk rating using the risk management matrix based on the assumption that no controls are in place]</t>
  </si>
  <si>
    <t>[Enter description of current risk treatment strategies in place]</t>
  </si>
  <si>
    <t>[Estimated cost of risk treatment (if any)]</t>
  </si>
  <si>
    <t>[Actioned/Yet to be actioned/No longer relevant]</t>
  </si>
  <si>
    <t>[Enter the consequence rating with current risk treatment strategies in place]</t>
  </si>
  <si>
    <t>[Enter the likelihood rating with current risk treatment strategies in place]</t>
  </si>
  <si>
    <t>[Enter the risk rating using the risk management matrix based on the current controls in place]</t>
  </si>
  <si>
    <t>Major</t>
  </si>
  <si>
    <t>Likely</t>
  </si>
  <si>
    <t>High</t>
  </si>
  <si>
    <t>Moderate</t>
  </si>
  <si>
    <t>Medium</t>
  </si>
  <si>
    <t>Standard Defence Risk Management Matrix</t>
  </si>
  <si>
    <t>Insignificant</t>
  </si>
  <si>
    <t>Minor</t>
  </si>
  <si>
    <t>Severe</t>
  </si>
  <si>
    <t>Almost Certain</t>
  </si>
  <si>
    <t>Extreme</t>
  </si>
  <si>
    <t>Possible</t>
  </si>
  <si>
    <t>Low</t>
  </si>
  <si>
    <t>Unlikely</t>
  </si>
  <si>
    <t>Rare</t>
  </si>
  <si>
    <t>Risk Consequence Ratings</t>
  </si>
  <si>
    <t>Rating</t>
  </si>
  <si>
    <t>Description</t>
  </si>
  <si>
    <t>Would stop achievement of functional goals/ business objectives 
Significant impact on managing Defence capability 
Severe political damage to Defence
Serious damage to Defence reputation
Significant increase in cost to Commonwealth (say 20%+)
Constant and significant Commonwealth intervention required to supplement Contractor’s management oversight effectiveness</t>
  </si>
  <si>
    <t>Would threaten functional objectives and major disruptions to business objectives
Major impact on managing Defence capability 
Major political damage to Defence 
Major damage to Defence reputation 
Major increase in cost to Commonwealth (say 10–20%)
Significant Commonwealth intervention required to supplement Contractor’s management oversight effectiveness</t>
  </si>
  <si>
    <t>Would necessitate significant adjustment to overall function with moderate impact on business outcomes
Moderate impact on managing Defence capability 
Moderate political damage to Defence 
Moderate damage to Defence reputation
Moderate increase in cost to Commonwealth (say 5-10%)
Intermittent moderate Commonwealth intervention required to supplement Contractor’s management oversight effectiveness</t>
  </si>
  <si>
    <t>Would threaten an element of the function with minor impact on business outcomes
Minor impact on managing Defence capability
Minor political damage to Defence
Minor damage to Defence reputation
Minor increase in cost to Commonwealth (say up to 5%)
Occasional moderate Commonwealth intervention required to supplement Contractor’s management oversight effectiveness</t>
  </si>
  <si>
    <t>Some consequences as described above but at insignificant levels</t>
  </si>
  <si>
    <t>Risk Probability (Likelihood)</t>
  </si>
  <si>
    <t>Expected to occur in most circumstances</t>
  </si>
  <si>
    <t>Will probably occur in most circumstances</t>
  </si>
  <si>
    <t>Could occur at some time</t>
  </si>
  <si>
    <t>Not expected to occur</t>
  </si>
  <si>
    <t>Exceptional circumstances only</t>
  </si>
  <si>
    <t>Risk Acceptability</t>
  </si>
  <si>
    <t>Risk Level</t>
  </si>
  <si>
    <t>The impact of this risk occurring would be so severe that the related activity would need to cease immediately.  Extreme risks need immediate mitigation strategies to be implemented. Risk must be treated unless it is not cost effective to do so.</t>
  </si>
  <si>
    <t xml:space="preserve">This type of risk cannot be accepted.  Treatment strategies aimed at reducing the risk level should be developed and implemented as soon as possible. Risk must be treated unless it is not cost effective to do so. </t>
  </si>
  <si>
    <t>Hedium</t>
  </si>
  <si>
    <t xml:space="preserve">This level of risk can be accepted if there are no treatment strategies that can be easily and economically implemented.  The risk must be regularly monitored to ensure that any change in circumstances is detected and acted upon appropriately.  </t>
  </si>
  <si>
    <t xml:space="preserve">This level of risk can be accepted if there are no treatment strategies that can be easily and economically implemented.  The risk must be periodically monitored however to ensure that any change in circumstances is detected and acted upon appropriately.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</si>
</sst>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quot;#,##0.00_);[Red]\(&quot;$&quot;#,##0.00\)"/>
    <numFmt numFmtId="165" formatCode="_(&quot;$&quot;* #,##0.00_);_(&quot;$&quot;* \(#,##0.00\);_(&quot;$&quot;* &quot;-&quot;??_);_(@_)"/>
    <numFmt numFmtId="166" formatCode="_-* #,##0.0000_-;\-* #,##0.0000_-;_-* &quot;-&quot;????_-;_-@"/>
    <numFmt numFmtId="167" formatCode="#,##0_ ;\-#,##0\ "/>
    <numFmt numFmtId="168" formatCode="_-* #,##0.00_-;\-* #,##0.00_-;_-* &quot;-&quot;??_-;_-@"/>
    <numFmt numFmtId="169" formatCode="#,##0.00_ ;\-#,##0.00\ "/>
    <numFmt numFmtId="170" formatCode="_-&quot;$&quot;* #,##0.00_-;\-&quot;$&quot;* #,##0.00_-;_-&quot;$&quot;* &quot;-&quot;??_-;_-@"/>
  </numFmts>
  <fonts count="20" x14ac:knownFonts="1">
    <font>
      <sz val="11"/>
      <color theme="1"/>
      <name val="Calibri"/>
      <scheme val="minor"/>
    </font>
    <font>
      <sz val="11"/>
      <color theme="1"/>
      <name val="Calibri"/>
      <family val="2"/>
      <scheme val="minor"/>
    </font>
    <font>
      <sz val="26"/>
      <color rgb="FFF79646"/>
      <name val="Times New Roman"/>
      <family val="1"/>
    </font>
    <font>
      <b/>
      <u/>
      <sz val="12"/>
      <color theme="1"/>
      <name val="Calibri"/>
      <family val="2"/>
    </font>
    <font>
      <b/>
      <i/>
      <u/>
      <sz val="9"/>
      <color theme="1"/>
      <name val="Calibri"/>
      <family val="2"/>
    </font>
    <font>
      <b/>
      <i/>
      <sz val="9"/>
      <color theme="1"/>
      <name val="Calibri"/>
      <family val="2"/>
    </font>
    <font>
      <b/>
      <sz val="11"/>
      <color theme="1"/>
      <name val="Calibri"/>
      <family val="2"/>
    </font>
    <font>
      <sz val="11"/>
      <color theme="1"/>
      <name val="Calibri"/>
      <family val="2"/>
      <scheme val="minor"/>
    </font>
    <font>
      <b/>
      <sz val="9"/>
      <color theme="1"/>
      <name val="Calibri"/>
      <family val="2"/>
    </font>
    <font>
      <sz val="11"/>
      <name val="Calibri"/>
      <family val="2"/>
    </font>
    <font>
      <sz val="9"/>
      <color theme="1"/>
      <name val="Calibri"/>
      <family val="2"/>
    </font>
    <font>
      <i/>
      <sz val="9"/>
      <color theme="1"/>
      <name val="Calibri"/>
      <family val="2"/>
    </font>
    <font>
      <b/>
      <sz val="9"/>
      <color rgb="FFE36C0A"/>
      <name val="Times New Roman"/>
      <family val="1"/>
    </font>
    <font>
      <sz val="11"/>
      <color theme="1"/>
      <name val="Calibri"/>
      <family val="2"/>
    </font>
    <font>
      <i/>
      <sz val="9"/>
      <color theme="8"/>
      <name val="Calibri"/>
      <family val="2"/>
    </font>
    <font>
      <sz val="9"/>
      <color rgb="FF000000"/>
      <name val="Calibri"/>
      <family val="2"/>
    </font>
    <font>
      <sz val="9"/>
      <color rgb="FFFFFFFF"/>
      <name val="Calibri"/>
      <family val="2"/>
    </font>
    <font>
      <b/>
      <sz val="9"/>
      <color theme="1"/>
      <name val="Arial"/>
      <family val="2"/>
    </font>
    <font>
      <sz val="8"/>
      <color theme="1"/>
      <name val="Calibri"/>
      <family val="2"/>
    </font>
    <font>
      <sz val="9"/>
      <color rgb="FF000000"/>
      <name val="Calibri"/>
      <family val="2"/>
      <scheme val="minor"/>
    </font>
  </fonts>
  <fills count="9">
    <fill>
      <patternFill patternType="none"/>
    </fill>
    <fill>
      <patternFill patternType="gray125"/>
    </fill>
    <fill>
      <patternFill patternType="solid">
        <fgColor rgb="FFDDDDDD"/>
        <bgColor rgb="FFDDDDDD"/>
      </patternFill>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92D050"/>
        <bgColor rgb="FF92D050"/>
      </patternFill>
    </fill>
  </fills>
  <borders count="4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s>
  <cellStyleXfs count="1">
    <xf numFmtId="0" fontId="0" fillId="0" borderId="0"/>
  </cellStyleXfs>
  <cellXfs count="106">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vertical="center"/>
    </xf>
    <xf numFmtId="0" fontId="6" fillId="0" borderId="0" xfId="0" applyFont="1"/>
    <xf numFmtId="0" fontId="7" fillId="0" borderId="0" xfId="0" applyFont="1"/>
    <xf numFmtId="0" fontId="5" fillId="0" borderId="0" xfId="0" applyFont="1" applyAlignment="1">
      <alignment horizontal="left" vertical="center"/>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left" vertical="center"/>
    </xf>
    <xf numFmtId="166" fontId="10" fillId="0" borderId="6" xfId="0" applyNumberFormat="1" applyFont="1" applyBorder="1" applyAlignment="1">
      <alignment horizontal="center" vertical="center"/>
    </xf>
    <xf numFmtId="0" fontId="11" fillId="0" borderId="6" xfId="0" applyFont="1" applyBorder="1" applyAlignment="1">
      <alignment horizontal="center" vertical="center"/>
    </xf>
    <xf numFmtId="167" fontId="11"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169" fontId="10" fillId="0" borderId="6" xfId="0" applyNumberFormat="1" applyFont="1" applyBorder="1" applyAlignment="1">
      <alignment horizontal="center" vertical="center"/>
    </xf>
    <xf numFmtId="170" fontId="10" fillId="0" borderId="6" xfId="0" applyNumberFormat="1" applyFont="1" applyBorder="1" applyAlignment="1">
      <alignment horizontal="center" vertical="center"/>
    </xf>
    <xf numFmtId="170" fontId="8" fillId="2" borderId="6" xfId="0" applyNumberFormat="1" applyFont="1" applyFill="1" applyBorder="1" applyAlignment="1">
      <alignment horizontal="center" vertical="center"/>
    </xf>
    <xf numFmtId="0" fontId="10" fillId="2" borderId="6" xfId="0" applyFont="1" applyFill="1" applyBorder="1"/>
    <xf numFmtId="164" fontId="12" fillId="0" borderId="0" xfId="0" applyNumberFormat="1" applyFont="1"/>
    <xf numFmtId="165" fontId="13" fillId="0" borderId="0" xfId="0" applyNumberFormat="1" applyFont="1"/>
    <xf numFmtId="0" fontId="13" fillId="0" borderId="0" xfId="0" applyFont="1"/>
    <xf numFmtId="0" fontId="8" fillId="2" borderId="6" xfId="0" applyFont="1" applyFill="1" applyBorder="1" applyAlignment="1">
      <alignment horizontal="center" vertical="center"/>
    </xf>
    <xf numFmtId="0" fontId="14" fillId="3"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5" fontId="15" fillId="3" borderId="6" xfId="0" applyNumberFormat="1" applyFont="1" applyFill="1" applyBorder="1" applyAlignment="1">
      <alignment horizontal="center" vertical="center" wrapText="1"/>
    </xf>
    <xf numFmtId="0" fontId="16" fillId="3" borderId="6" xfId="0" applyFont="1" applyFill="1" applyBorder="1" applyAlignment="1">
      <alignment vertical="center" wrapText="1"/>
    </xf>
    <xf numFmtId="0" fontId="16" fillId="3" borderId="7" xfId="0" applyFont="1" applyFill="1" applyBorder="1" applyAlignment="1">
      <alignment vertical="center" wrapText="1"/>
    </xf>
    <xf numFmtId="0" fontId="10" fillId="3" borderId="6"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0" fillId="0" borderId="0" xfId="0" applyFont="1"/>
    <xf numFmtId="0" fontId="17" fillId="0" borderId="19" xfId="0" applyFont="1" applyBorder="1" applyAlignment="1">
      <alignment horizontal="center"/>
    </xf>
    <xf numFmtId="0" fontId="17" fillId="0" borderId="20" xfId="0" applyFont="1" applyBorder="1" applyAlignment="1">
      <alignment horizontal="center"/>
    </xf>
    <xf numFmtId="0" fontId="17" fillId="0" borderId="21" xfId="0" applyFont="1" applyBorder="1" applyAlignment="1">
      <alignment horizontal="center"/>
    </xf>
    <xf numFmtId="0" fontId="17" fillId="0" borderId="23" xfId="0" applyFont="1" applyBorder="1" applyAlignment="1">
      <alignment horizontal="right"/>
    </xf>
    <xf numFmtId="0" fontId="10" fillId="5" borderId="24" xfId="0" applyFont="1" applyFill="1" applyBorder="1" applyAlignment="1">
      <alignment horizontal="center" vertical="center"/>
    </xf>
    <xf numFmtId="0" fontId="10" fillId="5" borderId="25" xfId="0" applyFont="1" applyFill="1" applyBorder="1" applyAlignment="1">
      <alignment horizontal="center" vertical="center"/>
    </xf>
    <xf numFmtId="0" fontId="10" fillId="6" borderId="25" xfId="0" applyFont="1" applyFill="1" applyBorder="1" applyAlignment="1">
      <alignment horizontal="center" vertical="center"/>
    </xf>
    <xf numFmtId="0" fontId="10" fillId="7" borderId="26" xfId="0" applyFont="1" applyFill="1" applyBorder="1" applyAlignment="1">
      <alignment horizontal="center" vertical="center"/>
    </xf>
    <xf numFmtId="0" fontId="17" fillId="0" borderId="28" xfId="0" applyFont="1" applyBorder="1" applyAlignment="1">
      <alignment horizontal="right"/>
    </xf>
    <xf numFmtId="0" fontId="10" fillId="5" borderId="29" xfId="0" applyFont="1" applyFill="1" applyBorder="1" applyAlignment="1">
      <alignment horizontal="center" vertical="center"/>
    </xf>
    <xf numFmtId="0" fontId="10" fillId="5" borderId="6" xfId="0" applyFont="1" applyFill="1" applyBorder="1" applyAlignment="1">
      <alignment horizontal="center" vertical="center"/>
    </xf>
    <xf numFmtId="0" fontId="10" fillId="6" borderId="6" xfId="0" applyFont="1" applyFill="1" applyBorder="1" applyAlignment="1">
      <alignment horizontal="center" vertical="center"/>
    </xf>
    <xf numFmtId="0" fontId="10" fillId="7" borderId="28" xfId="0" applyFont="1" applyFill="1" applyBorder="1" applyAlignment="1">
      <alignment horizontal="center" vertical="center"/>
    </xf>
    <xf numFmtId="0" fontId="10" fillId="8" borderId="29" xfId="0" applyFont="1" applyFill="1" applyBorder="1" applyAlignment="1">
      <alignment horizontal="center" vertical="center"/>
    </xf>
    <xf numFmtId="0" fontId="10" fillId="6" borderId="28" xfId="0" applyFont="1" applyFill="1" applyBorder="1" applyAlignment="1">
      <alignment horizontal="center" vertical="center"/>
    </xf>
    <xf numFmtId="0" fontId="10" fillId="8" borderId="6" xfId="0" applyFont="1" applyFill="1" applyBorder="1" applyAlignment="1">
      <alignment horizontal="center" vertical="center"/>
    </xf>
    <xf numFmtId="0" fontId="17" fillId="0" borderId="21" xfId="0" applyFont="1" applyBorder="1" applyAlignment="1">
      <alignment horizontal="right"/>
    </xf>
    <xf numFmtId="0" fontId="10" fillId="8" borderId="31" xfId="0" applyFont="1" applyFill="1" applyBorder="1" applyAlignment="1">
      <alignment horizontal="center" vertical="center"/>
    </xf>
    <xf numFmtId="0" fontId="10" fillId="8" borderId="20" xfId="0" applyFont="1" applyFill="1" applyBorder="1" applyAlignment="1">
      <alignment horizontal="center" vertical="center"/>
    </xf>
    <xf numFmtId="0" fontId="10" fillId="5" borderId="20" xfId="0" applyFont="1" applyFill="1" applyBorder="1" applyAlignment="1">
      <alignment horizontal="center" vertical="center"/>
    </xf>
    <xf numFmtId="0" fontId="10" fillId="5" borderId="21" xfId="0" applyFont="1" applyFill="1" applyBorder="1" applyAlignment="1">
      <alignment horizontal="center" vertical="center"/>
    </xf>
    <xf numFmtId="169" fontId="19" fillId="0" borderId="6" xfId="0" applyNumberFormat="1" applyFont="1" applyBorder="1" applyAlignment="1">
      <alignment horizontal="center" vertical="center"/>
    </xf>
    <xf numFmtId="0" fontId="1" fillId="0" borderId="0" xfId="0" applyFont="1"/>
    <xf numFmtId="0" fontId="8" fillId="2" borderId="1" xfId="0" applyFont="1" applyFill="1" applyBorder="1" applyAlignment="1">
      <alignment horizontal="center" vertical="center" wrapText="1"/>
    </xf>
    <xf numFmtId="0" fontId="9" fillId="0" borderId="5" xfId="0" applyFont="1" applyBorder="1"/>
    <xf numFmtId="0" fontId="8" fillId="2" borderId="2" xfId="0" applyFont="1" applyFill="1" applyBorder="1" applyAlignment="1">
      <alignment horizontal="right" vertical="center"/>
    </xf>
    <xf numFmtId="0" fontId="9" fillId="0" borderId="3" xfId="0" applyFont="1" applyBorder="1"/>
    <xf numFmtId="0" fontId="9" fillId="0" borderId="4" xfId="0" applyFont="1" applyBorder="1"/>
    <xf numFmtId="0" fontId="5" fillId="0" borderId="0" xfId="0" applyFont="1" applyAlignment="1">
      <alignment horizontal="left" vertical="center" wrapText="1"/>
    </xf>
    <xf numFmtId="0" fontId="0" fillId="0" borderId="0" xfId="0"/>
    <xf numFmtId="0" fontId="8" fillId="2" borderId="2" xfId="0" applyFont="1" applyFill="1" applyBorder="1" applyAlignment="1">
      <alignment horizontal="center" vertical="center" wrapText="1"/>
    </xf>
    <xf numFmtId="0" fontId="9" fillId="0" borderId="8" xfId="0" applyFont="1" applyBorder="1"/>
    <xf numFmtId="0" fontId="8" fillId="2" borderId="2" xfId="0" applyFont="1" applyFill="1" applyBorder="1" applyAlignment="1">
      <alignment horizontal="center" vertical="center"/>
    </xf>
    <xf numFmtId="0" fontId="8" fillId="2" borderId="1" xfId="0" applyFont="1" applyFill="1" applyBorder="1" applyAlignment="1">
      <alignment horizontal="center" vertical="center"/>
    </xf>
    <xf numFmtId="0" fontId="17" fillId="0" borderId="38" xfId="0" applyFont="1" applyBorder="1" applyAlignment="1">
      <alignment horizontal="center"/>
    </xf>
    <xf numFmtId="0" fontId="17" fillId="4" borderId="32" xfId="0" applyFont="1" applyFill="1" applyBorder="1" applyAlignment="1">
      <alignment horizontal="center" vertical="center"/>
    </xf>
    <xf numFmtId="0" fontId="9" fillId="0" borderId="33" xfId="0" applyFont="1" applyBorder="1"/>
    <xf numFmtId="0" fontId="17" fillId="7" borderId="45" xfId="0" applyFont="1" applyFill="1" applyBorder="1" applyAlignment="1">
      <alignment horizontal="center" vertical="center"/>
    </xf>
    <xf numFmtId="0" fontId="9" fillId="0" borderId="46" xfId="0" applyFont="1" applyBorder="1"/>
    <xf numFmtId="0" fontId="17" fillId="6" borderId="38" xfId="0" applyFont="1" applyFill="1" applyBorder="1" applyAlignment="1">
      <alignment horizontal="center" vertical="center"/>
    </xf>
    <xf numFmtId="0" fontId="9" fillId="0" borderId="39" xfId="0" applyFont="1" applyBorder="1"/>
    <xf numFmtId="0" fontId="17" fillId="5" borderId="38" xfId="0" applyFont="1" applyFill="1" applyBorder="1" applyAlignment="1">
      <alignment horizontal="center" vertical="center"/>
    </xf>
    <xf numFmtId="0" fontId="17" fillId="8" borderId="40" xfId="0" applyFont="1" applyFill="1" applyBorder="1" applyAlignment="1">
      <alignment horizontal="center" vertical="center"/>
    </xf>
    <xf numFmtId="0" fontId="9" fillId="0" borderId="41" xfId="0" applyFont="1" applyBorder="1"/>
    <xf numFmtId="0" fontId="17" fillId="4" borderId="32" xfId="0" applyFont="1" applyFill="1" applyBorder="1" applyAlignment="1">
      <alignment horizontal="center"/>
    </xf>
    <xf numFmtId="0" fontId="9" fillId="0" borderId="34" xfId="0" applyFont="1" applyBorder="1"/>
    <xf numFmtId="0" fontId="10" fillId="0" borderId="37" xfId="0" applyFont="1" applyBorder="1" applyAlignment="1">
      <alignment horizontal="left" vertical="center" wrapText="1"/>
    </xf>
    <xf numFmtId="0" fontId="9" fillId="0" borderId="37" xfId="0" applyFont="1" applyBorder="1"/>
    <xf numFmtId="0" fontId="9" fillId="0" borderId="36" xfId="0" applyFont="1" applyBorder="1"/>
    <xf numFmtId="0" fontId="10" fillId="0" borderId="3" xfId="0" applyFont="1" applyBorder="1" applyAlignment="1">
      <alignment horizontal="left" vertical="center" wrapText="1"/>
    </xf>
    <xf numFmtId="0" fontId="10" fillId="0" borderId="42" xfId="0" applyFont="1" applyBorder="1" applyAlignment="1">
      <alignment horizontal="left" vertical="center" wrapText="1"/>
    </xf>
    <xf numFmtId="0" fontId="9" fillId="0" borderId="42" xfId="0" applyFont="1" applyBorder="1"/>
    <xf numFmtId="0" fontId="17" fillId="0" borderId="38" xfId="0" applyFont="1" applyBorder="1" applyAlignment="1">
      <alignment horizontal="center" vertical="center"/>
    </xf>
    <xf numFmtId="0" fontId="10" fillId="0" borderId="44" xfId="0" applyFont="1" applyBorder="1" applyAlignment="1">
      <alignment horizontal="left" vertical="center"/>
    </xf>
    <xf numFmtId="0" fontId="17" fillId="4" borderId="9" xfId="0" applyFont="1" applyFill="1" applyBorder="1" applyAlignment="1">
      <alignment horizontal="center"/>
    </xf>
    <xf numFmtId="0" fontId="9" fillId="0" borderId="10" xfId="0" applyFont="1" applyBorder="1"/>
    <xf numFmtId="0" fontId="9" fillId="0" borderId="11" xfId="0" applyFont="1" applyBorder="1"/>
    <xf numFmtId="0" fontId="17" fillId="4" borderId="43" xfId="0" applyFont="1" applyFill="1" applyBorder="1" applyAlignment="1">
      <alignment horizontal="center"/>
    </xf>
    <xf numFmtId="0" fontId="9" fillId="0" borderId="15" xfId="0" applyFont="1" applyBorder="1"/>
    <xf numFmtId="0" fontId="9" fillId="0" borderId="16" xfId="0" applyFont="1" applyBorder="1"/>
    <xf numFmtId="0" fontId="17" fillId="4" borderId="2" xfId="0" applyFont="1" applyFill="1" applyBorder="1" applyAlignment="1">
      <alignment horizontal="center"/>
    </xf>
    <xf numFmtId="0" fontId="10" fillId="0" borderId="2" xfId="0" applyFont="1" applyBorder="1" applyAlignment="1">
      <alignment horizontal="left" vertical="center"/>
    </xf>
    <xf numFmtId="0" fontId="17" fillId="0" borderId="40" xfId="0" applyFont="1" applyBorder="1" applyAlignment="1">
      <alignment horizontal="center"/>
    </xf>
    <xf numFmtId="0" fontId="9" fillId="0" borderId="19" xfId="0" applyFont="1" applyBorder="1"/>
    <xf numFmtId="0" fontId="17" fillId="0" borderId="40" xfId="0" applyFont="1" applyBorder="1" applyAlignment="1">
      <alignment horizontal="center" vertical="center"/>
    </xf>
    <xf numFmtId="0" fontId="17" fillId="4" borderId="38" xfId="0" applyFont="1" applyFill="1" applyBorder="1" applyAlignment="1">
      <alignment horizontal="center"/>
    </xf>
    <xf numFmtId="0" fontId="17" fillId="0" borderId="35" xfId="0" applyFont="1" applyBorder="1" applyAlignment="1">
      <alignment horizontal="center" vertical="center"/>
    </xf>
    <xf numFmtId="0" fontId="10" fillId="0" borderId="12" xfId="0" applyFont="1" applyBorder="1" applyAlignment="1">
      <alignment horizontal="center"/>
    </xf>
    <xf numFmtId="0" fontId="9" fillId="0" borderId="13" xfId="0" applyFont="1" applyBorder="1"/>
    <xf numFmtId="0" fontId="9" fillId="0" borderId="17" xfId="0" applyFont="1" applyBorder="1"/>
    <xf numFmtId="0" fontId="9" fillId="0" borderId="18" xfId="0" applyFont="1" applyBorder="1"/>
    <xf numFmtId="0" fontId="17" fillId="4" borderId="14" xfId="0" applyFont="1" applyFill="1" applyBorder="1" applyAlignment="1">
      <alignment horizontal="center"/>
    </xf>
    <xf numFmtId="0" fontId="17" fillId="4" borderId="22" xfId="0" applyFont="1" applyFill="1" applyBorder="1" applyAlignment="1">
      <alignment horizontal="center" textRotation="90"/>
    </xf>
    <xf numFmtId="0" fontId="9" fillId="0" borderId="27" xfId="0" applyFont="1" applyBorder="1"/>
    <xf numFmtId="0" fontId="9" fillId="0" borderId="3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11" Type="http://schemas.openxmlformats.org/officeDocument/2006/relationships/calcChain" Target="calcChain.xml"/><Relationship Id="rId15" Type="http://schemas.openxmlformats.org/officeDocument/2006/relationships/customXml" Target="../customXml/item4.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123825</xdr:rowOff>
    </xdr:from>
    <xdr:ext cx="3019425" cy="7524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xdr:colOff>
      <xdr:row>0</xdr:row>
      <xdr:rowOff>95250</xdr:rowOff>
    </xdr:from>
    <xdr:ext cx="2952750" cy="7524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995"/>
  <sheetViews>
    <sheetView tabSelected="1" zoomScale="85" zoomScaleNormal="85" workbookViewId="0">
      <selection activeCell="L36" sqref="L36"/>
    </sheetView>
  </sheetViews>
  <sheetFormatPr defaultColWidth="14.44140625" defaultRowHeight="15" customHeight="1" x14ac:dyDescent="0.3"/>
  <cols>
    <col min="1" max="1" width="11.77734375" customWidth="1"/>
    <col min="2" max="2" width="19.5546875" customWidth="1"/>
    <col min="3" max="3" width="23.21875" bestFit="1" customWidth="1"/>
    <col min="4" max="4" width="22.77734375" customWidth="1"/>
    <col min="5" max="5" width="7.44140625" customWidth="1"/>
    <col min="6" max="6" width="7.77734375" customWidth="1"/>
    <col min="7" max="7" width="9.21875" customWidth="1"/>
    <col min="8" max="8" width="6.21875" customWidth="1"/>
    <col min="9" max="9" width="9.44140625" customWidth="1"/>
    <col min="10" max="11" width="9.77734375" customWidth="1"/>
    <col min="12" max="12" width="15.77734375" customWidth="1"/>
    <col min="13" max="13" width="11" customWidth="1"/>
    <col min="14" max="14" width="7.44140625" customWidth="1"/>
    <col min="15" max="15" width="10.21875" customWidth="1"/>
    <col min="16" max="16" width="23.21875" customWidth="1"/>
    <col min="17" max="17" width="10" customWidth="1"/>
    <col min="18" max="18" width="7.44140625" customWidth="1"/>
    <col min="19" max="19" width="10.77734375" customWidth="1"/>
    <col min="20" max="20" width="12.77734375" customWidth="1"/>
    <col min="21" max="21" width="9.77734375" bestFit="1" customWidth="1"/>
    <col min="22" max="22" width="15.88671875" bestFit="1" customWidth="1"/>
    <col min="23" max="23" width="14.21875" bestFit="1" customWidth="1"/>
    <col min="24" max="24" width="15.88671875" bestFit="1" customWidth="1"/>
    <col min="25" max="25" width="29.44140625" customWidth="1"/>
    <col min="26" max="26" width="8.77734375" customWidth="1"/>
  </cols>
  <sheetData>
    <row r="3" spans="1:25" ht="32.4" x14ac:dyDescent="0.3">
      <c r="D3" s="1" t="s">
        <v>0</v>
      </c>
      <c r="E3" s="1"/>
      <c r="F3" s="1"/>
    </row>
    <row r="7" spans="1:25" ht="15.6" x14ac:dyDescent="0.3">
      <c r="A7" s="2" t="s">
        <v>1</v>
      </c>
      <c r="G7" s="3" t="s">
        <v>2</v>
      </c>
    </row>
    <row r="8" spans="1:25" ht="28.5" customHeight="1" x14ac:dyDescent="0.3">
      <c r="G8" s="59" t="s">
        <v>3</v>
      </c>
      <c r="H8" s="60"/>
      <c r="I8" s="60"/>
      <c r="J8" s="60"/>
      <c r="K8" s="60"/>
      <c r="L8" s="60"/>
      <c r="M8" s="60"/>
      <c r="N8" s="60"/>
      <c r="O8" s="60"/>
      <c r="P8" s="60"/>
      <c r="Q8" s="60"/>
      <c r="R8" s="60"/>
      <c r="S8" s="60"/>
      <c r="T8" s="60"/>
      <c r="U8" s="60"/>
    </row>
    <row r="9" spans="1:25" ht="14.4" x14ac:dyDescent="0.3">
      <c r="B9" s="4" t="s">
        <v>4</v>
      </c>
      <c r="C9" s="53"/>
      <c r="G9" s="6" t="s">
        <v>6</v>
      </c>
    </row>
    <row r="10" spans="1:25" ht="14.4" x14ac:dyDescent="0.3">
      <c r="B10" s="4" t="s">
        <v>7</v>
      </c>
      <c r="C10" s="5"/>
      <c r="G10" s="6" t="s">
        <v>8</v>
      </c>
    </row>
    <row r="11" spans="1:25" ht="14.4" x14ac:dyDescent="0.3">
      <c r="B11" s="4" t="s">
        <v>9</v>
      </c>
      <c r="C11" s="5"/>
      <c r="G11" s="6" t="s">
        <v>10</v>
      </c>
      <c r="H11" s="6"/>
      <c r="I11" s="6"/>
      <c r="J11" s="6"/>
      <c r="K11" s="6"/>
      <c r="L11" s="6"/>
      <c r="M11" s="6"/>
      <c r="N11" s="6"/>
      <c r="O11" s="6"/>
      <c r="P11" s="6"/>
      <c r="Q11" s="6"/>
      <c r="R11" s="6"/>
      <c r="S11" s="6"/>
    </row>
    <row r="12" spans="1:25" ht="25.5" customHeight="1" x14ac:dyDescent="0.3">
      <c r="B12" s="4"/>
      <c r="G12" s="59" t="s">
        <v>11</v>
      </c>
      <c r="H12" s="60"/>
      <c r="I12" s="60"/>
      <c r="J12" s="60"/>
      <c r="K12" s="60"/>
      <c r="L12" s="60"/>
      <c r="M12" s="60"/>
      <c r="N12" s="60"/>
      <c r="O12" s="60"/>
      <c r="P12" s="60"/>
      <c r="Q12" s="60"/>
      <c r="R12" s="60"/>
      <c r="S12" s="60"/>
      <c r="T12" s="60"/>
      <c r="U12" s="60"/>
    </row>
    <row r="13" spans="1:25" ht="14.4" x14ac:dyDescent="0.3">
      <c r="B13" s="4"/>
      <c r="G13" s="6" t="s">
        <v>12</v>
      </c>
    </row>
    <row r="16" spans="1:25" ht="36" customHeight="1" x14ac:dyDescent="0.3">
      <c r="A16" s="54" t="s">
        <v>13</v>
      </c>
      <c r="B16" s="54" t="s">
        <v>14</v>
      </c>
      <c r="C16" s="54" t="s">
        <v>15</v>
      </c>
      <c r="D16" s="54" t="s">
        <v>16</v>
      </c>
      <c r="E16" s="54" t="s">
        <v>17</v>
      </c>
      <c r="F16" s="54" t="s">
        <v>18</v>
      </c>
      <c r="G16" s="61" t="s">
        <v>19</v>
      </c>
      <c r="H16" s="57"/>
      <c r="I16" s="57"/>
      <c r="J16" s="57"/>
      <c r="K16" s="58"/>
      <c r="L16" s="61" t="s">
        <v>20</v>
      </c>
      <c r="M16" s="57"/>
      <c r="N16" s="57"/>
      <c r="O16" s="58"/>
      <c r="P16" s="61" t="s">
        <v>21</v>
      </c>
      <c r="Q16" s="57"/>
      <c r="R16" s="57"/>
      <c r="S16" s="58"/>
      <c r="T16" s="54" t="s">
        <v>22</v>
      </c>
      <c r="U16" s="61" t="s">
        <v>23</v>
      </c>
      <c r="V16" s="57"/>
      <c r="W16" s="57"/>
      <c r="X16" s="58"/>
      <c r="Y16" s="54" t="s">
        <v>24</v>
      </c>
    </row>
    <row r="17" spans="1:25" ht="42" customHeight="1" x14ac:dyDescent="0.3">
      <c r="A17" s="55"/>
      <c r="B17" s="55"/>
      <c r="C17" s="55"/>
      <c r="D17" s="55"/>
      <c r="E17" s="55"/>
      <c r="F17" s="55"/>
      <c r="G17" s="7" t="s">
        <v>25</v>
      </c>
      <c r="H17" s="7" t="s">
        <v>26</v>
      </c>
      <c r="I17" s="7" t="s">
        <v>27</v>
      </c>
      <c r="J17" s="7" t="s">
        <v>28</v>
      </c>
      <c r="K17" s="7" t="s">
        <v>29</v>
      </c>
      <c r="L17" s="7" t="s">
        <v>30</v>
      </c>
      <c r="M17" s="7" t="s">
        <v>31</v>
      </c>
      <c r="N17" s="7" t="s">
        <v>32</v>
      </c>
      <c r="O17" s="7" t="s">
        <v>29</v>
      </c>
      <c r="P17" s="7" t="s">
        <v>30</v>
      </c>
      <c r="Q17" s="7" t="s">
        <v>31</v>
      </c>
      <c r="R17" s="7" t="s">
        <v>32</v>
      </c>
      <c r="S17" s="7" t="s">
        <v>29</v>
      </c>
      <c r="T17" s="55"/>
      <c r="U17" s="8" t="s">
        <v>33</v>
      </c>
      <c r="V17" s="8" t="s">
        <v>34</v>
      </c>
      <c r="W17" s="8" t="s">
        <v>35</v>
      </c>
      <c r="X17" s="8" t="s">
        <v>36</v>
      </c>
      <c r="Y17" s="55"/>
    </row>
    <row r="18" spans="1:25" ht="14.4" x14ac:dyDescent="0.3">
      <c r="A18" s="9">
        <v>1</v>
      </c>
      <c r="B18" s="10"/>
      <c r="C18" s="10"/>
      <c r="D18" s="10"/>
      <c r="E18" s="9"/>
      <c r="F18" s="11"/>
      <c r="G18" s="12"/>
      <c r="H18" s="13"/>
      <c r="I18" s="14"/>
      <c r="J18" s="15"/>
      <c r="K18" s="14">
        <f t="shared" ref="K18" si="0">I18*J18</f>
        <v>0</v>
      </c>
      <c r="L18" s="16"/>
      <c r="M18" s="14">
        <v>0</v>
      </c>
      <c r="N18" s="13"/>
      <c r="O18" s="14">
        <f t="shared" ref="O18" si="1">M18*N18</f>
        <v>0</v>
      </c>
      <c r="P18" s="16"/>
      <c r="Q18" s="14">
        <v>0</v>
      </c>
      <c r="R18" s="13"/>
      <c r="S18" s="14">
        <f t="shared" ref="S18" si="2">Q18*R18</f>
        <v>0</v>
      </c>
      <c r="T18" s="14">
        <v>0</v>
      </c>
      <c r="U18" s="14">
        <f t="shared" ref="U18" si="3">K18+O18+S18+T18</f>
        <v>0</v>
      </c>
      <c r="V18" s="16">
        <f t="shared" ref="V18:V21" si="4">IFERROR(U18/F18,0)</f>
        <v>0</v>
      </c>
      <c r="W18" s="16">
        <f t="shared" ref="W18:W21" si="5">X18-V18</f>
        <v>0</v>
      </c>
      <c r="X18" s="16">
        <f t="shared" ref="X18:X21" si="6">V18*1.1</f>
        <v>0</v>
      </c>
      <c r="Y18" s="10"/>
    </row>
    <row r="19" spans="1:25" ht="15.75" customHeight="1" x14ac:dyDescent="0.3">
      <c r="A19" s="9">
        <v>2</v>
      </c>
      <c r="B19" s="10"/>
      <c r="C19" s="10"/>
      <c r="D19" s="10"/>
      <c r="E19" s="9"/>
      <c r="F19" s="11"/>
      <c r="G19" s="12"/>
      <c r="H19" s="13"/>
      <c r="I19" s="14"/>
      <c r="J19" s="15"/>
      <c r="K19" s="14">
        <f t="shared" ref="K19:K29" si="7">I19*J19</f>
        <v>0</v>
      </c>
      <c r="L19" s="16"/>
      <c r="M19" s="14">
        <v>0</v>
      </c>
      <c r="N19" s="13"/>
      <c r="O19" s="14">
        <f t="shared" ref="O19:O29" si="8">M19*N19</f>
        <v>0</v>
      </c>
      <c r="P19" s="16"/>
      <c r="Q19" s="14">
        <v>0</v>
      </c>
      <c r="R19" s="13"/>
      <c r="S19" s="14">
        <f t="shared" ref="S19:S29" si="9">Q19*R19</f>
        <v>0</v>
      </c>
      <c r="T19" s="14">
        <v>0</v>
      </c>
      <c r="U19" s="14">
        <f t="shared" ref="U19:U29" si="10">K19+O19+S19+T19</f>
        <v>0</v>
      </c>
      <c r="V19" s="16">
        <f t="shared" si="4"/>
        <v>0</v>
      </c>
      <c r="W19" s="16">
        <f t="shared" si="5"/>
        <v>0</v>
      </c>
      <c r="X19" s="16">
        <f t="shared" si="6"/>
        <v>0</v>
      </c>
      <c r="Y19" s="10"/>
    </row>
    <row r="20" spans="1:25" ht="15.75" customHeight="1" x14ac:dyDescent="0.3">
      <c r="A20" s="9">
        <v>3</v>
      </c>
      <c r="B20" s="10"/>
      <c r="C20" s="10"/>
      <c r="D20" s="10"/>
      <c r="E20" s="9"/>
      <c r="F20" s="11"/>
      <c r="G20" s="12"/>
      <c r="H20" s="13"/>
      <c r="I20" s="14"/>
      <c r="J20" s="15"/>
      <c r="K20" s="14">
        <f t="shared" si="7"/>
        <v>0</v>
      </c>
      <c r="L20" s="16"/>
      <c r="M20" s="14">
        <v>0</v>
      </c>
      <c r="N20" s="13"/>
      <c r="O20" s="14">
        <f t="shared" si="8"/>
        <v>0</v>
      </c>
      <c r="P20" s="16"/>
      <c r="Q20" s="14">
        <v>0</v>
      </c>
      <c r="R20" s="13"/>
      <c r="S20" s="14">
        <f t="shared" si="9"/>
        <v>0</v>
      </c>
      <c r="T20" s="14">
        <v>0</v>
      </c>
      <c r="U20" s="14">
        <f t="shared" si="10"/>
        <v>0</v>
      </c>
      <c r="V20" s="16">
        <f t="shared" si="4"/>
        <v>0</v>
      </c>
      <c r="W20" s="16">
        <f t="shared" si="5"/>
        <v>0</v>
      </c>
      <c r="X20" s="16">
        <f t="shared" si="6"/>
        <v>0</v>
      </c>
      <c r="Y20" s="10"/>
    </row>
    <row r="21" spans="1:25" ht="15.75" customHeight="1" x14ac:dyDescent="0.3">
      <c r="A21" s="9">
        <v>4</v>
      </c>
      <c r="B21" s="10"/>
      <c r="C21" s="10"/>
      <c r="D21" s="10"/>
      <c r="E21" s="9"/>
      <c r="F21" s="11"/>
      <c r="G21" s="12"/>
      <c r="H21" s="13"/>
      <c r="I21" s="14"/>
      <c r="J21" s="15"/>
      <c r="K21" s="14">
        <f t="shared" si="7"/>
        <v>0</v>
      </c>
      <c r="L21" s="16"/>
      <c r="M21" s="14">
        <v>0</v>
      </c>
      <c r="N21" s="13"/>
      <c r="O21" s="14">
        <f t="shared" si="8"/>
        <v>0</v>
      </c>
      <c r="P21" s="16"/>
      <c r="Q21" s="14">
        <v>0</v>
      </c>
      <c r="R21" s="13"/>
      <c r="S21" s="14">
        <f t="shared" si="9"/>
        <v>0</v>
      </c>
      <c r="T21" s="14">
        <v>0</v>
      </c>
      <c r="U21" s="14">
        <f t="shared" si="10"/>
        <v>0</v>
      </c>
      <c r="V21" s="16">
        <f t="shared" si="4"/>
        <v>0</v>
      </c>
      <c r="W21" s="16">
        <f t="shared" si="5"/>
        <v>0</v>
      </c>
      <c r="X21" s="16">
        <f t="shared" si="6"/>
        <v>0</v>
      </c>
      <c r="Y21" s="10"/>
    </row>
    <row r="22" spans="1:25" ht="15.75" customHeight="1" x14ac:dyDescent="0.3">
      <c r="A22" s="9">
        <v>5</v>
      </c>
      <c r="B22" s="10"/>
      <c r="C22" s="10"/>
      <c r="D22" s="10"/>
      <c r="E22" s="9"/>
      <c r="F22" s="11"/>
      <c r="G22" s="12"/>
      <c r="H22" s="13"/>
      <c r="I22" s="14"/>
      <c r="J22" s="52"/>
      <c r="K22" s="14">
        <f t="shared" si="7"/>
        <v>0</v>
      </c>
      <c r="L22" s="16"/>
      <c r="M22" s="14">
        <v>0</v>
      </c>
      <c r="N22" s="13"/>
      <c r="O22" s="14">
        <f t="shared" si="8"/>
        <v>0</v>
      </c>
      <c r="P22" s="16"/>
      <c r="Q22" s="14">
        <v>0</v>
      </c>
      <c r="R22" s="13"/>
      <c r="S22" s="14">
        <f t="shared" si="9"/>
        <v>0</v>
      </c>
      <c r="T22" s="14">
        <v>0</v>
      </c>
      <c r="U22" s="14">
        <f t="shared" si="10"/>
        <v>0</v>
      </c>
      <c r="V22" s="16">
        <f t="shared" ref="V22:V29" si="11">IFERROR(U22/F22,0)</f>
        <v>0</v>
      </c>
      <c r="W22" s="16">
        <f t="shared" ref="W19:W29" si="12">X22-V22</f>
        <v>0</v>
      </c>
      <c r="X22" s="16">
        <f t="shared" ref="X19:X29" si="13">V22*1.1</f>
        <v>0</v>
      </c>
      <c r="Y22" s="10"/>
    </row>
    <row r="23" spans="1:25" ht="15.75" customHeight="1" x14ac:dyDescent="0.3">
      <c r="A23" s="9">
        <v>6</v>
      </c>
      <c r="B23" s="10"/>
      <c r="C23" s="10"/>
      <c r="D23" s="10"/>
      <c r="E23" s="9"/>
      <c r="F23" s="11"/>
      <c r="G23" s="12"/>
      <c r="H23" s="13"/>
      <c r="I23" s="14"/>
      <c r="J23" s="52"/>
      <c r="K23" s="14">
        <f t="shared" si="7"/>
        <v>0</v>
      </c>
      <c r="L23" s="16"/>
      <c r="M23" s="14">
        <v>0</v>
      </c>
      <c r="N23" s="13"/>
      <c r="O23" s="14">
        <f t="shared" si="8"/>
        <v>0</v>
      </c>
      <c r="P23" s="16"/>
      <c r="Q23" s="14">
        <v>0</v>
      </c>
      <c r="R23" s="13"/>
      <c r="S23" s="14">
        <f t="shared" si="9"/>
        <v>0</v>
      </c>
      <c r="T23" s="14">
        <v>0</v>
      </c>
      <c r="U23" s="14">
        <f t="shared" si="10"/>
        <v>0</v>
      </c>
      <c r="V23" s="16">
        <f t="shared" si="11"/>
        <v>0</v>
      </c>
      <c r="W23" s="16">
        <f t="shared" si="12"/>
        <v>0</v>
      </c>
      <c r="X23" s="16">
        <f t="shared" si="13"/>
        <v>0</v>
      </c>
      <c r="Y23" s="10"/>
    </row>
    <row r="24" spans="1:25" ht="15.75" customHeight="1" x14ac:dyDescent="0.3">
      <c r="A24" s="9">
        <v>7</v>
      </c>
      <c r="B24" s="10"/>
      <c r="C24" s="10"/>
      <c r="D24" s="10"/>
      <c r="E24" s="9"/>
      <c r="F24" s="11"/>
      <c r="G24" s="12"/>
      <c r="H24" s="13"/>
      <c r="I24" s="14"/>
      <c r="J24" s="15"/>
      <c r="K24" s="14">
        <f t="shared" si="7"/>
        <v>0</v>
      </c>
      <c r="L24" s="16"/>
      <c r="M24" s="14">
        <v>0</v>
      </c>
      <c r="N24" s="13"/>
      <c r="O24" s="14">
        <f t="shared" si="8"/>
        <v>0</v>
      </c>
      <c r="P24" s="16"/>
      <c r="Q24" s="14">
        <v>0</v>
      </c>
      <c r="R24" s="13"/>
      <c r="S24" s="14">
        <f t="shared" si="9"/>
        <v>0</v>
      </c>
      <c r="T24" s="14">
        <v>0</v>
      </c>
      <c r="U24" s="14">
        <f t="shared" si="10"/>
        <v>0</v>
      </c>
      <c r="V24" s="16">
        <f t="shared" si="11"/>
        <v>0</v>
      </c>
      <c r="W24" s="16">
        <f t="shared" si="12"/>
        <v>0</v>
      </c>
      <c r="X24" s="16">
        <f t="shared" si="13"/>
        <v>0</v>
      </c>
      <c r="Y24" s="10"/>
    </row>
    <row r="25" spans="1:25" ht="15.75" customHeight="1" x14ac:dyDescent="0.3">
      <c r="A25" s="9">
        <v>8</v>
      </c>
      <c r="B25" s="10"/>
      <c r="C25" s="10"/>
      <c r="D25" s="10"/>
      <c r="E25" s="9"/>
      <c r="F25" s="11"/>
      <c r="G25" s="12"/>
      <c r="H25" s="13"/>
      <c r="I25" s="14"/>
      <c r="J25" s="15"/>
      <c r="K25" s="14">
        <f t="shared" si="7"/>
        <v>0</v>
      </c>
      <c r="L25" s="16"/>
      <c r="M25" s="14">
        <v>0</v>
      </c>
      <c r="N25" s="13"/>
      <c r="O25" s="14">
        <f t="shared" si="8"/>
        <v>0</v>
      </c>
      <c r="P25" s="16"/>
      <c r="Q25" s="14">
        <v>0</v>
      </c>
      <c r="R25" s="13"/>
      <c r="S25" s="14">
        <f t="shared" si="9"/>
        <v>0</v>
      </c>
      <c r="T25" s="14">
        <v>0</v>
      </c>
      <c r="U25" s="14">
        <f t="shared" si="10"/>
        <v>0</v>
      </c>
      <c r="V25" s="16">
        <f t="shared" si="11"/>
        <v>0</v>
      </c>
      <c r="W25" s="16">
        <f t="shared" si="12"/>
        <v>0</v>
      </c>
      <c r="X25" s="16">
        <f t="shared" si="13"/>
        <v>0</v>
      </c>
      <c r="Y25" s="10"/>
    </row>
    <row r="26" spans="1:25" ht="15.75" customHeight="1" x14ac:dyDescent="0.3">
      <c r="A26" s="9">
        <v>9</v>
      </c>
      <c r="B26" s="10"/>
      <c r="C26" s="10"/>
      <c r="D26" s="10"/>
      <c r="E26" s="9"/>
      <c r="F26" s="11"/>
      <c r="G26" s="12"/>
      <c r="H26" s="13"/>
      <c r="I26" s="14"/>
      <c r="J26" s="15"/>
      <c r="K26" s="14">
        <f t="shared" si="7"/>
        <v>0</v>
      </c>
      <c r="L26" s="16"/>
      <c r="M26" s="14">
        <v>0</v>
      </c>
      <c r="N26" s="13"/>
      <c r="O26" s="14">
        <f t="shared" si="8"/>
        <v>0</v>
      </c>
      <c r="P26" s="16"/>
      <c r="Q26" s="14">
        <v>0</v>
      </c>
      <c r="R26" s="13"/>
      <c r="S26" s="14">
        <f t="shared" si="9"/>
        <v>0</v>
      </c>
      <c r="T26" s="14">
        <v>0</v>
      </c>
      <c r="U26" s="14">
        <f t="shared" si="10"/>
        <v>0</v>
      </c>
      <c r="V26" s="16">
        <f t="shared" si="11"/>
        <v>0</v>
      </c>
      <c r="W26" s="16">
        <f t="shared" si="12"/>
        <v>0</v>
      </c>
      <c r="X26" s="16">
        <f t="shared" si="13"/>
        <v>0</v>
      </c>
      <c r="Y26" s="10"/>
    </row>
    <row r="27" spans="1:25" ht="15.75" customHeight="1" x14ac:dyDescent="0.3">
      <c r="A27" s="9">
        <v>10</v>
      </c>
      <c r="B27" s="10"/>
      <c r="C27" s="10"/>
      <c r="D27" s="10"/>
      <c r="E27" s="9"/>
      <c r="F27" s="11"/>
      <c r="G27" s="12"/>
      <c r="H27" s="13"/>
      <c r="I27" s="14"/>
      <c r="J27" s="15"/>
      <c r="K27" s="14">
        <f t="shared" si="7"/>
        <v>0</v>
      </c>
      <c r="L27" s="16"/>
      <c r="M27" s="14">
        <v>0</v>
      </c>
      <c r="N27" s="13"/>
      <c r="O27" s="14">
        <f t="shared" si="8"/>
        <v>0</v>
      </c>
      <c r="P27" s="16"/>
      <c r="Q27" s="14">
        <v>0</v>
      </c>
      <c r="R27" s="13"/>
      <c r="S27" s="14">
        <f t="shared" si="9"/>
        <v>0</v>
      </c>
      <c r="T27" s="14">
        <v>0</v>
      </c>
      <c r="U27" s="14">
        <f t="shared" si="10"/>
        <v>0</v>
      </c>
      <c r="V27" s="16">
        <f t="shared" si="11"/>
        <v>0</v>
      </c>
      <c r="W27" s="16">
        <f t="shared" si="12"/>
        <v>0</v>
      </c>
      <c r="X27" s="16">
        <f t="shared" si="13"/>
        <v>0</v>
      </c>
      <c r="Y27" s="10"/>
    </row>
    <row r="28" spans="1:25" ht="15.75" customHeight="1" x14ac:dyDescent="0.3">
      <c r="A28" s="9">
        <v>11</v>
      </c>
      <c r="B28" s="10"/>
      <c r="C28" s="10"/>
      <c r="D28" s="10"/>
      <c r="E28" s="9"/>
      <c r="F28" s="11"/>
      <c r="G28" s="12"/>
      <c r="H28" s="13"/>
      <c r="I28" s="14"/>
      <c r="J28" s="15"/>
      <c r="K28" s="14">
        <f t="shared" si="7"/>
        <v>0</v>
      </c>
      <c r="L28" s="16"/>
      <c r="M28" s="14">
        <v>0</v>
      </c>
      <c r="N28" s="13"/>
      <c r="O28" s="14">
        <f t="shared" si="8"/>
        <v>0</v>
      </c>
      <c r="P28" s="16"/>
      <c r="Q28" s="14">
        <v>0</v>
      </c>
      <c r="R28" s="13"/>
      <c r="S28" s="14">
        <f t="shared" si="9"/>
        <v>0</v>
      </c>
      <c r="T28" s="14">
        <v>0</v>
      </c>
      <c r="U28" s="14">
        <f t="shared" si="10"/>
        <v>0</v>
      </c>
      <c r="V28" s="16">
        <f t="shared" si="11"/>
        <v>0</v>
      </c>
      <c r="W28" s="16">
        <f t="shared" si="12"/>
        <v>0</v>
      </c>
      <c r="X28" s="16">
        <f t="shared" si="13"/>
        <v>0</v>
      </c>
      <c r="Y28" s="10"/>
    </row>
    <row r="29" spans="1:25" ht="15.75" customHeight="1" x14ac:dyDescent="0.3">
      <c r="A29" s="9">
        <v>12</v>
      </c>
      <c r="B29" s="10"/>
      <c r="C29" s="10"/>
      <c r="D29" s="10"/>
      <c r="E29" s="9"/>
      <c r="F29" s="11"/>
      <c r="G29" s="12"/>
      <c r="H29" s="13"/>
      <c r="I29" s="14"/>
      <c r="J29" s="15"/>
      <c r="K29" s="14">
        <f t="shared" si="7"/>
        <v>0</v>
      </c>
      <c r="L29" s="16"/>
      <c r="M29" s="14">
        <v>0</v>
      </c>
      <c r="N29" s="13"/>
      <c r="O29" s="14">
        <f t="shared" si="8"/>
        <v>0</v>
      </c>
      <c r="P29" s="16"/>
      <c r="Q29" s="14">
        <v>0</v>
      </c>
      <c r="R29" s="13"/>
      <c r="S29" s="14">
        <f t="shared" si="9"/>
        <v>0</v>
      </c>
      <c r="T29" s="14">
        <v>0</v>
      </c>
      <c r="U29" s="14">
        <f t="shared" si="10"/>
        <v>0</v>
      </c>
      <c r="V29" s="16">
        <f t="shared" si="11"/>
        <v>0</v>
      </c>
      <c r="W29" s="16">
        <f t="shared" si="12"/>
        <v>0</v>
      </c>
      <c r="X29" s="16">
        <f t="shared" si="13"/>
        <v>0</v>
      </c>
      <c r="Y29" s="10"/>
    </row>
    <row r="30" spans="1:25" ht="15.75" customHeight="1" x14ac:dyDescent="0.3">
      <c r="A30" s="56" t="s">
        <v>37</v>
      </c>
      <c r="B30" s="57"/>
      <c r="C30" s="57"/>
      <c r="D30" s="57"/>
      <c r="E30" s="57"/>
      <c r="F30" s="57"/>
      <c r="G30" s="57"/>
      <c r="H30" s="57"/>
      <c r="I30" s="57"/>
      <c r="J30" s="57"/>
      <c r="K30" s="57"/>
      <c r="L30" s="57"/>
      <c r="M30" s="57"/>
      <c r="N30" s="57"/>
      <c r="O30" s="57"/>
      <c r="P30" s="57"/>
      <c r="Q30" s="57"/>
      <c r="R30" s="57"/>
      <c r="S30" s="57"/>
      <c r="T30" s="57"/>
      <c r="U30" s="58"/>
      <c r="V30" s="17">
        <f>SUM(V19:V29)</f>
        <v>0</v>
      </c>
      <c r="W30" s="17">
        <f>SUM(W19:W29)</f>
        <v>0</v>
      </c>
      <c r="X30" s="17">
        <f>SUM(X18:X29)</f>
        <v>0</v>
      </c>
      <c r="Y30" s="18"/>
    </row>
    <row r="31" spans="1:25" ht="15.75" customHeight="1" x14ac:dyDescent="0.3"/>
    <row r="32" spans="1:25" ht="15.75" customHeight="1" x14ac:dyDescent="0.3">
      <c r="X32" s="19"/>
    </row>
    <row r="33" spans="15:24" ht="15.75" customHeight="1" x14ac:dyDescent="0.3">
      <c r="O33" s="5" t="s">
        <v>38</v>
      </c>
      <c r="X33" s="20"/>
    </row>
    <row r="34" spans="15:24" ht="15.75" customHeight="1" x14ac:dyDescent="0.3">
      <c r="X34" s="20"/>
    </row>
    <row r="35" spans="15:24" ht="15.75" customHeight="1" x14ac:dyDescent="0.3"/>
    <row r="36" spans="15:24" ht="15.75" customHeight="1" x14ac:dyDescent="0.3">
      <c r="X36" s="20"/>
    </row>
    <row r="37" spans="15:24" ht="15.75" customHeight="1" x14ac:dyDescent="0.3"/>
    <row r="38" spans="15:24" ht="15.75" customHeight="1" x14ac:dyDescent="0.3"/>
    <row r="39" spans="15:24" ht="15.75" customHeight="1" x14ac:dyDescent="0.3"/>
    <row r="40" spans="15:24" ht="15.75" customHeight="1" x14ac:dyDescent="0.3"/>
    <row r="41" spans="15:24" ht="15.75" customHeight="1" x14ac:dyDescent="0.3"/>
    <row r="42" spans="15:24" ht="15.75" customHeight="1" x14ac:dyDescent="0.3"/>
    <row r="43" spans="15:24" ht="15.75" customHeight="1" x14ac:dyDescent="0.3"/>
    <row r="44" spans="15:24" ht="15.75" customHeight="1" x14ac:dyDescent="0.3"/>
    <row r="45" spans="15:24" ht="15.75" customHeight="1" x14ac:dyDescent="0.3"/>
    <row r="46" spans="15:24" ht="15.75" customHeight="1" x14ac:dyDescent="0.3"/>
    <row r="47" spans="15:24" ht="15.75" customHeight="1" x14ac:dyDescent="0.3"/>
    <row r="48" spans="15:2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15">
    <mergeCell ref="Y16:Y17"/>
    <mergeCell ref="T16:T17"/>
    <mergeCell ref="A30:U30"/>
    <mergeCell ref="G8:U8"/>
    <mergeCell ref="G12:U12"/>
    <mergeCell ref="A16:A17"/>
    <mergeCell ref="B16:B17"/>
    <mergeCell ref="C16:C17"/>
    <mergeCell ref="D16:D17"/>
    <mergeCell ref="E16:E17"/>
    <mergeCell ref="F16:F17"/>
    <mergeCell ref="G16:K16"/>
    <mergeCell ref="L16:O16"/>
    <mergeCell ref="P16:S16"/>
    <mergeCell ref="U16:X16"/>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000"/>
  <sheetViews>
    <sheetView topLeftCell="A10" workbookViewId="0">
      <selection activeCell="B18" sqref="B18:N19"/>
    </sheetView>
  </sheetViews>
  <sheetFormatPr defaultColWidth="14.44140625" defaultRowHeight="15" customHeight="1" x14ac:dyDescent="0.3"/>
  <cols>
    <col min="1" max="1" width="5.44140625" customWidth="1"/>
    <col min="2" max="2" width="21.77734375" customWidth="1"/>
    <col min="3" max="3" width="15.44140625" customWidth="1"/>
    <col min="4" max="4" width="16.44140625" customWidth="1"/>
    <col min="5" max="5" width="18.21875" customWidth="1"/>
    <col min="6" max="6" width="20.21875" customWidth="1"/>
    <col min="7" max="7" width="22" customWidth="1"/>
    <col min="8" max="8" width="21.21875" customWidth="1"/>
    <col min="9" max="9" width="17.21875" customWidth="1"/>
    <col min="10" max="10" width="19" customWidth="1"/>
    <col min="11" max="11" width="11" customWidth="1"/>
    <col min="12" max="12" width="20.44140625" customWidth="1"/>
    <col min="13" max="14" width="19.44140625" customWidth="1"/>
    <col min="15" max="26" width="8.77734375" customWidth="1"/>
  </cols>
  <sheetData>
    <row r="3" spans="1:14" ht="32.4" x14ac:dyDescent="0.3">
      <c r="E3" s="1" t="s">
        <v>0</v>
      </c>
    </row>
    <row r="7" spans="1:14" ht="15.6" x14ac:dyDescent="0.3">
      <c r="A7" s="2" t="s">
        <v>39</v>
      </c>
      <c r="F7" s="3" t="s">
        <v>40</v>
      </c>
    </row>
    <row r="8" spans="1:14" ht="14.4" x14ac:dyDescent="0.3">
      <c r="F8" s="6" t="s">
        <v>41</v>
      </c>
    </row>
    <row r="9" spans="1:14" ht="14.4" x14ac:dyDescent="0.3">
      <c r="B9" s="4" t="s">
        <v>4</v>
      </c>
      <c r="C9" s="21" t="s">
        <v>5</v>
      </c>
      <c r="F9" s="6" t="s">
        <v>42</v>
      </c>
    </row>
    <row r="10" spans="1:14" ht="14.4" x14ac:dyDescent="0.3">
      <c r="B10" s="4" t="s">
        <v>7</v>
      </c>
      <c r="C10" s="5" t="s">
        <v>43</v>
      </c>
      <c r="F10" s="6" t="s">
        <v>44</v>
      </c>
    </row>
    <row r="11" spans="1:14" ht="14.4" x14ac:dyDescent="0.3">
      <c r="B11" s="4" t="s">
        <v>9</v>
      </c>
      <c r="C11" s="5" t="s">
        <v>45</v>
      </c>
      <c r="F11" s="6" t="s">
        <v>46</v>
      </c>
    </row>
    <row r="12" spans="1:14" ht="14.4" x14ac:dyDescent="0.3">
      <c r="B12" s="4"/>
      <c r="G12" s="6"/>
    </row>
    <row r="13" spans="1:14" ht="14.4" x14ac:dyDescent="0.3">
      <c r="B13" s="4"/>
      <c r="G13" s="6"/>
    </row>
    <row r="14" spans="1:14" ht="28.5" customHeight="1" x14ac:dyDescent="0.3">
      <c r="A14" s="54" t="s">
        <v>47</v>
      </c>
      <c r="B14" s="61" t="s">
        <v>48</v>
      </c>
      <c r="C14" s="57"/>
      <c r="D14" s="58"/>
      <c r="E14" s="61" t="s">
        <v>49</v>
      </c>
      <c r="F14" s="57"/>
      <c r="G14" s="58"/>
      <c r="H14" s="63" t="s">
        <v>50</v>
      </c>
      <c r="I14" s="57"/>
      <c r="J14" s="57"/>
      <c r="K14" s="58"/>
      <c r="L14" s="61" t="s">
        <v>51</v>
      </c>
      <c r="M14" s="57"/>
      <c r="N14" s="58"/>
    </row>
    <row r="15" spans="1:14" ht="28.5" customHeight="1" x14ac:dyDescent="0.3">
      <c r="A15" s="62"/>
      <c r="B15" s="64" t="s">
        <v>52</v>
      </c>
      <c r="C15" s="64" t="s">
        <v>53</v>
      </c>
      <c r="D15" s="64" t="s">
        <v>54</v>
      </c>
      <c r="E15" s="61" t="s">
        <v>55</v>
      </c>
      <c r="F15" s="57"/>
      <c r="G15" s="58"/>
      <c r="H15" s="54" t="s">
        <v>56</v>
      </c>
      <c r="I15" s="54" t="s">
        <v>57</v>
      </c>
      <c r="J15" s="54" t="s">
        <v>58</v>
      </c>
      <c r="K15" s="54" t="s">
        <v>59</v>
      </c>
      <c r="L15" s="61" t="s">
        <v>60</v>
      </c>
      <c r="M15" s="57"/>
      <c r="N15" s="58"/>
    </row>
    <row r="16" spans="1:14" ht="28.5" customHeight="1" x14ac:dyDescent="0.3">
      <c r="A16" s="55"/>
      <c r="B16" s="55"/>
      <c r="C16" s="55"/>
      <c r="D16" s="55"/>
      <c r="E16" s="7" t="s">
        <v>61</v>
      </c>
      <c r="F16" s="7" t="s">
        <v>62</v>
      </c>
      <c r="G16" s="7" t="s">
        <v>63</v>
      </c>
      <c r="H16" s="55"/>
      <c r="I16" s="55"/>
      <c r="J16" s="55"/>
      <c r="K16" s="55"/>
      <c r="L16" s="22" t="s">
        <v>61</v>
      </c>
      <c r="M16" s="22" t="s">
        <v>62</v>
      </c>
      <c r="N16" s="22" t="s">
        <v>63</v>
      </c>
    </row>
    <row r="17" spans="1:14" ht="48" x14ac:dyDescent="0.3">
      <c r="A17" s="23">
        <v>1</v>
      </c>
      <c r="B17" s="23" t="s">
        <v>64</v>
      </c>
      <c r="C17" s="23" t="s">
        <v>53</v>
      </c>
      <c r="D17" s="23" t="s">
        <v>65</v>
      </c>
      <c r="E17" s="23" t="s">
        <v>66</v>
      </c>
      <c r="F17" s="23" t="s">
        <v>67</v>
      </c>
      <c r="G17" s="23" t="s">
        <v>68</v>
      </c>
      <c r="H17" s="23" t="s">
        <v>69</v>
      </c>
      <c r="I17" s="23" t="s">
        <v>70</v>
      </c>
      <c r="J17" s="23" t="s">
        <v>71</v>
      </c>
      <c r="K17" s="23"/>
      <c r="L17" s="23" t="s">
        <v>72</v>
      </c>
      <c r="M17" s="23" t="s">
        <v>73</v>
      </c>
      <c r="N17" s="23" t="s">
        <v>74</v>
      </c>
    </row>
    <row r="18" spans="1:14" ht="14.4" x14ac:dyDescent="0.3">
      <c r="A18" s="24">
        <v>2</v>
      </c>
      <c r="B18" s="24"/>
      <c r="C18" s="24"/>
      <c r="D18" s="24"/>
      <c r="E18" s="24"/>
      <c r="F18" s="24"/>
      <c r="G18" s="24"/>
      <c r="H18" s="24"/>
      <c r="I18" s="24"/>
      <c r="J18" s="24"/>
      <c r="K18" s="25"/>
      <c r="L18" s="24"/>
      <c r="M18" s="24"/>
      <c r="N18" s="24"/>
    </row>
    <row r="19" spans="1:14" ht="14.4" x14ac:dyDescent="0.3">
      <c r="A19" s="24">
        <v>3</v>
      </c>
      <c r="B19" s="24"/>
      <c r="C19" s="24"/>
      <c r="D19" s="24"/>
      <c r="E19" s="24"/>
      <c r="F19" s="24"/>
      <c r="G19" s="24"/>
      <c r="H19" s="24"/>
      <c r="I19" s="24"/>
      <c r="J19" s="24"/>
      <c r="K19" s="25"/>
      <c r="L19" s="24"/>
      <c r="M19" s="24"/>
      <c r="N19" s="24"/>
    </row>
    <row r="20" spans="1:14" ht="14.4" x14ac:dyDescent="0.3">
      <c r="A20" s="24">
        <v>4</v>
      </c>
      <c r="B20" s="24"/>
      <c r="C20" s="24"/>
      <c r="D20" s="24"/>
      <c r="E20" s="24"/>
      <c r="F20" s="24"/>
      <c r="G20" s="24"/>
      <c r="H20" s="24"/>
      <c r="I20" s="26"/>
      <c r="J20" s="24"/>
      <c r="K20" s="27"/>
      <c r="L20" s="24"/>
      <c r="M20" s="24"/>
      <c r="N20" s="24"/>
    </row>
    <row r="21" spans="1:14" ht="15.75" customHeight="1" x14ac:dyDescent="0.3">
      <c r="A21" s="24">
        <v>5</v>
      </c>
      <c r="B21" s="24"/>
      <c r="C21" s="24"/>
      <c r="D21" s="24"/>
      <c r="E21" s="24"/>
      <c r="F21" s="24"/>
      <c r="G21" s="24"/>
      <c r="H21" s="24"/>
      <c r="I21" s="26"/>
      <c r="J21" s="24"/>
      <c r="K21" s="26"/>
      <c r="L21" s="24"/>
      <c r="M21" s="24"/>
      <c r="N21" s="24"/>
    </row>
    <row r="22" spans="1:14" ht="15.75" customHeight="1" x14ac:dyDescent="0.3">
      <c r="A22" s="24">
        <v>6</v>
      </c>
      <c r="B22" s="24"/>
      <c r="C22" s="24"/>
      <c r="D22" s="24"/>
      <c r="E22" s="24"/>
      <c r="F22" s="24"/>
      <c r="G22" s="24"/>
      <c r="H22" s="24"/>
      <c r="I22" s="28"/>
      <c r="J22" s="24"/>
      <c r="K22" s="29"/>
      <c r="L22" s="24"/>
      <c r="M22" s="24"/>
      <c r="N22" s="24"/>
    </row>
    <row r="23" spans="1:14" ht="15.75" customHeight="1" x14ac:dyDescent="0.3">
      <c r="A23" s="24">
        <v>7</v>
      </c>
      <c r="B23" s="24"/>
      <c r="C23" s="24"/>
      <c r="D23" s="24"/>
      <c r="E23" s="24"/>
      <c r="F23" s="24"/>
      <c r="G23" s="24"/>
      <c r="H23" s="24"/>
      <c r="I23" s="24"/>
      <c r="J23" s="24"/>
      <c r="K23" s="24"/>
      <c r="L23" s="24"/>
      <c r="M23" s="24"/>
      <c r="N23" s="24"/>
    </row>
    <row r="24" spans="1:14" ht="15.75" customHeight="1" x14ac:dyDescent="0.3">
      <c r="A24" s="24">
        <v>8</v>
      </c>
      <c r="B24" s="24"/>
      <c r="C24" s="24"/>
      <c r="D24" s="24"/>
      <c r="E24" s="24"/>
      <c r="F24" s="24"/>
      <c r="G24" s="24"/>
      <c r="H24" s="24"/>
      <c r="I24" s="24"/>
      <c r="J24" s="24"/>
      <c r="K24" s="24"/>
      <c r="L24" s="24"/>
      <c r="M24" s="24"/>
      <c r="N24" s="24"/>
    </row>
    <row r="25" spans="1:14" ht="15.75" customHeight="1" x14ac:dyDescent="0.3">
      <c r="A25" s="24">
        <v>9</v>
      </c>
      <c r="B25" s="24"/>
      <c r="C25" s="24"/>
      <c r="D25" s="24"/>
      <c r="E25" s="24"/>
      <c r="F25" s="24"/>
      <c r="G25" s="24"/>
      <c r="H25" s="24"/>
      <c r="I25" s="24"/>
      <c r="J25" s="24"/>
      <c r="K25" s="24"/>
      <c r="L25" s="24"/>
      <c r="M25" s="24"/>
      <c r="N25" s="24"/>
    </row>
    <row r="26" spans="1:14" ht="15.75" customHeight="1" x14ac:dyDescent="0.3">
      <c r="A26" s="24">
        <v>10</v>
      </c>
      <c r="B26" s="24"/>
      <c r="C26" s="24"/>
      <c r="D26" s="24"/>
      <c r="E26" s="24"/>
      <c r="F26" s="24"/>
      <c r="G26" s="24"/>
      <c r="H26" s="24"/>
      <c r="I26" s="24"/>
      <c r="J26" s="24"/>
      <c r="K26" s="24"/>
      <c r="L26" s="24"/>
      <c r="M26" s="24"/>
      <c r="N26" s="24"/>
    </row>
    <row r="27" spans="1:14" ht="15.75" customHeight="1" x14ac:dyDescent="0.3"/>
    <row r="28" spans="1:14" ht="15.75" customHeight="1" x14ac:dyDescent="0.3"/>
    <row r="29" spans="1:14" ht="15.75" customHeight="1" x14ac:dyDescent="0.3"/>
    <row r="30" spans="1:14" ht="15.75" customHeight="1" x14ac:dyDescent="0.3"/>
    <row r="31" spans="1:14" ht="15.75" customHeight="1" x14ac:dyDescent="0.3"/>
    <row r="32" spans="1: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4">
    <mergeCell ref="K15:K16"/>
    <mergeCell ref="A14:A16"/>
    <mergeCell ref="B14:D14"/>
    <mergeCell ref="H14:K14"/>
    <mergeCell ref="L14:N14"/>
    <mergeCell ref="B15:B16"/>
    <mergeCell ref="C15:C16"/>
    <mergeCell ref="D15:D16"/>
    <mergeCell ref="L15:N15"/>
    <mergeCell ref="E14:G14"/>
    <mergeCell ref="E15:G15"/>
    <mergeCell ref="H15:H16"/>
    <mergeCell ref="I15:I16"/>
    <mergeCell ref="J15:J16"/>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4140625" defaultRowHeight="15" customHeight="1" x14ac:dyDescent="0.3"/>
  <cols>
    <col min="1" max="1" width="2.77734375" customWidth="1"/>
    <col min="2" max="2" width="3.44140625" customWidth="1"/>
    <col min="3" max="3" width="15.21875" customWidth="1"/>
    <col min="4" max="8" width="17.44140625" customWidth="1"/>
    <col min="9" max="26" width="8.77734375" customWidth="1"/>
  </cols>
  <sheetData>
    <row r="1" spans="1:26" ht="12" customHeight="1" x14ac:dyDescent="0.3">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ht="12" customHeight="1" x14ac:dyDescent="0.3">
      <c r="A2" s="30"/>
      <c r="B2" s="85" t="s">
        <v>80</v>
      </c>
      <c r="C2" s="86"/>
      <c r="D2" s="86"/>
      <c r="E2" s="86"/>
      <c r="F2" s="86"/>
      <c r="G2" s="86"/>
      <c r="H2" s="87"/>
      <c r="I2" s="30"/>
      <c r="J2" s="30"/>
      <c r="K2" s="30"/>
      <c r="L2" s="30"/>
      <c r="M2" s="30"/>
      <c r="N2" s="30"/>
      <c r="O2" s="30"/>
      <c r="P2" s="30"/>
      <c r="Q2" s="30"/>
      <c r="R2" s="30"/>
      <c r="S2" s="30"/>
      <c r="T2" s="30"/>
      <c r="U2" s="30"/>
      <c r="V2" s="30"/>
      <c r="W2" s="30"/>
      <c r="X2" s="30"/>
      <c r="Y2" s="30"/>
      <c r="Z2" s="30"/>
    </row>
    <row r="3" spans="1:26" ht="12" customHeight="1" x14ac:dyDescent="0.3">
      <c r="A3" s="30"/>
      <c r="B3" s="98"/>
      <c r="C3" s="99"/>
      <c r="D3" s="102" t="s">
        <v>61</v>
      </c>
      <c r="E3" s="89"/>
      <c r="F3" s="89"/>
      <c r="G3" s="89"/>
      <c r="H3" s="90"/>
      <c r="I3" s="30"/>
      <c r="J3" s="30"/>
      <c r="K3" s="30"/>
      <c r="L3" s="30"/>
      <c r="M3" s="30"/>
      <c r="N3" s="30"/>
      <c r="O3" s="30"/>
      <c r="P3" s="30"/>
      <c r="Q3" s="30"/>
      <c r="R3" s="30"/>
      <c r="S3" s="30"/>
      <c r="T3" s="30"/>
      <c r="U3" s="30"/>
      <c r="V3" s="30"/>
      <c r="W3" s="30"/>
      <c r="X3" s="30"/>
      <c r="Y3" s="30"/>
      <c r="Z3" s="30"/>
    </row>
    <row r="4" spans="1:26" ht="12" customHeight="1" x14ac:dyDescent="0.3">
      <c r="A4" s="30"/>
      <c r="B4" s="100"/>
      <c r="C4" s="101"/>
      <c r="D4" s="31" t="s">
        <v>81</v>
      </c>
      <c r="E4" s="32" t="s">
        <v>82</v>
      </c>
      <c r="F4" s="32" t="s">
        <v>78</v>
      </c>
      <c r="G4" s="32" t="s">
        <v>75</v>
      </c>
      <c r="H4" s="33" t="s">
        <v>83</v>
      </c>
      <c r="I4" s="30"/>
      <c r="J4" s="30"/>
      <c r="K4" s="30"/>
      <c r="L4" s="30"/>
      <c r="M4" s="30"/>
      <c r="N4" s="30"/>
      <c r="O4" s="30"/>
      <c r="P4" s="30"/>
      <c r="Q4" s="30"/>
      <c r="R4" s="30"/>
      <c r="S4" s="30"/>
      <c r="T4" s="30"/>
      <c r="U4" s="30"/>
      <c r="V4" s="30"/>
      <c r="W4" s="30"/>
      <c r="X4" s="30"/>
      <c r="Y4" s="30"/>
      <c r="Z4" s="30"/>
    </row>
    <row r="5" spans="1:26" ht="12" customHeight="1" x14ac:dyDescent="0.3">
      <c r="A5" s="30"/>
      <c r="B5" s="103" t="s">
        <v>62</v>
      </c>
      <c r="C5" s="34" t="s">
        <v>84</v>
      </c>
      <c r="D5" s="35" t="s">
        <v>79</v>
      </c>
      <c r="E5" s="36" t="s">
        <v>79</v>
      </c>
      <c r="F5" s="37" t="s">
        <v>77</v>
      </c>
      <c r="G5" s="37" t="s">
        <v>77</v>
      </c>
      <c r="H5" s="38" t="s">
        <v>85</v>
      </c>
      <c r="I5" s="30"/>
      <c r="J5" s="30"/>
      <c r="K5" s="30"/>
      <c r="L5" s="30"/>
      <c r="M5" s="30"/>
      <c r="N5" s="30"/>
      <c r="O5" s="30"/>
      <c r="P5" s="30"/>
      <c r="Q5" s="30"/>
      <c r="R5" s="30"/>
      <c r="S5" s="30"/>
      <c r="T5" s="30"/>
      <c r="U5" s="30"/>
      <c r="V5" s="30"/>
      <c r="W5" s="30"/>
      <c r="X5" s="30"/>
      <c r="Y5" s="30"/>
      <c r="Z5" s="30"/>
    </row>
    <row r="6" spans="1:26" ht="12" customHeight="1" x14ac:dyDescent="0.3">
      <c r="A6" s="30"/>
      <c r="B6" s="104"/>
      <c r="C6" s="39" t="s">
        <v>76</v>
      </c>
      <c r="D6" s="40" t="s">
        <v>79</v>
      </c>
      <c r="E6" s="41" t="s">
        <v>79</v>
      </c>
      <c r="F6" s="41" t="s">
        <v>79</v>
      </c>
      <c r="G6" s="42" t="s">
        <v>77</v>
      </c>
      <c r="H6" s="43" t="s">
        <v>85</v>
      </c>
      <c r="I6" s="30"/>
      <c r="J6" s="30"/>
      <c r="K6" s="30"/>
      <c r="L6" s="30"/>
      <c r="M6" s="30"/>
      <c r="N6" s="30"/>
      <c r="O6" s="30"/>
      <c r="P6" s="30"/>
      <c r="Q6" s="30"/>
      <c r="R6" s="30"/>
      <c r="S6" s="30"/>
      <c r="T6" s="30"/>
      <c r="U6" s="30"/>
      <c r="V6" s="30"/>
      <c r="W6" s="30"/>
      <c r="X6" s="30"/>
      <c r="Y6" s="30"/>
      <c r="Z6" s="30"/>
    </row>
    <row r="7" spans="1:26" ht="12" customHeight="1" x14ac:dyDescent="0.3">
      <c r="A7" s="30"/>
      <c r="B7" s="104"/>
      <c r="C7" s="39" t="s">
        <v>86</v>
      </c>
      <c r="D7" s="44" t="s">
        <v>87</v>
      </c>
      <c r="E7" s="41" t="s">
        <v>79</v>
      </c>
      <c r="F7" s="41" t="s">
        <v>79</v>
      </c>
      <c r="G7" s="42" t="s">
        <v>77</v>
      </c>
      <c r="H7" s="45" t="s">
        <v>77</v>
      </c>
      <c r="I7" s="30"/>
      <c r="J7" s="30"/>
      <c r="K7" s="30"/>
      <c r="L7" s="30"/>
      <c r="M7" s="30"/>
      <c r="N7" s="30"/>
      <c r="O7" s="30"/>
      <c r="P7" s="30"/>
      <c r="Q7" s="30"/>
      <c r="R7" s="30"/>
      <c r="S7" s="30"/>
      <c r="T7" s="30"/>
      <c r="U7" s="30"/>
      <c r="V7" s="30"/>
      <c r="W7" s="30"/>
      <c r="X7" s="30"/>
      <c r="Y7" s="30"/>
      <c r="Z7" s="30"/>
    </row>
    <row r="8" spans="1:26" ht="12" customHeight="1" x14ac:dyDescent="0.3">
      <c r="A8" s="30"/>
      <c r="B8" s="104"/>
      <c r="C8" s="39" t="s">
        <v>88</v>
      </c>
      <c r="D8" s="44" t="s">
        <v>87</v>
      </c>
      <c r="E8" s="46" t="s">
        <v>87</v>
      </c>
      <c r="F8" s="41" t="s">
        <v>79</v>
      </c>
      <c r="G8" s="41" t="s">
        <v>79</v>
      </c>
      <c r="H8" s="45" t="s">
        <v>77</v>
      </c>
      <c r="I8" s="30"/>
      <c r="J8" s="30"/>
      <c r="K8" s="30"/>
      <c r="L8" s="30"/>
      <c r="M8" s="30"/>
      <c r="N8" s="30"/>
      <c r="O8" s="30"/>
      <c r="P8" s="30"/>
      <c r="Q8" s="30"/>
      <c r="R8" s="30"/>
      <c r="S8" s="30"/>
      <c r="T8" s="30"/>
      <c r="U8" s="30"/>
      <c r="V8" s="30"/>
      <c r="W8" s="30"/>
      <c r="X8" s="30"/>
      <c r="Y8" s="30"/>
      <c r="Z8" s="30"/>
    </row>
    <row r="9" spans="1:26" ht="12" customHeight="1" x14ac:dyDescent="0.3">
      <c r="A9" s="30"/>
      <c r="B9" s="105"/>
      <c r="C9" s="47" t="s">
        <v>89</v>
      </c>
      <c r="D9" s="48" t="s">
        <v>87</v>
      </c>
      <c r="E9" s="49" t="s">
        <v>87</v>
      </c>
      <c r="F9" s="49" t="s">
        <v>87</v>
      </c>
      <c r="G9" s="50" t="s">
        <v>79</v>
      </c>
      <c r="H9" s="51" t="s">
        <v>79</v>
      </c>
      <c r="I9" s="30"/>
      <c r="J9" s="30"/>
      <c r="K9" s="30"/>
      <c r="L9" s="30"/>
      <c r="M9" s="30"/>
      <c r="N9" s="30"/>
      <c r="O9" s="30"/>
      <c r="P9" s="30"/>
      <c r="Q9" s="30"/>
      <c r="R9" s="30"/>
      <c r="S9" s="30"/>
      <c r="T9" s="30"/>
      <c r="U9" s="30"/>
      <c r="V9" s="30"/>
      <c r="W9" s="30"/>
      <c r="X9" s="30"/>
      <c r="Y9" s="30"/>
      <c r="Z9" s="30"/>
    </row>
    <row r="10" spans="1:26" ht="12" customHeight="1" x14ac:dyDescent="0.3">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2" customHeight="1" x14ac:dyDescent="0.3">
      <c r="A11" s="30"/>
      <c r="B11" s="85" t="s">
        <v>90</v>
      </c>
      <c r="C11" s="86"/>
      <c r="D11" s="86"/>
      <c r="E11" s="86"/>
      <c r="F11" s="86"/>
      <c r="G11" s="86"/>
      <c r="H11" s="87"/>
      <c r="I11" s="30"/>
      <c r="J11" s="30"/>
      <c r="K11" s="30"/>
      <c r="L11" s="30"/>
      <c r="M11" s="30"/>
      <c r="N11" s="30"/>
      <c r="O11" s="30"/>
      <c r="P11" s="30"/>
      <c r="Q11" s="30"/>
      <c r="R11" s="30"/>
      <c r="S11" s="30"/>
      <c r="T11" s="30"/>
      <c r="U11" s="30"/>
      <c r="V11" s="30"/>
      <c r="W11" s="30"/>
      <c r="X11" s="30"/>
      <c r="Y11" s="30"/>
      <c r="Z11" s="30"/>
    </row>
    <row r="12" spans="1:26" ht="12" customHeight="1" x14ac:dyDescent="0.3">
      <c r="A12" s="30"/>
      <c r="B12" s="66" t="s">
        <v>91</v>
      </c>
      <c r="C12" s="67"/>
      <c r="D12" s="75" t="s">
        <v>92</v>
      </c>
      <c r="E12" s="76"/>
      <c r="F12" s="76"/>
      <c r="G12" s="76"/>
      <c r="H12" s="67"/>
      <c r="I12" s="30"/>
      <c r="J12" s="30"/>
      <c r="K12" s="30"/>
      <c r="L12" s="30"/>
      <c r="M12" s="30"/>
      <c r="N12" s="30"/>
      <c r="O12" s="30"/>
      <c r="P12" s="30"/>
      <c r="Q12" s="30"/>
      <c r="R12" s="30"/>
      <c r="S12" s="30"/>
      <c r="T12" s="30"/>
      <c r="U12" s="30"/>
      <c r="V12" s="30"/>
      <c r="W12" s="30"/>
      <c r="X12" s="30"/>
      <c r="Y12" s="30"/>
      <c r="Z12" s="30"/>
    </row>
    <row r="13" spans="1:26" ht="90" customHeight="1" x14ac:dyDescent="0.3">
      <c r="A13" s="30"/>
      <c r="B13" s="97" t="s">
        <v>83</v>
      </c>
      <c r="C13" s="79"/>
      <c r="D13" s="77" t="s">
        <v>93</v>
      </c>
      <c r="E13" s="78"/>
      <c r="F13" s="78"/>
      <c r="G13" s="78"/>
      <c r="H13" s="79"/>
      <c r="I13" s="30"/>
      <c r="J13" s="30"/>
      <c r="K13" s="30"/>
      <c r="L13" s="30"/>
      <c r="M13" s="30"/>
      <c r="N13" s="30"/>
      <c r="O13" s="30"/>
      <c r="P13" s="30"/>
      <c r="Q13" s="30"/>
      <c r="R13" s="30"/>
      <c r="S13" s="30"/>
      <c r="T13" s="30"/>
      <c r="U13" s="30"/>
      <c r="V13" s="30"/>
      <c r="W13" s="30"/>
      <c r="X13" s="30"/>
      <c r="Y13" s="30"/>
      <c r="Z13" s="30"/>
    </row>
    <row r="14" spans="1:26" ht="88.5" customHeight="1" x14ac:dyDescent="0.3">
      <c r="A14" s="30"/>
      <c r="B14" s="83" t="s">
        <v>75</v>
      </c>
      <c r="C14" s="71"/>
      <c r="D14" s="80" t="s">
        <v>94</v>
      </c>
      <c r="E14" s="57"/>
      <c r="F14" s="57"/>
      <c r="G14" s="57"/>
      <c r="H14" s="71"/>
      <c r="I14" s="30"/>
      <c r="J14" s="30"/>
      <c r="K14" s="30"/>
      <c r="L14" s="30"/>
      <c r="M14" s="30"/>
      <c r="N14" s="30"/>
      <c r="O14" s="30"/>
      <c r="P14" s="30"/>
      <c r="Q14" s="30"/>
      <c r="R14" s="30"/>
      <c r="S14" s="30"/>
      <c r="T14" s="30"/>
      <c r="U14" s="30"/>
      <c r="V14" s="30"/>
      <c r="W14" s="30"/>
      <c r="X14" s="30"/>
      <c r="Y14" s="30"/>
      <c r="Z14" s="30"/>
    </row>
    <row r="15" spans="1:26" ht="89.25" customHeight="1" x14ac:dyDescent="0.3">
      <c r="A15" s="30"/>
      <c r="B15" s="83" t="s">
        <v>78</v>
      </c>
      <c r="C15" s="71"/>
      <c r="D15" s="80" t="s">
        <v>95</v>
      </c>
      <c r="E15" s="57"/>
      <c r="F15" s="57"/>
      <c r="G15" s="57"/>
      <c r="H15" s="71"/>
      <c r="I15" s="30"/>
      <c r="J15" s="30"/>
      <c r="K15" s="30"/>
      <c r="L15" s="30"/>
      <c r="M15" s="30"/>
      <c r="N15" s="30"/>
      <c r="O15" s="30"/>
      <c r="P15" s="30"/>
      <c r="Q15" s="30"/>
      <c r="R15" s="30"/>
      <c r="S15" s="30"/>
      <c r="T15" s="30"/>
      <c r="U15" s="30"/>
      <c r="V15" s="30"/>
      <c r="W15" s="30"/>
      <c r="X15" s="30"/>
      <c r="Y15" s="30"/>
      <c r="Z15" s="30"/>
    </row>
    <row r="16" spans="1:26" ht="86.25" customHeight="1" x14ac:dyDescent="0.3">
      <c r="A16" s="30"/>
      <c r="B16" s="83" t="s">
        <v>82</v>
      </c>
      <c r="C16" s="71"/>
      <c r="D16" s="80" t="s">
        <v>96</v>
      </c>
      <c r="E16" s="57"/>
      <c r="F16" s="57"/>
      <c r="G16" s="57"/>
      <c r="H16" s="71"/>
      <c r="I16" s="30"/>
      <c r="J16" s="30"/>
      <c r="K16" s="30"/>
      <c r="L16" s="30"/>
      <c r="M16" s="30"/>
      <c r="N16" s="30"/>
      <c r="O16" s="30"/>
      <c r="P16" s="30"/>
      <c r="Q16" s="30"/>
      <c r="R16" s="30"/>
      <c r="S16" s="30"/>
      <c r="T16" s="30"/>
      <c r="U16" s="30"/>
      <c r="V16" s="30"/>
      <c r="W16" s="30"/>
      <c r="X16" s="30"/>
      <c r="Y16" s="30"/>
      <c r="Z16" s="30"/>
    </row>
    <row r="17" spans="1:26" ht="19.5" customHeight="1" x14ac:dyDescent="0.3">
      <c r="A17" s="30"/>
      <c r="B17" s="95" t="s">
        <v>81</v>
      </c>
      <c r="C17" s="74"/>
      <c r="D17" s="81" t="s">
        <v>97</v>
      </c>
      <c r="E17" s="82"/>
      <c r="F17" s="82"/>
      <c r="G17" s="82"/>
      <c r="H17" s="74"/>
      <c r="I17" s="30"/>
      <c r="J17" s="30"/>
      <c r="K17" s="30"/>
      <c r="L17" s="30"/>
      <c r="M17" s="30"/>
      <c r="N17" s="30"/>
      <c r="O17" s="30"/>
      <c r="P17" s="30"/>
      <c r="Q17" s="30"/>
      <c r="R17" s="30"/>
      <c r="S17" s="30"/>
      <c r="T17" s="30"/>
      <c r="U17" s="30"/>
      <c r="V17" s="30"/>
      <c r="W17" s="30"/>
      <c r="X17" s="30"/>
      <c r="Y17" s="30"/>
      <c r="Z17" s="30"/>
    </row>
    <row r="18" spans="1:26" ht="12" customHeight="1" x14ac:dyDescent="0.3">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ht="12" customHeight="1" x14ac:dyDescent="0.3">
      <c r="A19" s="30"/>
      <c r="B19" s="88" t="s">
        <v>98</v>
      </c>
      <c r="C19" s="89"/>
      <c r="D19" s="89"/>
      <c r="E19" s="89"/>
      <c r="F19" s="89"/>
      <c r="G19" s="89"/>
      <c r="H19" s="90"/>
      <c r="I19" s="30"/>
      <c r="J19" s="30"/>
      <c r="K19" s="30"/>
      <c r="L19" s="30"/>
      <c r="M19" s="30"/>
      <c r="N19" s="30"/>
      <c r="O19" s="30"/>
      <c r="P19" s="30"/>
      <c r="Q19" s="30"/>
      <c r="R19" s="30"/>
      <c r="S19" s="30"/>
      <c r="T19" s="30"/>
      <c r="U19" s="30"/>
      <c r="V19" s="30"/>
      <c r="W19" s="30"/>
      <c r="X19" s="30"/>
      <c r="Y19" s="30"/>
      <c r="Z19" s="30"/>
    </row>
    <row r="20" spans="1:26" ht="12" customHeight="1" x14ac:dyDescent="0.3">
      <c r="A20" s="30"/>
      <c r="B20" s="96" t="s">
        <v>91</v>
      </c>
      <c r="C20" s="58"/>
      <c r="D20" s="91" t="s">
        <v>92</v>
      </c>
      <c r="E20" s="57"/>
      <c r="F20" s="57"/>
      <c r="G20" s="57"/>
      <c r="H20" s="71"/>
      <c r="I20" s="30"/>
      <c r="J20" s="30"/>
      <c r="K20" s="30"/>
      <c r="L20" s="30"/>
      <c r="M20" s="30"/>
      <c r="N20" s="30"/>
      <c r="O20" s="30"/>
      <c r="P20" s="30"/>
      <c r="Q20" s="30"/>
      <c r="R20" s="30"/>
      <c r="S20" s="30"/>
      <c r="T20" s="30"/>
      <c r="U20" s="30"/>
      <c r="V20" s="30"/>
      <c r="W20" s="30"/>
      <c r="X20" s="30"/>
      <c r="Y20" s="30"/>
      <c r="Z20" s="30"/>
    </row>
    <row r="21" spans="1:26" ht="12" customHeight="1" x14ac:dyDescent="0.3">
      <c r="A21" s="30"/>
      <c r="B21" s="65" t="s">
        <v>84</v>
      </c>
      <c r="C21" s="58"/>
      <c r="D21" s="92" t="s">
        <v>99</v>
      </c>
      <c r="E21" s="57"/>
      <c r="F21" s="57"/>
      <c r="G21" s="57"/>
      <c r="H21" s="71"/>
      <c r="I21" s="30"/>
      <c r="J21" s="30"/>
      <c r="K21" s="30"/>
      <c r="L21" s="30"/>
      <c r="M21" s="30"/>
      <c r="N21" s="30"/>
      <c r="O21" s="30"/>
      <c r="P21" s="30"/>
      <c r="Q21" s="30"/>
      <c r="R21" s="30"/>
      <c r="S21" s="30"/>
      <c r="T21" s="30"/>
      <c r="U21" s="30"/>
      <c r="V21" s="30"/>
      <c r="W21" s="30"/>
      <c r="X21" s="30"/>
      <c r="Y21" s="30"/>
      <c r="Z21" s="30"/>
    </row>
    <row r="22" spans="1:26" ht="12" customHeight="1" x14ac:dyDescent="0.3">
      <c r="A22" s="30"/>
      <c r="B22" s="65" t="s">
        <v>76</v>
      </c>
      <c r="C22" s="58"/>
      <c r="D22" s="92" t="s">
        <v>100</v>
      </c>
      <c r="E22" s="57"/>
      <c r="F22" s="57"/>
      <c r="G22" s="57"/>
      <c r="H22" s="71"/>
      <c r="I22" s="30"/>
      <c r="J22" s="30"/>
      <c r="K22" s="30"/>
      <c r="L22" s="30"/>
      <c r="M22" s="30"/>
      <c r="N22" s="30"/>
      <c r="O22" s="30"/>
      <c r="P22" s="30"/>
      <c r="Q22" s="30"/>
      <c r="R22" s="30"/>
      <c r="S22" s="30"/>
      <c r="T22" s="30"/>
      <c r="U22" s="30"/>
      <c r="V22" s="30"/>
      <c r="W22" s="30"/>
      <c r="X22" s="30"/>
      <c r="Y22" s="30"/>
      <c r="Z22" s="30"/>
    </row>
    <row r="23" spans="1:26" ht="12" customHeight="1" x14ac:dyDescent="0.3">
      <c r="A23" s="30"/>
      <c r="B23" s="65" t="s">
        <v>86</v>
      </c>
      <c r="C23" s="58"/>
      <c r="D23" s="92" t="s">
        <v>101</v>
      </c>
      <c r="E23" s="57"/>
      <c r="F23" s="57"/>
      <c r="G23" s="57"/>
      <c r="H23" s="71"/>
      <c r="I23" s="30"/>
      <c r="J23" s="30"/>
      <c r="K23" s="30"/>
      <c r="L23" s="30"/>
      <c r="M23" s="30"/>
      <c r="N23" s="30"/>
      <c r="O23" s="30"/>
      <c r="P23" s="30"/>
      <c r="Q23" s="30"/>
      <c r="R23" s="30"/>
      <c r="S23" s="30"/>
      <c r="T23" s="30"/>
      <c r="U23" s="30"/>
      <c r="V23" s="30"/>
      <c r="W23" s="30"/>
      <c r="X23" s="30"/>
      <c r="Y23" s="30"/>
      <c r="Z23" s="30"/>
    </row>
    <row r="24" spans="1:26" ht="12" customHeight="1" x14ac:dyDescent="0.3">
      <c r="A24" s="30"/>
      <c r="B24" s="65" t="s">
        <v>88</v>
      </c>
      <c r="C24" s="58"/>
      <c r="D24" s="92" t="s">
        <v>102</v>
      </c>
      <c r="E24" s="57"/>
      <c r="F24" s="57"/>
      <c r="G24" s="57"/>
      <c r="H24" s="71"/>
      <c r="I24" s="30"/>
      <c r="J24" s="30"/>
      <c r="K24" s="30"/>
      <c r="L24" s="30"/>
      <c r="M24" s="30"/>
      <c r="N24" s="30"/>
      <c r="O24" s="30"/>
      <c r="P24" s="30"/>
      <c r="Q24" s="30"/>
      <c r="R24" s="30"/>
      <c r="S24" s="30"/>
      <c r="T24" s="30"/>
      <c r="U24" s="30"/>
      <c r="V24" s="30"/>
      <c r="W24" s="30"/>
      <c r="X24" s="30"/>
      <c r="Y24" s="30"/>
      <c r="Z24" s="30"/>
    </row>
    <row r="25" spans="1:26" ht="12" customHeight="1" x14ac:dyDescent="0.3">
      <c r="A25" s="30"/>
      <c r="B25" s="93" t="s">
        <v>89</v>
      </c>
      <c r="C25" s="94"/>
      <c r="D25" s="84" t="s">
        <v>103</v>
      </c>
      <c r="E25" s="82"/>
      <c r="F25" s="82"/>
      <c r="G25" s="82"/>
      <c r="H25" s="74"/>
      <c r="I25" s="30"/>
      <c r="J25" s="30"/>
      <c r="K25" s="30"/>
      <c r="L25" s="30"/>
      <c r="M25" s="30"/>
      <c r="N25" s="30"/>
      <c r="O25" s="30"/>
      <c r="P25" s="30"/>
      <c r="Q25" s="30"/>
      <c r="R25" s="30"/>
      <c r="S25" s="30"/>
      <c r="T25" s="30"/>
      <c r="U25" s="30"/>
      <c r="V25" s="30"/>
      <c r="W25" s="30"/>
      <c r="X25" s="30"/>
      <c r="Y25" s="30"/>
      <c r="Z25" s="30"/>
    </row>
    <row r="26" spans="1:26" ht="12" customHeight="1" x14ac:dyDescent="0.3">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2" customHeight="1" x14ac:dyDescent="0.3">
      <c r="A27" s="30"/>
      <c r="B27" s="85" t="s">
        <v>104</v>
      </c>
      <c r="C27" s="86"/>
      <c r="D27" s="86"/>
      <c r="E27" s="86"/>
      <c r="F27" s="86"/>
      <c r="G27" s="86"/>
      <c r="H27" s="87"/>
      <c r="I27" s="30"/>
      <c r="J27" s="30"/>
      <c r="K27" s="30"/>
      <c r="L27" s="30"/>
      <c r="M27" s="30"/>
      <c r="N27" s="30"/>
      <c r="O27" s="30"/>
      <c r="P27" s="30"/>
      <c r="Q27" s="30"/>
      <c r="R27" s="30"/>
      <c r="S27" s="30"/>
      <c r="T27" s="30"/>
      <c r="U27" s="30"/>
      <c r="V27" s="30"/>
      <c r="W27" s="30"/>
      <c r="X27" s="30"/>
      <c r="Y27" s="30"/>
      <c r="Z27" s="30"/>
    </row>
    <row r="28" spans="1:26" ht="12" customHeight="1" x14ac:dyDescent="0.3">
      <c r="A28" s="30"/>
      <c r="B28" s="66" t="s">
        <v>105</v>
      </c>
      <c r="C28" s="67"/>
      <c r="D28" s="75" t="s">
        <v>104</v>
      </c>
      <c r="E28" s="76"/>
      <c r="F28" s="76"/>
      <c r="G28" s="76"/>
      <c r="H28" s="67"/>
      <c r="I28" s="30"/>
      <c r="J28" s="30"/>
      <c r="K28" s="30"/>
      <c r="L28" s="30"/>
      <c r="M28" s="30"/>
      <c r="N28" s="30"/>
      <c r="O28" s="30"/>
      <c r="P28" s="30"/>
      <c r="Q28" s="30"/>
      <c r="R28" s="30"/>
      <c r="S28" s="30"/>
      <c r="T28" s="30"/>
      <c r="U28" s="30"/>
      <c r="V28" s="30"/>
      <c r="W28" s="30"/>
      <c r="X28" s="30"/>
      <c r="Y28" s="30"/>
      <c r="Z28" s="30"/>
    </row>
    <row r="29" spans="1:26" ht="36.75" customHeight="1" x14ac:dyDescent="0.3">
      <c r="A29" s="30"/>
      <c r="B29" s="68" t="s">
        <v>85</v>
      </c>
      <c r="C29" s="69"/>
      <c r="D29" s="77" t="s">
        <v>106</v>
      </c>
      <c r="E29" s="78"/>
      <c r="F29" s="78"/>
      <c r="G29" s="78"/>
      <c r="H29" s="79"/>
      <c r="I29" s="30"/>
      <c r="J29" s="30"/>
      <c r="K29" s="30"/>
      <c r="L29" s="30"/>
      <c r="M29" s="30"/>
      <c r="N29" s="30"/>
      <c r="O29" s="30"/>
      <c r="P29" s="30"/>
      <c r="Q29" s="30"/>
      <c r="R29" s="30"/>
      <c r="S29" s="30"/>
      <c r="T29" s="30"/>
      <c r="U29" s="30"/>
      <c r="V29" s="30"/>
      <c r="W29" s="30"/>
      <c r="X29" s="30"/>
      <c r="Y29" s="30"/>
      <c r="Z29" s="30"/>
    </row>
    <row r="30" spans="1:26" ht="33.75" customHeight="1" x14ac:dyDescent="0.3">
      <c r="A30" s="30"/>
      <c r="B30" s="70" t="s">
        <v>77</v>
      </c>
      <c r="C30" s="71"/>
      <c r="D30" s="80" t="s">
        <v>107</v>
      </c>
      <c r="E30" s="57"/>
      <c r="F30" s="57"/>
      <c r="G30" s="57"/>
      <c r="H30" s="71"/>
      <c r="I30" s="30"/>
      <c r="J30" s="30"/>
      <c r="K30" s="30"/>
      <c r="L30" s="30"/>
      <c r="M30" s="30"/>
      <c r="N30" s="30"/>
      <c r="O30" s="30"/>
      <c r="P30" s="30"/>
      <c r="Q30" s="30"/>
      <c r="R30" s="30"/>
      <c r="S30" s="30"/>
      <c r="T30" s="30"/>
      <c r="U30" s="30"/>
      <c r="V30" s="30"/>
      <c r="W30" s="30"/>
      <c r="X30" s="30"/>
      <c r="Y30" s="30"/>
      <c r="Z30" s="30"/>
    </row>
    <row r="31" spans="1:26" ht="39" customHeight="1" x14ac:dyDescent="0.3">
      <c r="A31" s="30"/>
      <c r="B31" s="72" t="s">
        <v>108</v>
      </c>
      <c r="C31" s="71"/>
      <c r="D31" s="80" t="s">
        <v>109</v>
      </c>
      <c r="E31" s="57"/>
      <c r="F31" s="57"/>
      <c r="G31" s="57"/>
      <c r="H31" s="71"/>
      <c r="I31" s="30"/>
      <c r="J31" s="30"/>
      <c r="K31" s="30"/>
      <c r="L31" s="30"/>
      <c r="M31" s="30"/>
      <c r="N31" s="30"/>
      <c r="O31" s="30"/>
      <c r="P31" s="30"/>
      <c r="Q31" s="30"/>
      <c r="R31" s="30"/>
      <c r="S31" s="30"/>
      <c r="T31" s="30"/>
      <c r="U31" s="30"/>
      <c r="V31" s="30"/>
      <c r="W31" s="30"/>
      <c r="X31" s="30"/>
      <c r="Y31" s="30"/>
      <c r="Z31" s="30"/>
    </row>
    <row r="32" spans="1:26" ht="37.5" customHeight="1" x14ac:dyDescent="0.3">
      <c r="A32" s="30"/>
      <c r="B32" s="73" t="s">
        <v>87</v>
      </c>
      <c r="C32" s="74"/>
      <c r="D32" s="81" t="s">
        <v>110</v>
      </c>
      <c r="E32" s="82"/>
      <c r="F32" s="82"/>
      <c r="G32" s="82"/>
      <c r="H32" s="74"/>
      <c r="I32" s="30"/>
      <c r="J32" s="30"/>
      <c r="K32" s="30"/>
      <c r="L32" s="30"/>
      <c r="M32" s="30"/>
      <c r="N32" s="30"/>
      <c r="O32" s="30"/>
      <c r="P32" s="30"/>
      <c r="Q32" s="30"/>
      <c r="R32" s="30"/>
      <c r="S32" s="30"/>
      <c r="T32" s="30"/>
      <c r="U32" s="30"/>
      <c r="V32" s="30"/>
      <c r="W32" s="30"/>
      <c r="X32" s="30"/>
      <c r="Y32" s="30"/>
      <c r="Z32" s="30"/>
    </row>
    <row r="33" spans="1:26" ht="12" customHeight="1" x14ac:dyDescent="0.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2" customHeight="1" x14ac:dyDescent="0.3">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2" customHeight="1" x14ac:dyDescent="0.3">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2" customHeight="1" x14ac:dyDescent="0.3">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2" customHeight="1" x14ac:dyDescent="0.3">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2" customHeight="1" x14ac:dyDescent="0.3">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2" customHeight="1" x14ac:dyDescent="0.3">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2" customHeight="1" x14ac:dyDescent="0.3">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2" customHeight="1" x14ac:dyDescent="0.3">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2" customHeight="1" x14ac:dyDescent="0.3">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2" customHeight="1" x14ac:dyDescent="0.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2" customHeight="1" x14ac:dyDescent="0.3">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2" customHeight="1" x14ac:dyDescent="0.3">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2" customHeight="1" x14ac:dyDescent="0.3">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2" customHeight="1" x14ac:dyDescent="0.3">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2" customHeight="1" x14ac:dyDescent="0.3">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2" customHeight="1" x14ac:dyDescent="0.3">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2" customHeight="1" x14ac:dyDescent="0.3">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2" customHeight="1" x14ac:dyDescent="0.3">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12" customHeight="1" x14ac:dyDescent="0.3">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12" customHeight="1" x14ac:dyDescent="0.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spans="1:26" ht="12" customHeight="1" x14ac:dyDescent="0.3">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2" customHeight="1" x14ac:dyDescent="0.3">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spans="1:26" ht="12" customHeight="1" x14ac:dyDescent="0.3">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spans="1:26" ht="12" customHeight="1" x14ac:dyDescent="0.3">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spans="1:26" ht="12" customHeight="1" x14ac:dyDescent="0.3">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spans="1:26" ht="12" customHeight="1" x14ac:dyDescent="0.3">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2" customHeight="1" x14ac:dyDescent="0.3">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spans="1:26" ht="12" customHeight="1" x14ac:dyDescent="0.3">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spans="1:26" ht="12" customHeight="1" x14ac:dyDescent="0.3">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spans="1:26" ht="12" customHeight="1" x14ac:dyDescent="0.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1:26" ht="12" customHeight="1" x14ac:dyDescent="0.3">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1:26" ht="12" customHeight="1" x14ac:dyDescent="0.3">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2" customHeight="1" x14ac:dyDescent="0.3">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12" customHeight="1" x14ac:dyDescent="0.3">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12" customHeight="1" x14ac:dyDescent="0.3">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spans="1:26" ht="12" customHeight="1" x14ac:dyDescent="0.3">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spans="1:26" ht="12" customHeight="1" x14ac:dyDescent="0.3">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spans="1:26" ht="12" customHeight="1" x14ac:dyDescent="0.3">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spans="1:26" ht="12" customHeight="1" x14ac:dyDescent="0.3">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spans="1:26" ht="12" customHeight="1" x14ac:dyDescent="0.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spans="1:26" ht="12" customHeight="1" x14ac:dyDescent="0.3">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spans="1:26" ht="12" customHeight="1" x14ac:dyDescent="0.3">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spans="1:26" ht="12" customHeight="1" x14ac:dyDescent="0.3">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spans="1:26" ht="12" customHeight="1" x14ac:dyDescent="0.3">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2" customHeight="1" x14ac:dyDescent="0.3">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2" customHeight="1" x14ac:dyDescent="0.3">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2" customHeight="1" x14ac:dyDescent="0.3">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2" customHeight="1" x14ac:dyDescent="0.3">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2" customHeight="1" x14ac:dyDescent="0.3">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2" customHeight="1" x14ac:dyDescent="0.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2" customHeight="1" x14ac:dyDescent="0.3">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2" customHeight="1" x14ac:dyDescent="0.3">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2" customHeight="1" x14ac:dyDescent="0.3">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2" customHeight="1" x14ac:dyDescent="0.3">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2" customHeight="1" x14ac:dyDescent="0.3">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2" customHeight="1" x14ac:dyDescent="0.3">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2" customHeight="1" x14ac:dyDescent="0.3">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2" customHeight="1" x14ac:dyDescent="0.3">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2" customHeight="1" x14ac:dyDescent="0.3">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2" customHeight="1" x14ac:dyDescent="0.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2" customHeight="1" x14ac:dyDescent="0.3">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2" customHeight="1" x14ac:dyDescent="0.3">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2" customHeight="1" x14ac:dyDescent="0.3">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2" customHeight="1" x14ac:dyDescent="0.3">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2" customHeight="1" x14ac:dyDescent="0.3">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2" customHeight="1" x14ac:dyDescent="0.3">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2" customHeight="1" x14ac:dyDescent="0.3">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2" customHeight="1" x14ac:dyDescent="0.3">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2" customHeight="1" x14ac:dyDescent="0.3">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2" customHeight="1" x14ac:dyDescent="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2" customHeight="1" x14ac:dyDescent="0.3">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2" customHeight="1" x14ac:dyDescent="0.3">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2" customHeight="1" x14ac:dyDescent="0.3">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2" customHeight="1" x14ac:dyDescent="0.3">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2" customHeight="1" x14ac:dyDescent="0.3">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2" customHeight="1" x14ac:dyDescent="0.3">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2" customHeight="1" x14ac:dyDescent="0.3">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2" customHeight="1" x14ac:dyDescent="0.3">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2" customHeight="1" x14ac:dyDescent="0.3">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2" customHeight="1" x14ac:dyDescent="0.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2" customHeight="1" x14ac:dyDescent="0.3">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2" customHeight="1" x14ac:dyDescent="0.3">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2" customHeight="1" x14ac:dyDescent="0.3">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2" customHeight="1" x14ac:dyDescent="0.3">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2" customHeight="1" x14ac:dyDescent="0.3">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2" customHeight="1" x14ac:dyDescent="0.3">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2" customHeight="1" x14ac:dyDescent="0.3">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2" customHeight="1" x14ac:dyDescent="0.3">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2" customHeight="1" x14ac:dyDescent="0.3">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2" customHeight="1" x14ac:dyDescent="0.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2" customHeight="1" x14ac:dyDescent="0.3">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2" customHeight="1" x14ac:dyDescent="0.3">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2" customHeight="1" x14ac:dyDescent="0.3">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2" customHeight="1" x14ac:dyDescent="0.3">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2" customHeight="1" x14ac:dyDescent="0.3">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2" customHeight="1" x14ac:dyDescent="0.3">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2" customHeight="1" x14ac:dyDescent="0.3">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2" customHeight="1" x14ac:dyDescent="0.3">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2" customHeight="1" x14ac:dyDescent="0.3">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2" customHeight="1" x14ac:dyDescent="0.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2" customHeight="1" x14ac:dyDescent="0.3">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2" customHeight="1" x14ac:dyDescent="0.3">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2" customHeight="1" x14ac:dyDescent="0.3">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2" customHeight="1" x14ac:dyDescent="0.3">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2" customHeight="1" x14ac:dyDescent="0.3">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2" customHeight="1" x14ac:dyDescent="0.3">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2" customHeight="1" x14ac:dyDescent="0.3">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2" customHeight="1" x14ac:dyDescent="0.3">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2" customHeight="1" x14ac:dyDescent="0.3">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2" customHeight="1" x14ac:dyDescent="0.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2" customHeight="1" x14ac:dyDescent="0.3">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2" customHeight="1" x14ac:dyDescent="0.3">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2" customHeight="1" x14ac:dyDescent="0.3">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2" customHeight="1" x14ac:dyDescent="0.3">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2" customHeight="1" x14ac:dyDescent="0.3">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2" customHeight="1" x14ac:dyDescent="0.3">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2" customHeight="1" x14ac:dyDescent="0.3">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2" customHeight="1" x14ac:dyDescent="0.3">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2" customHeight="1" x14ac:dyDescent="0.3">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2" customHeight="1" x14ac:dyDescent="0.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2" customHeight="1" x14ac:dyDescent="0.3">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2" customHeight="1" x14ac:dyDescent="0.3">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2" customHeight="1" x14ac:dyDescent="0.3">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2" customHeight="1" x14ac:dyDescent="0.3">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2" customHeight="1" x14ac:dyDescent="0.3">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2" customHeight="1" x14ac:dyDescent="0.3">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2" customHeight="1" x14ac:dyDescent="0.3">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2" customHeight="1" x14ac:dyDescent="0.3">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2" customHeight="1" x14ac:dyDescent="0.3">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2" customHeight="1" x14ac:dyDescent="0.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2" customHeight="1" x14ac:dyDescent="0.3">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2" customHeight="1" x14ac:dyDescent="0.3">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2" customHeight="1" x14ac:dyDescent="0.3">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2" customHeight="1" x14ac:dyDescent="0.3">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2" customHeight="1" x14ac:dyDescent="0.3">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2" customHeight="1" x14ac:dyDescent="0.3">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2" customHeight="1" x14ac:dyDescent="0.3">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2" customHeight="1" x14ac:dyDescent="0.3">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2" customHeight="1" x14ac:dyDescent="0.3">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2" customHeight="1" x14ac:dyDescent="0.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2" customHeight="1" x14ac:dyDescent="0.3">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2" customHeight="1" x14ac:dyDescent="0.3">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2" customHeight="1" x14ac:dyDescent="0.3">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2" customHeight="1" x14ac:dyDescent="0.3">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2" customHeight="1" x14ac:dyDescent="0.3">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2" customHeight="1" x14ac:dyDescent="0.3">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2" customHeight="1" x14ac:dyDescent="0.3">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2" customHeight="1" x14ac:dyDescent="0.3">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2" customHeight="1" x14ac:dyDescent="0.3">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2" customHeight="1" x14ac:dyDescent="0.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2" customHeight="1" x14ac:dyDescent="0.3">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2" customHeight="1" x14ac:dyDescent="0.3">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2" customHeight="1" x14ac:dyDescent="0.3">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2" customHeight="1" x14ac:dyDescent="0.3">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2" customHeight="1" x14ac:dyDescent="0.3">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2" customHeight="1" x14ac:dyDescent="0.3">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2" customHeight="1" x14ac:dyDescent="0.3">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2" customHeight="1" x14ac:dyDescent="0.3">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2" customHeight="1" x14ac:dyDescent="0.3">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2" customHeight="1" x14ac:dyDescent="0.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2" customHeight="1" x14ac:dyDescent="0.3">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2" customHeight="1" x14ac:dyDescent="0.3">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2" customHeight="1" x14ac:dyDescent="0.3">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2" customHeight="1" x14ac:dyDescent="0.3">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2" customHeight="1" x14ac:dyDescent="0.3">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2" customHeight="1" x14ac:dyDescent="0.3">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2" customHeight="1" x14ac:dyDescent="0.3">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2" customHeight="1" x14ac:dyDescent="0.3">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2" customHeight="1" x14ac:dyDescent="0.3">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2" customHeight="1" x14ac:dyDescent="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2" customHeight="1" x14ac:dyDescent="0.3">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2" customHeight="1" x14ac:dyDescent="0.3">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2" customHeight="1" x14ac:dyDescent="0.3">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2" customHeight="1" x14ac:dyDescent="0.3">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2" customHeight="1" x14ac:dyDescent="0.3">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2" customHeight="1" x14ac:dyDescent="0.3">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2" customHeight="1" x14ac:dyDescent="0.3">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2" customHeight="1" x14ac:dyDescent="0.3">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2" customHeight="1" x14ac:dyDescent="0.3">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2" customHeight="1" x14ac:dyDescent="0.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2" customHeight="1" x14ac:dyDescent="0.3">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2" customHeight="1" x14ac:dyDescent="0.3">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2" customHeight="1" x14ac:dyDescent="0.3">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2" customHeight="1" x14ac:dyDescent="0.3">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2" customHeight="1" x14ac:dyDescent="0.3">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2" customHeight="1" x14ac:dyDescent="0.3">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2" customHeight="1" x14ac:dyDescent="0.3">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2" customHeight="1" x14ac:dyDescent="0.3">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2" customHeight="1" x14ac:dyDescent="0.3">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2" customHeight="1" x14ac:dyDescent="0.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2" customHeight="1" x14ac:dyDescent="0.3">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2" customHeight="1" x14ac:dyDescent="0.3">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2" customHeight="1" x14ac:dyDescent="0.3">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2" customHeight="1" x14ac:dyDescent="0.3">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2" customHeight="1" x14ac:dyDescent="0.3">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2" customHeight="1" x14ac:dyDescent="0.3">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2" customHeight="1" x14ac:dyDescent="0.3">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2" customHeight="1" x14ac:dyDescent="0.3">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2" customHeight="1" x14ac:dyDescent="0.3">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2" customHeight="1" x14ac:dyDescent="0.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2" customHeight="1" x14ac:dyDescent="0.3">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2" customHeight="1" x14ac:dyDescent="0.3">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2" customHeight="1" x14ac:dyDescent="0.3">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2" customHeight="1" x14ac:dyDescent="0.3">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2" customHeight="1" x14ac:dyDescent="0.3">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2" customHeight="1" x14ac:dyDescent="0.3">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2" customHeight="1" x14ac:dyDescent="0.3">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2" customHeight="1" x14ac:dyDescent="0.3">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2" customHeight="1" x14ac:dyDescent="0.3">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2" customHeight="1" x14ac:dyDescent="0.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2" customHeight="1" x14ac:dyDescent="0.3">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2" customHeight="1" x14ac:dyDescent="0.3">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2" customHeight="1" x14ac:dyDescent="0.3">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2" customHeight="1" x14ac:dyDescent="0.3">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2" customHeight="1" x14ac:dyDescent="0.3">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2" customHeight="1" x14ac:dyDescent="0.3">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2" customHeight="1" x14ac:dyDescent="0.3">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2" customHeight="1" x14ac:dyDescent="0.3">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2" customHeight="1" x14ac:dyDescent="0.3">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2" customHeight="1" x14ac:dyDescent="0.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2" customHeight="1" x14ac:dyDescent="0.3">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2" customHeight="1" x14ac:dyDescent="0.3">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2" customHeight="1" x14ac:dyDescent="0.3">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2" customHeight="1" x14ac:dyDescent="0.3">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2" customHeight="1" x14ac:dyDescent="0.3">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2" customHeight="1" x14ac:dyDescent="0.3">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2" customHeight="1" x14ac:dyDescent="0.3">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2" customHeight="1" x14ac:dyDescent="0.3">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2" customHeight="1" x14ac:dyDescent="0.3">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2" customHeight="1" x14ac:dyDescent="0.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2" customHeight="1" x14ac:dyDescent="0.3">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2" customHeight="1" x14ac:dyDescent="0.3">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2" customHeight="1" x14ac:dyDescent="0.3">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2" customHeight="1" x14ac:dyDescent="0.3">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2" customHeight="1" x14ac:dyDescent="0.3">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2" customHeight="1" x14ac:dyDescent="0.3">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2" customHeight="1" x14ac:dyDescent="0.3">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2" customHeight="1" x14ac:dyDescent="0.3">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2" customHeight="1" x14ac:dyDescent="0.3">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2" customHeight="1" x14ac:dyDescent="0.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2" customHeight="1" x14ac:dyDescent="0.3">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2" customHeight="1" x14ac:dyDescent="0.3">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2" customHeight="1" x14ac:dyDescent="0.3">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2" customHeight="1" x14ac:dyDescent="0.3">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2" customHeight="1" x14ac:dyDescent="0.3">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2" customHeight="1" x14ac:dyDescent="0.3">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2" customHeight="1" x14ac:dyDescent="0.3">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2" customHeight="1" x14ac:dyDescent="0.3">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2" customHeight="1" x14ac:dyDescent="0.3">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2" customHeight="1" x14ac:dyDescent="0.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2" customHeight="1" x14ac:dyDescent="0.3">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2" customHeight="1" x14ac:dyDescent="0.3">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2" customHeight="1" x14ac:dyDescent="0.3">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2" customHeight="1" x14ac:dyDescent="0.3">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2" customHeight="1" x14ac:dyDescent="0.3">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2" customHeight="1" x14ac:dyDescent="0.3">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2" customHeight="1" x14ac:dyDescent="0.3">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2" customHeight="1" x14ac:dyDescent="0.3">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2" customHeight="1" x14ac:dyDescent="0.3">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2" customHeight="1" x14ac:dyDescent="0.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2" customHeight="1" x14ac:dyDescent="0.3">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2" customHeight="1" x14ac:dyDescent="0.3">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2" customHeight="1" x14ac:dyDescent="0.3">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2" customHeight="1" x14ac:dyDescent="0.3">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2" customHeight="1" x14ac:dyDescent="0.3">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2" customHeight="1" x14ac:dyDescent="0.3">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2" customHeight="1" x14ac:dyDescent="0.3">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2" customHeight="1" x14ac:dyDescent="0.3">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2" customHeight="1" x14ac:dyDescent="0.3">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2" customHeight="1" x14ac:dyDescent="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2" customHeight="1" x14ac:dyDescent="0.3">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2" customHeight="1" x14ac:dyDescent="0.3">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2" customHeight="1" x14ac:dyDescent="0.3">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2" customHeight="1" x14ac:dyDescent="0.3">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2" customHeight="1" x14ac:dyDescent="0.3">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2" customHeight="1" x14ac:dyDescent="0.3">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2" customHeight="1" x14ac:dyDescent="0.3">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2" customHeight="1" x14ac:dyDescent="0.3">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2" customHeight="1" x14ac:dyDescent="0.3">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2" customHeight="1" x14ac:dyDescent="0.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2" customHeight="1" x14ac:dyDescent="0.3">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2" customHeight="1" x14ac:dyDescent="0.3">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2" customHeight="1" x14ac:dyDescent="0.3">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2" customHeight="1" x14ac:dyDescent="0.3">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2" customHeight="1" x14ac:dyDescent="0.3">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2" customHeight="1" x14ac:dyDescent="0.3">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2" customHeight="1" x14ac:dyDescent="0.3">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2" customHeight="1" x14ac:dyDescent="0.3">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2" customHeight="1" x14ac:dyDescent="0.3">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2" customHeight="1" x14ac:dyDescent="0.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2" customHeight="1" x14ac:dyDescent="0.3">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2" customHeight="1" x14ac:dyDescent="0.3">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2" customHeight="1" x14ac:dyDescent="0.3">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2" customHeight="1" x14ac:dyDescent="0.3">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2" customHeight="1" x14ac:dyDescent="0.3">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2" customHeight="1" x14ac:dyDescent="0.3">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2" customHeight="1" x14ac:dyDescent="0.3">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2" customHeight="1" x14ac:dyDescent="0.3">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2" customHeight="1" x14ac:dyDescent="0.3">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2" customHeight="1" x14ac:dyDescent="0.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2" customHeight="1" x14ac:dyDescent="0.3">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2" customHeight="1" x14ac:dyDescent="0.3">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2" customHeight="1" x14ac:dyDescent="0.3">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2" customHeight="1" x14ac:dyDescent="0.3">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2" customHeight="1" x14ac:dyDescent="0.3">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2" customHeight="1" x14ac:dyDescent="0.3">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2" customHeight="1" x14ac:dyDescent="0.3">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2" customHeight="1" x14ac:dyDescent="0.3">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2" customHeight="1" x14ac:dyDescent="0.3">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2" customHeight="1" x14ac:dyDescent="0.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2" customHeight="1" x14ac:dyDescent="0.3">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2" customHeight="1" x14ac:dyDescent="0.3">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2" customHeight="1" x14ac:dyDescent="0.3">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2" customHeight="1" x14ac:dyDescent="0.3">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2" customHeight="1" x14ac:dyDescent="0.3">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2" customHeight="1" x14ac:dyDescent="0.3">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2" customHeight="1" x14ac:dyDescent="0.3">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2" customHeight="1" x14ac:dyDescent="0.3">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2" customHeight="1" x14ac:dyDescent="0.3">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2" customHeight="1" x14ac:dyDescent="0.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2" customHeight="1" x14ac:dyDescent="0.3">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2" customHeight="1" x14ac:dyDescent="0.3">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2" customHeight="1" x14ac:dyDescent="0.3">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2" customHeight="1" x14ac:dyDescent="0.3">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2" customHeight="1" x14ac:dyDescent="0.3">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2" customHeight="1" x14ac:dyDescent="0.3">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2" customHeight="1" x14ac:dyDescent="0.3">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2" customHeight="1" x14ac:dyDescent="0.3">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2" customHeight="1" x14ac:dyDescent="0.3">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2" customHeight="1" x14ac:dyDescent="0.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2" customHeight="1" x14ac:dyDescent="0.3">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2" customHeight="1" x14ac:dyDescent="0.3">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2" customHeight="1" x14ac:dyDescent="0.3">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2" customHeight="1" x14ac:dyDescent="0.3">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2" customHeight="1" x14ac:dyDescent="0.3">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2" customHeight="1" x14ac:dyDescent="0.3">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2" customHeight="1" x14ac:dyDescent="0.3">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2" customHeight="1" x14ac:dyDescent="0.3">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2" customHeight="1" x14ac:dyDescent="0.3">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2" customHeight="1" x14ac:dyDescent="0.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2" customHeight="1" x14ac:dyDescent="0.3">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2" customHeight="1" x14ac:dyDescent="0.3">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2" customHeight="1" x14ac:dyDescent="0.3">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2" customHeight="1" x14ac:dyDescent="0.3">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2" customHeight="1" x14ac:dyDescent="0.3">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2" customHeight="1" x14ac:dyDescent="0.3">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2" customHeight="1" x14ac:dyDescent="0.3">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2" customHeight="1" x14ac:dyDescent="0.3">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2" customHeight="1" x14ac:dyDescent="0.3">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2" customHeight="1" x14ac:dyDescent="0.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2" customHeight="1" x14ac:dyDescent="0.3">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2" customHeight="1" x14ac:dyDescent="0.3">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2" customHeight="1" x14ac:dyDescent="0.3">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2" customHeight="1" x14ac:dyDescent="0.3">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2" customHeight="1" x14ac:dyDescent="0.3">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2" customHeight="1" x14ac:dyDescent="0.3">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2" customHeight="1" x14ac:dyDescent="0.3">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2" customHeight="1" x14ac:dyDescent="0.3">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2" customHeight="1" x14ac:dyDescent="0.3">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2" customHeight="1" x14ac:dyDescent="0.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2" customHeight="1" x14ac:dyDescent="0.3">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2" customHeight="1" x14ac:dyDescent="0.3">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2" customHeight="1" x14ac:dyDescent="0.3">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2" customHeight="1" x14ac:dyDescent="0.3">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2" customHeight="1" x14ac:dyDescent="0.3">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2" customHeight="1" x14ac:dyDescent="0.3">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2" customHeight="1" x14ac:dyDescent="0.3">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2" customHeight="1" x14ac:dyDescent="0.3">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2" customHeight="1" x14ac:dyDescent="0.3">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2" customHeight="1" x14ac:dyDescent="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2" customHeight="1" x14ac:dyDescent="0.3">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2" customHeight="1" x14ac:dyDescent="0.3">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2" customHeight="1" x14ac:dyDescent="0.3">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2" customHeight="1" x14ac:dyDescent="0.3">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2" customHeight="1" x14ac:dyDescent="0.3">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2" customHeight="1" x14ac:dyDescent="0.3">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2" customHeight="1" x14ac:dyDescent="0.3">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2" customHeight="1" x14ac:dyDescent="0.3">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2" customHeight="1" x14ac:dyDescent="0.3">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2" customHeight="1" x14ac:dyDescent="0.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2" customHeight="1" x14ac:dyDescent="0.3">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2" customHeight="1" x14ac:dyDescent="0.3">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2" customHeight="1" x14ac:dyDescent="0.3">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2" customHeight="1" x14ac:dyDescent="0.3">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2" customHeight="1" x14ac:dyDescent="0.3">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2" customHeight="1" x14ac:dyDescent="0.3">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2" customHeight="1" x14ac:dyDescent="0.3">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2" customHeight="1" x14ac:dyDescent="0.3">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2" customHeight="1" x14ac:dyDescent="0.3">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2" customHeight="1" x14ac:dyDescent="0.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2" customHeight="1" x14ac:dyDescent="0.3">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2" customHeight="1" x14ac:dyDescent="0.3">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2" customHeight="1" x14ac:dyDescent="0.3">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2" customHeight="1" x14ac:dyDescent="0.3">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2" customHeight="1" x14ac:dyDescent="0.3">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2" customHeight="1" x14ac:dyDescent="0.3">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2" customHeight="1" x14ac:dyDescent="0.3">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2" customHeight="1" x14ac:dyDescent="0.3">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2" customHeight="1" x14ac:dyDescent="0.3">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2" customHeight="1" x14ac:dyDescent="0.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2" customHeight="1" x14ac:dyDescent="0.3">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2" customHeight="1" x14ac:dyDescent="0.3">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2" customHeight="1" x14ac:dyDescent="0.3">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2" customHeight="1" x14ac:dyDescent="0.3">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2" customHeight="1" x14ac:dyDescent="0.3">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2" customHeight="1" x14ac:dyDescent="0.3">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2" customHeight="1" x14ac:dyDescent="0.3">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2" customHeight="1" x14ac:dyDescent="0.3">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2" customHeight="1" x14ac:dyDescent="0.3">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2" customHeight="1" x14ac:dyDescent="0.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2" customHeight="1" x14ac:dyDescent="0.3">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2" customHeight="1" x14ac:dyDescent="0.3">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2" customHeight="1" x14ac:dyDescent="0.3">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2" customHeight="1" x14ac:dyDescent="0.3">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2" customHeight="1" x14ac:dyDescent="0.3">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2" customHeight="1" x14ac:dyDescent="0.3">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2" customHeight="1" x14ac:dyDescent="0.3">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2" customHeight="1" x14ac:dyDescent="0.3">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2" customHeight="1" x14ac:dyDescent="0.3">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2" customHeight="1" x14ac:dyDescent="0.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2" customHeight="1" x14ac:dyDescent="0.3">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2" customHeight="1" x14ac:dyDescent="0.3">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2" customHeight="1" x14ac:dyDescent="0.3">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2" customHeight="1" x14ac:dyDescent="0.3">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2" customHeight="1" x14ac:dyDescent="0.3">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2" customHeight="1" x14ac:dyDescent="0.3">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2" customHeight="1" x14ac:dyDescent="0.3">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2" customHeight="1" x14ac:dyDescent="0.3">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2" customHeight="1" x14ac:dyDescent="0.3">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2" customHeight="1" x14ac:dyDescent="0.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2" customHeight="1" x14ac:dyDescent="0.3">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2" customHeight="1" x14ac:dyDescent="0.3">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2" customHeight="1" x14ac:dyDescent="0.3">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2" customHeight="1" x14ac:dyDescent="0.3">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2" customHeight="1" x14ac:dyDescent="0.3">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2" customHeight="1" x14ac:dyDescent="0.3">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2" customHeight="1" x14ac:dyDescent="0.3">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2" customHeight="1" x14ac:dyDescent="0.3">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2" customHeight="1" x14ac:dyDescent="0.3">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2" customHeight="1" x14ac:dyDescent="0.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2" customHeight="1" x14ac:dyDescent="0.3">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2" customHeight="1" x14ac:dyDescent="0.3">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2" customHeight="1" x14ac:dyDescent="0.3">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2" customHeight="1" x14ac:dyDescent="0.3">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2" customHeight="1" x14ac:dyDescent="0.3">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2" customHeight="1" x14ac:dyDescent="0.3">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2" customHeight="1" x14ac:dyDescent="0.3">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2" customHeight="1" x14ac:dyDescent="0.3">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2" customHeight="1" x14ac:dyDescent="0.3">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2" customHeight="1" x14ac:dyDescent="0.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2" customHeight="1" x14ac:dyDescent="0.3">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2" customHeight="1" x14ac:dyDescent="0.3">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2" customHeight="1" x14ac:dyDescent="0.3">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2" customHeight="1" x14ac:dyDescent="0.3">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2" customHeight="1" x14ac:dyDescent="0.3">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2" customHeight="1" x14ac:dyDescent="0.3">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2" customHeight="1" x14ac:dyDescent="0.3">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2" customHeight="1" x14ac:dyDescent="0.3">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2" customHeight="1" x14ac:dyDescent="0.3">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2" customHeight="1" x14ac:dyDescent="0.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2" customHeight="1" x14ac:dyDescent="0.3">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2" customHeight="1" x14ac:dyDescent="0.3">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2" customHeight="1" x14ac:dyDescent="0.3">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2" customHeight="1" x14ac:dyDescent="0.3">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2" customHeight="1" x14ac:dyDescent="0.3">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2" customHeight="1" x14ac:dyDescent="0.3">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2" customHeight="1" x14ac:dyDescent="0.3">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2" customHeight="1" x14ac:dyDescent="0.3">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2" customHeight="1" x14ac:dyDescent="0.3">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2" customHeight="1" x14ac:dyDescent="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2" customHeight="1" x14ac:dyDescent="0.3">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2" customHeight="1" x14ac:dyDescent="0.3">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2" customHeight="1" x14ac:dyDescent="0.3">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2" customHeight="1" x14ac:dyDescent="0.3">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2" customHeight="1" x14ac:dyDescent="0.3">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2" customHeight="1" x14ac:dyDescent="0.3">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2" customHeight="1" x14ac:dyDescent="0.3">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2" customHeight="1" x14ac:dyDescent="0.3">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2" customHeight="1" x14ac:dyDescent="0.3">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2" customHeight="1" x14ac:dyDescent="0.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2" customHeight="1" x14ac:dyDescent="0.3">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2" customHeight="1" x14ac:dyDescent="0.3">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2" customHeight="1" x14ac:dyDescent="0.3">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2" customHeight="1" x14ac:dyDescent="0.3">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2" customHeight="1" x14ac:dyDescent="0.3">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2" customHeight="1" x14ac:dyDescent="0.3">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2" customHeight="1" x14ac:dyDescent="0.3">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2" customHeight="1" x14ac:dyDescent="0.3">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2" customHeight="1" x14ac:dyDescent="0.3">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2" customHeight="1" x14ac:dyDescent="0.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2" customHeight="1" x14ac:dyDescent="0.3">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2" customHeight="1" x14ac:dyDescent="0.3">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2" customHeight="1" x14ac:dyDescent="0.3">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2" customHeight="1" x14ac:dyDescent="0.3">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2" customHeight="1" x14ac:dyDescent="0.3">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2" customHeight="1" x14ac:dyDescent="0.3">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2" customHeight="1" x14ac:dyDescent="0.3">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2" customHeight="1" x14ac:dyDescent="0.3">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2" customHeight="1" x14ac:dyDescent="0.3">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2" customHeight="1" x14ac:dyDescent="0.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2" customHeight="1" x14ac:dyDescent="0.3">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2" customHeight="1" x14ac:dyDescent="0.3">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2" customHeight="1" x14ac:dyDescent="0.3">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2" customHeight="1" x14ac:dyDescent="0.3">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2" customHeight="1" x14ac:dyDescent="0.3">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2" customHeight="1" x14ac:dyDescent="0.3">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2" customHeight="1" x14ac:dyDescent="0.3">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2" customHeight="1" x14ac:dyDescent="0.3">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2" customHeight="1" x14ac:dyDescent="0.3">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2" customHeight="1" x14ac:dyDescent="0.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2" customHeight="1" x14ac:dyDescent="0.3">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2" customHeight="1" x14ac:dyDescent="0.3">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2" customHeight="1" x14ac:dyDescent="0.3">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2" customHeight="1" x14ac:dyDescent="0.3">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2" customHeight="1" x14ac:dyDescent="0.3">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2" customHeight="1" x14ac:dyDescent="0.3">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2" customHeight="1" x14ac:dyDescent="0.3">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2" customHeight="1" x14ac:dyDescent="0.3">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2" customHeight="1" x14ac:dyDescent="0.3">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2" customHeight="1" x14ac:dyDescent="0.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2" customHeight="1" x14ac:dyDescent="0.3">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2" customHeight="1" x14ac:dyDescent="0.3">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2" customHeight="1" x14ac:dyDescent="0.3">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2" customHeight="1" x14ac:dyDescent="0.3">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2" customHeight="1" x14ac:dyDescent="0.3">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2" customHeight="1" x14ac:dyDescent="0.3">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2" customHeight="1" x14ac:dyDescent="0.3">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2" customHeight="1" x14ac:dyDescent="0.3">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2" customHeight="1" x14ac:dyDescent="0.3">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2" customHeight="1" x14ac:dyDescent="0.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2" customHeight="1" x14ac:dyDescent="0.3">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2" customHeight="1" x14ac:dyDescent="0.3">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2" customHeight="1" x14ac:dyDescent="0.3">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2" customHeight="1" x14ac:dyDescent="0.3">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2" customHeight="1" x14ac:dyDescent="0.3">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2" customHeight="1" x14ac:dyDescent="0.3">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2" customHeight="1" x14ac:dyDescent="0.3">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2" customHeight="1" x14ac:dyDescent="0.3">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2" customHeight="1" x14ac:dyDescent="0.3">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2" customHeight="1" x14ac:dyDescent="0.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2" customHeight="1" x14ac:dyDescent="0.3">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2" customHeight="1" x14ac:dyDescent="0.3">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2" customHeight="1" x14ac:dyDescent="0.3">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2" customHeight="1" x14ac:dyDescent="0.3">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2" customHeight="1" x14ac:dyDescent="0.3">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2" customHeight="1" x14ac:dyDescent="0.3">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2" customHeight="1" x14ac:dyDescent="0.3">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2" customHeight="1" x14ac:dyDescent="0.3">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2" customHeight="1" x14ac:dyDescent="0.3">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2" customHeight="1" x14ac:dyDescent="0.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2" customHeight="1" x14ac:dyDescent="0.3">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2" customHeight="1" x14ac:dyDescent="0.3">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2" customHeight="1" x14ac:dyDescent="0.3">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2" customHeight="1" x14ac:dyDescent="0.3">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2" customHeight="1" x14ac:dyDescent="0.3">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2" customHeight="1" x14ac:dyDescent="0.3">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2" customHeight="1" x14ac:dyDescent="0.3">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2" customHeight="1" x14ac:dyDescent="0.3">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2" customHeight="1" x14ac:dyDescent="0.3">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2" customHeight="1" x14ac:dyDescent="0.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2" customHeight="1" x14ac:dyDescent="0.3">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2" customHeight="1" x14ac:dyDescent="0.3">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2" customHeight="1" x14ac:dyDescent="0.3">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2" customHeight="1" x14ac:dyDescent="0.3">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2" customHeight="1" x14ac:dyDescent="0.3">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2" customHeight="1" x14ac:dyDescent="0.3">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2" customHeight="1" x14ac:dyDescent="0.3">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2" customHeight="1" x14ac:dyDescent="0.3">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2" customHeight="1" x14ac:dyDescent="0.3">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2" customHeight="1" x14ac:dyDescent="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2" customHeight="1" x14ac:dyDescent="0.3">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2" customHeight="1" x14ac:dyDescent="0.3">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2" customHeight="1" x14ac:dyDescent="0.3">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2" customHeight="1" x14ac:dyDescent="0.3">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2" customHeight="1" x14ac:dyDescent="0.3">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2" customHeight="1" x14ac:dyDescent="0.3">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2" customHeight="1" x14ac:dyDescent="0.3">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2" customHeight="1" x14ac:dyDescent="0.3">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2" customHeight="1" x14ac:dyDescent="0.3">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2" customHeight="1" x14ac:dyDescent="0.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2" customHeight="1" x14ac:dyDescent="0.3">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2" customHeight="1" x14ac:dyDescent="0.3">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2" customHeight="1" x14ac:dyDescent="0.3">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2" customHeight="1" x14ac:dyDescent="0.3">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2" customHeight="1" x14ac:dyDescent="0.3">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2" customHeight="1" x14ac:dyDescent="0.3">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2" customHeight="1" x14ac:dyDescent="0.3">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2" customHeight="1" x14ac:dyDescent="0.3">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2" customHeight="1" x14ac:dyDescent="0.3">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2" customHeight="1" x14ac:dyDescent="0.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2" customHeight="1" x14ac:dyDescent="0.3">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2" customHeight="1" x14ac:dyDescent="0.3">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2" customHeight="1" x14ac:dyDescent="0.3">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2" customHeight="1" x14ac:dyDescent="0.3">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2" customHeight="1" x14ac:dyDescent="0.3">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2" customHeight="1" x14ac:dyDescent="0.3">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2" customHeight="1" x14ac:dyDescent="0.3">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2" customHeight="1" x14ac:dyDescent="0.3">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2" customHeight="1" x14ac:dyDescent="0.3">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2" customHeight="1" x14ac:dyDescent="0.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2" customHeight="1" x14ac:dyDescent="0.3">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2" customHeight="1" x14ac:dyDescent="0.3">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2" customHeight="1" x14ac:dyDescent="0.3">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2" customHeight="1" x14ac:dyDescent="0.3">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2" customHeight="1" x14ac:dyDescent="0.3">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2" customHeight="1" x14ac:dyDescent="0.3">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2" customHeight="1" x14ac:dyDescent="0.3">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2" customHeight="1" x14ac:dyDescent="0.3">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2" customHeight="1" x14ac:dyDescent="0.3">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2" customHeight="1" x14ac:dyDescent="0.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2" customHeight="1" x14ac:dyDescent="0.3">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2" customHeight="1" x14ac:dyDescent="0.3">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2" customHeight="1" x14ac:dyDescent="0.3">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2" customHeight="1" x14ac:dyDescent="0.3">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2" customHeight="1" x14ac:dyDescent="0.3">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2" customHeight="1" x14ac:dyDescent="0.3">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2" customHeight="1" x14ac:dyDescent="0.3">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2" customHeight="1" x14ac:dyDescent="0.3">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2" customHeight="1" x14ac:dyDescent="0.3">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2" customHeight="1" x14ac:dyDescent="0.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2" customHeight="1" x14ac:dyDescent="0.3">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2" customHeight="1" x14ac:dyDescent="0.3">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2" customHeight="1" x14ac:dyDescent="0.3">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2" customHeight="1" x14ac:dyDescent="0.3">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2" customHeight="1" x14ac:dyDescent="0.3">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2" customHeight="1" x14ac:dyDescent="0.3">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2" customHeight="1" x14ac:dyDescent="0.3">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2" customHeight="1" x14ac:dyDescent="0.3">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2" customHeight="1" x14ac:dyDescent="0.3">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2" customHeight="1" x14ac:dyDescent="0.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2" customHeight="1" x14ac:dyDescent="0.3">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2" customHeight="1" x14ac:dyDescent="0.3">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2" customHeight="1" x14ac:dyDescent="0.3">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2" customHeight="1" x14ac:dyDescent="0.3">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2" customHeight="1" x14ac:dyDescent="0.3">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2" customHeight="1" x14ac:dyDescent="0.3">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2" customHeight="1" x14ac:dyDescent="0.3">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2" customHeight="1" x14ac:dyDescent="0.3">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2" customHeight="1" x14ac:dyDescent="0.3">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2" customHeight="1" x14ac:dyDescent="0.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2" customHeight="1" x14ac:dyDescent="0.3">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2" customHeight="1" x14ac:dyDescent="0.3">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2" customHeight="1" x14ac:dyDescent="0.3">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2" customHeight="1" x14ac:dyDescent="0.3">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2" customHeight="1" x14ac:dyDescent="0.3">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2" customHeight="1" x14ac:dyDescent="0.3">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2" customHeight="1" x14ac:dyDescent="0.3">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2" customHeight="1" x14ac:dyDescent="0.3">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2" customHeight="1" x14ac:dyDescent="0.3">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2" customHeight="1" x14ac:dyDescent="0.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2" customHeight="1" x14ac:dyDescent="0.3">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2" customHeight="1" x14ac:dyDescent="0.3">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2" customHeight="1" x14ac:dyDescent="0.3">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2" customHeight="1" x14ac:dyDescent="0.3">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2" customHeight="1" x14ac:dyDescent="0.3">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2" customHeight="1" x14ac:dyDescent="0.3">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2" customHeight="1" x14ac:dyDescent="0.3">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2" customHeight="1" x14ac:dyDescent="0.3">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2" customHeight="1" x14ac:dyDescent="0.3">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2" customHeight="1" x14ac:dyDescent="0.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2" customHeight="1" x14ac:dyDescent="0.3">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2" customHeight="1" x14ac:dyDescent="0.3">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2" customHeight="1" x14ac:dyDescent="0.3">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2" customHeight="1" x14ac:dyDescent="0.3">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2" customHeight="1" x14ac:dyDescent="0.3">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2" customHeight="1" x14ac:dyDescent="0.3">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2" customHeight="1" x14ac:dyDescent="0.3">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2" customHeight="1" x14ac:dyDescent="0.3">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2" customHeight="1" x14ac:dyDescent="0.3">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2" customHeight="1" x14ac:dyDescent="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2" customHeight="1" x14ac:dyDescent="0.3">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2" customHeight="1" x14ac:dyDescent="0.3">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2" customHeight="1" x14ac:dyDescent="0.3">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2" customHeight="1" x14ac:dyDescent="0.3">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2" customHeight="1" x14ac:dyDescent="0.3">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2" customHeight="1" x14ac:dyDescent="0.3">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2" customHeight="1" x14ac:dyDescent="0.3">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2" customHeight="1" x14ac:dyDescent="0.3">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2" customHeight="1" x14ac:dyDescent="0.3">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2" customHeight="1" x14ac:dyDescent="0.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2" customHeight="1" x14ac:dyDescent="0.3">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2" customHeight="1" x14ac:dyDescent="0.3">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2" customHeight="1" x14ac:dyDescent="0.3">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2" customHeight="1" x14ac:dyDescent="0.3">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2" customHeight="1" x14ac:dyDescent="0.3">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2" customHeight="1" x14ac:dyDescent="0.3">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2" customHeight="1" x14ac:dyDescent="0.3">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2" customHeight="1" x14ac:dyDescent="0.3">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2" customHeight="1" x14ac:dyDescent="0.3">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2" customHeight="1" x14ac:dyDescent="0.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2" customHeight="1" x14ac:dyDescent="0.3">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2" customHeight="1" x14ac:dyDescent="0.3">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2" customHeight="1" x14ac:dyDescent="0.3">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2" customHeight="1" x14ac:dyDescent="0.3">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2" customHeight="1" x14ac:dyDescent="0.3">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2" customHeight="1" x14ac:dyDescent="0.3">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2" customHeight="1" x14ac:dyDescent="0.3">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2" customHeight="1" x14ac:dyDescent="0.3">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2" customHeight="1" x14ac:dyDescent="0.3">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2" customHeight="1" x14ac:dyDescent="0.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2" customHeight="1" x14ac:dyDescent="0.3">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2" customHeight="1" x14ac:dyDescent="0.3">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2" customHeight="1" x14ac:dyDescent="0.3">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2" customHeight="1" x14ac:dyDescent="0.3">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2" customHeight="1" x14ac:dyDescent="0.3">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2" customHeight="1" x14ac:dyDescent="0.3">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2" customHeight="1" x14ac:dyDescent="0.3">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2" customHeight="1" x14ac:dyDescent="0.3">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2" customHeight="1" x14ac:dyDescent="0.3">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2" customHeight="1" x14ac:dyDescent="0.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2" customHeight="1" x14ac:dyDescent="0.3">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2" customHeight="1" x14ac:dyDescent="0.3">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2" customHeight="1" x14ac:dyDescent="0.3">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2" customHeight="1" x14ac:dyDescent="0.3">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2" customHeight="1" x14ac:dyDescent="0.3">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2" customHeight="1" x14ac:dyDescent="0.3">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2" customHeight="1" x14ac:dyDescent="0.3">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2" customHeight="1" x14ac:dyDescent="0.3">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2" customHeight="1" x14ac:dyDescent="0.3">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2" customHeight="1" x14ac:dyDescent="0.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2" customHeight="1" x14ac:dyDescent="0.3">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2" customHeight="1" x14ac:dyDescent="0.3">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2" customHeight="1" x14ac:dyDescent="0.3">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2" customHeight="1" x14ac:dyDescent="0.3">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2" customHeight="1" x14ac:dyDescent="0.3">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2" customHeight="1" x14ac:dyDescent="0.3">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2" customHeight="1" x14ac:dyDescent="0.3">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2" customHeight="1" x14ac:dyDescent="0.3">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2" customHeight="1" x14ac:dyDescent="0.3">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2" customHeight="1" x14ac:dyDescent="0.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2" customHeight="1" x14ac:dyDescent="0.3">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2" customHeight="1" x14ac:dyDescent="0.3">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2" customHeight="1" x14ac:dyDescent="0.3">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2" customHeight="1" x14ac:dyDescent="0.3">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2" customHeight="1" x14ac:dyDescent="0.3">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2" customHeight="1" x14ac:dyDescent="0.3">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2" customHeight="1" x14ac:dyDescent="0.3">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2" customHeight="1" x14ac:dyDescent="0.3">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2" customHeight="1" x14ac:dyDescent="0.3">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2" customHeight="1" x14ac:dyDescent="0.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2" customHeight="1" x14ac:dyDescent="0.3">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2" customHeight="1" x14ac:dyDescent="0.3">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2" customHeight="1" x14ac:dyDescent="0.3">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2" customHeight="1" x14ac:dyDescent="0.3">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2" customHeight="1" x14ac:dyDescent="0.3">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2" customHeight="1" x14ac:dyDescent="0.3">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2" customHeight="1" x14ac:dyDescent="0.3">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2" customHeight="1" x14ac:dyDescent="0.3">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2" customHeight="1" x14ac:dyDescent="0.3">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2" customHeight="1" x14ac:dyDescent="0.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2" customHeight="1" x14ac:dyDescent="0.3">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2" customHeight="1" x14ac:dyDescent="0.3">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2" customHeight="1" x14ac:dyDescent="0.3">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2" customHeight="1" x14ac:dyDescent="0.3">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2" customHeight="1" x14ac:dyDescent="0.3">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2" customHeight="1" x14ac:dyDescent="0.3">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2" customHeight="1" x14ac:dyDescent="0.3">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2" customHeight="1" x14ac:dyDescent="0.3">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2" customHeight="1" x14ac:dyDescent="0.3">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2" customHeight="1" x14ac:dyDescent="0.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2" customHeight="1" x14ac:dyDescent="0.3">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2" customHeight="1" x14ac:dyDescent="0.3">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2" customHeight="1" x14ac:dyDescent="0.3">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2" customHeight="1" x14ac:dyDescent="0.3">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2" customHeight="1" x14ac:dyDescent="0.3">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2" customHeight="1" x14ac:dyDescent="0.3">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2" customHeight="1" x14ac:dyDescent="0.3">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2" customHeight="1" x14ac:dyDescent="0.3">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2" customHeight="1" x14ac:dyDescent="0.3">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2" customHeight="1" x14ac:dyDescent="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2" customHeight="1" x14ac:dyDescent="0.3">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2" customHeight="1" x14ac:dyDescent="0.3">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2" customHeight="1" x14ac:dyDescent="0.3">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2" customHeight="1" x14ac:dyDescent="0.3">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2" customHeight="1" x14ac:dyDescent="0.3">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2" customHeight="1" x14ac:dyDescent="0.3">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2" customHeight="1" x14ac:dyDescent="0.3">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2" customHeight="1" x14ac:dyDescent="0.3">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2" customHeight="1" x14ac:dyDescent="0.3">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2" customHeight="1" x14ac:dyDescent="0.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2" customHeight="1" x14ac:dyDescent="0.3">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2" customHeight="1" x14ac:dyDescent="0.3">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2" customHeight="1" x14ac:dyDescent="0.3">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2" customHeight="1" x14ac:dyDescent="0.3">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2" customHeight="1" x14ac:dyDescent="0.3">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2" customHeight="1" x14ac:dyDescent="0.3">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2" customHeight="1" x14ac:dyDescent="0.3">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2" customHeight="1" x14ac:dyDescent="0.3">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2" customHeight="1" x14ac:dyDescent="0.3">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2" customHeight="1" x14ac:dyDescent="0.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2" customHeight="1" x14ac:dyDescent="0.3">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2" customHeight="1" x14ac:dyDescent="0.3">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2" customHeight="1" x14ac:dyDescent="0.3">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2" customHeight="1" x14ac:dyDescent="0.3">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2" customHeight="1" x14ac:dyDescent="0.3">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2" customHeight="1" x14ac:dyDescent="0.3">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2" customHeight="1" x14ac:dyDescent="0.3">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2" customHeight="1" x14ac:dyDescent="0.3">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2" customHeight="1" x14ac:dyDescent="0.3">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2" customHeight="1" x14ac:dyDescent="0.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2" customHeight="1" x14ac:dyDescent="0.3">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2" customHeight="1" x14ac:dyDescent="0.3">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2" customHeight="1" x14ac:dyDescent="0.3">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2" customHeight="1" x14ac:dyDescent="0.3">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2" customHeight="1" x14ac:dyDescent="0.3">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2" customHeight="1" x14ac:dyDescent="0.3">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2" customHeight="1" x14ac:dyDescent="0.3">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2" customHeight="1" x14ac:dyDescent="0.3">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2" customHeight="1" x14ac:dyDescent="0.3">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2" customHeight="1" x14ac:dyDescent="0.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2" customHeight="1" x14ac:dyDescent="0.3">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2" customHeight="1" x14ac:dyDescent="0.3">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2" customHeight="1" x14ac:dyDescent="0.3">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2" customHeight="1" x14ac:dyDescent="0.3">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2" customHeight="1" x14ac:dyDescent="0.3">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2" customHeight="1" x14ac:dyDescent="0.3">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2" customHeight="1" x14ac:dyDescent="0.3">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2" customHeight="1" x14ac:dyDescent="0.3">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2" customHeight="1" x14ac:dyDescent="0.3">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2" customHeight="1" x14ac:dyDescent="0.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2" customHeight="1" x14ac:dyDescent="0.3">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2" customHeight="1" x14ac:dyDescent="0.3">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2" customHeight="1" x14ac:dyDescent="0.3">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2" customHeight="1" x14ac:dyDescent="0.3">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2" customHeight="1" x14ac:dyDescent="0.3">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2" customHeight="1" x14ac:dyDescent="0.3">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2" customHeight="1" x14ac:dyDescent="0.3">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2" customHeight="1" x14ac:dyDescent="0.3">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2" customHeight="1" x14ac:dyDescent="0.3">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2" customHeight="1" x14ac:dyDescent="0.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2" customHeight="1" x14ac:dyDescent="0.3">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2" customHeight="1" x14ac:dyDescent="0.3">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2" customHeight="1" x14ac:dyDescent="0.3">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2" customHeight="1" x14ac:dyDescent="0.3">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2" customHeight="1" x14ac:dyDescent="0.3">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2" customHeight="1" x14ac:dyDescent="0.3">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2" customHeight="1" x14ac:dyDescent="0.3">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2" customHeight="1" x14ac:dyDescent="0.3">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2" customHeight="1" x14ac:dyDescent="0.3">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2" customHeight="1" x14ac:dyDescent="0.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2" customHeight="1" x14ac:dyDescent="0.3">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2" customHeight="1" x14ac:dyDescent="0.3">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2" customHeight="1" x14ac:dyDescent="0.3">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2" customHeight="1" x14ac:dyDescent="0.3">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2" customHeight="1" x14ac:dyDescent="0.3">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2" customHeight="1" x14ac:dyDescent="0.3">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2" customHeight="1" x14ac:dyDescent="0.3">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2" customHeight="1" x14ac:dyDescent="0.3">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2" customHeight="1" x14ac:dyDescent="0.3">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2" customHeight="1" x14ac:dyDescent="0.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2" customHeight="1" x14ac:dyDescent="0.3">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2" customHeight="1" x14ac:dyDescent="0.3">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2" customHeight="1" x14ac:dyDescent="0.3">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2" customHeight="1" x14ac:dyDescent="0.3">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2" customHeight="1" x14ac:dyDescent="0.3">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2" customHeight="1" x14ac:dyDescent="0.3">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2" customHeight="1" x14ac:dyDescent="0.3">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2" customHeight="1" x14ac:dyDescent="0.3">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2" customHeight="1" x14ac:dyDescent="0.3">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2" customHeight="1" x14ac:dyDescent="0.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2" customHeight="1" x14ac:dyDescent="0.3">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2" customHeight="1" x14ac:dyDescent="0.3">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2" customHeight="1" x14ac:dyDescent="0.3">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2" customHeight="1" x14ac:dyDescent="0.3">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2" customHeight="1" x14ac:dyDescent="0.3">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2" customHeight="1" x14ac:dyDescent="0.3">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2" customHeight="1" x14ac:dyDescent="0.3">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2" customHeight="1" x14ac:dyDescent="0.3">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2" customHeight="1" x14ac:dyDescent="0.3">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2" customHeight="1" x14ac:dyDescent="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2" customHeight="1" x14ac:dyDescent="0.3">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2" customHeight="1" x14ac:dyDescent="0.3">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2" customHeight="1" x14ac:dyDescent="0.3">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2" customHeight="1" x14ac:dyDescent="0.3">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2" customHeight="1" x14ac:dyDescent="0.3">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2" customHeight="1" x14ac:dyDescent="0.3">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2" customHeight="1" x14ac:dyDescent="0.3">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2" customHeight="1" x14ac:dyDescent="0.3">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2" customHeight="1" x14ac:dyDescent="0.3">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2" customHeight="1" x14ac:dyDescent="0.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2" customHeight="1" x14ac:dyDescent="0.3">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2" customHeight="1" x14ac:dyDescent="0.3">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2" customHeight="1" x14ac:dyDescent="0.3">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2" customHeight="1" x14ac:dyDescent="0.3">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2" customHeight="1" x14ac:dyDescent="0.3">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2" customHeight="1" x14ac:dyDescent="0.3">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2" customHeight="1" x14ac:dyDescent="0.3">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2" customHeight="1" x14ac:dyDescent="0.3">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2" customHeight="1" x14ac:dyDescent="0.3">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2" customHeight="1" x14ac:dyDescent="0.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2" customHeight="1" x14ac:dyDescent="0.3">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2" customHeight="1" x14ac:dyDescent="0.3">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2" customHeight="1" x14ac:dyDescent="0.3">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2" customHeight="1" x14ac:dyDescent="0.3">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2" customHeight="1" x14ac:dyDescent="0.3">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2" customHeight="1" x14ac:dyDescent="0.3">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2" customHeight="1" x14ac:dyDescent="0.3">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2" customHeight="1" x14ac:dyDescent="0.3">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2" customHeight="1" x14ac:dyDescent="0.3">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2" customHeight="1" x14ac:dyDescent="0.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2" customHeight="1" x14ac:dyDescent="0.3">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2" customHeight="1" x14ac:dyDescent="0.3">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2" customHeight="1" x14ac:dyDescent="0.3">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2" customHeight="1" x14ac:dyDescent="0.3">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2" customHeight="1" x14ac:dyDescent="0.3">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2" customHeight="1" x14ac:dyDescent="0.3">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2" customHeight="1" x14ac:dyDescent="0.3">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2" customHeight="1" x14ac:dyDescent="0.3">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2" customHeight="1" x14ac:dyDescent="0.3">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2" customHeight="1" x14ac:dyDescent="0.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2" customHeight="1" x14ac:dyDescent="0.3">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2" customHeight="1" x14ac:dyDescent="0.3">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2" customHeight="1" x14ac:dyDescent="0.3">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2" customHeight="1" x14ac:dyDescent="0.3">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2" customHeight="1" x14ac:dyDescent="0.3">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2" customHeight="1" x14ac:dyDescent="0.3">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2" customHeight="1" x14ac:dyDescent="0.3">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2" customHeight="1" x14ac:dyDescent="0.3">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2" customHeight="1" x14ac:dyDescent="0.3">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2" customHeight="1" x14ac:dyDescent="0.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2" customHeight="1" x14ac:dyDescent="0.3">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2" customHeight="1" x14ac:dyDescent="0.3">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2" customHeight="1" x14ac:dyDescent="0.3">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2" customHeight="1" x14ac:dyDescent="0.3">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2" customHeight="1" x14ac:dyDescent="0.3">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2" customHeight="1" x14ac:dyDescent="0.3">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2" customHeight="1" x14ac:dyDescent="0.3">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2" customHeight="1" x14ac:dyDescent="0.3">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2" customHeight="1" x14ac:dyDescent="0.3">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2" customHeight="1" x14ac:dyDescent="0.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2" customHeight="1" x14ac:dyDescent="0.3">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2" customHeight="1" x14ac:dyDescent="0.3">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2" customHeight="1" x14ac:dyDescent="0.3">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2" customHeight="1" x14ac:dyDescent="0.3">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2" customHeight="1" x14ac:dyDescent="0.3">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2" customHeight="1" x14ac:dyDescent="0.3">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2" customHeight="1" x14ac:dyDescent="0.3">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2" customHeight="1" x14ac:dyDescent="0.3">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2" customHeight="1" x14ac:dyDescent="0.3">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2" customHeight="1" x14ac:dyDescent="0.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2" customHeight="1" x14ac:dyDescent="0.3">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2" customHeight="1" x14ac:dyDescent="0.3">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2" customHeight="1" x14ac:dyDescent="0.3">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2" customHeight="1" x14ac:dyDescent="0.3">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2" customHeight="1" x14ac:dyDescent="0.3">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2" customHeight="1" x14ac:dyDescent="0.3">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2" customHeight="1" x14ac:dyDescent="0.3">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2" customHeight="1" x14ac:dyDescent="0.3">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2" customHeight="1" x14ac:dyDescent="0.3">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2" customHeight="1" x14ac:dyDescent="0.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2" customHeight="1" x14ac:dyDescent="0.3">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2" customHeight="1" x14ac:dyDescent="0.3">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2" customHeight="1" x14ac:dyDescent="0.3">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2" customHeight="1" x14ac:dyDescent="0.3">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2" customHeight="1" x14ac:dyDescent="0.3">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2" customHeight="1" x14ac:dyDescent="0.3">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2" customHeight="1" x14ac:dyDescent="0.3">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2" customHeight="1" x14ac:dyDescent="0.3">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2" customHeight="1" x14ac:dyDescent="0.3">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2" customHeight="1" x14ac:dyDescent="0.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2" customHeight="1" x14ac:dyDescent="0.3">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2" customHeight="1" x14ac:dyDescent="0.3">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2" customHeight="1" x14ac:dyDescent="0.3">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2" customHeight="1" x14ac:dyDescent="0.3">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2" customHeight="1" x14ac:dyDescent="0.3">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2" customHeight="1" x14ac:dyDescent="0.3">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2" customHeight="1" x14ac:dyDescent="0.3">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mergeCells count="41">
    <mergeCell ref="B2:H2"/>
    <mergeCell ref="B3:C4"/>
    <mergeCell ref="D3:H3"/>
    <mergeCell ref="B5:B9"/>
    <mergeCell ref="B11:H11"/>
    <mergeCell ref="B12:C12"/>
    <mergeCell ref="D12:H12"/>
    <mergeCell ref="B13:C13"/>
    <mergeCell ref="D13:H13"/>
    <mergeCell ref="B14:C14"/>
    <mergeCell ref="D14:H14"/>
    <mergeCell ref="B15:C15"/>
    <mergeCell ref="D15:H15"/>
    <mergeCell ref="D16:H16"/>
    <mergeCell ref="D25:H25"/>
    <mergeCell ref="B27:H27"/>
    <mergeCell ref="D17:H17"/>
    <mergeCell ref="B19:H19"/>
    <mergeCell ref="D20:H20"/>
    <mergeCell ref="D21:H21"/>
    <mergeCell ref="D22:H22"/>
    <mergeCell ref="D23:H23"/>
    <mergeCell ref="D24:H24"/>
    <mergeCell ref="B25:C25"/>
    <mergeCell ref="B16:C16"/>
    <mergeCell ref="B17:C17"/>
    <mergeCell ref="B20:C20"/>
    <mergeCell ref="B29:C29"/>
    <mergeCell ref="B30:C30"/>
    <mergeCell ref="B31:C31"/>
    <mergeCell ref="B32:C32"/>
    <mergeCell ref="D28:H28"/>
    <mergeCell ref="D29:H29"/>
    <mergeCell ref="D30:H30"/>
    <mergeCell ref="D31:H31"/>
    <mergeCell ref="D32:H32"/>
    <mergeCell ref="B21:C21"/>
    <mergeCell ref="B22:C22"/>
    <mergeCell ref="B23:C23"/>
    <mergeCell ref="B24:C24"/>
    <mergeCell ref="B28:C28"/>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lient_x0020_Sales_x0020_Region xmlns="7f2c612f-2cae-471f-80f7-2730df43b7ae">FEDERAL GOVT</Client_x0020_Sales_x0020_Region>
    <Bid_x0020_Document_x0020_Type xmlns="7f2c612f-2cae-471f-80f7-2730df43b7ae" xsi:nil="true"/>
    <Opportunity_x0020__x0023_ xmlns="2f3b332e-b9dc-477b-975a-f99bd97059a4">APAC-188291</Opportunity_x0020__x0023_>
    <Client_x0020_Name xmlns="7f2c612f-2cae-471f-80f7-2730df43b7ae">Defence</Client_x0020_Nam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Bid Document" ma:contentTypeID="0x0101003619A274CF03924DA273BE4A79490F89" ma:contentTypeVersion="0" ma:contentTypeDescription="Bid Document Content Type" ma:contentTypeScope="" ma:versionID="4c9219860752aa295dc71dcd1d3bf110">
  <xsd:schema xmlns:xsd="http://www.w3.org/2001/XMLSchema" xmlns:xs="http://www.w3.org/2001/XMLSchema" xmlns:p="http://schemas.microsoft.com/office/2006/metadata/properties" xmlns:ns1="http://schemas.microsoft.com/sharepoint/v3" xmlns:ns3="7f2c612f-2cae-471f-80f7-2730df43b7ae" xmlns:ns4="2f3b332e-b9dc-477b-975a-f99bd97059a4" targetNamespace="http://schemas.microsoft.com/office/2006/metadata/properties" ma:root="true" ma:fieldsID="ec97e33b0a6342d65e8a0f9519d6ba72" ns1:_="" ns3:_="" ns4:_="">
    <xsd:import namespace="http://schemas.microsoft.com/sharepoint/v3"/>
    <xsd:import namespace="7f2c612f-2cae-471f-80f7-2730df43b7ae"/>
    <xsd:import namespace="2f3b332e-b9dc-477b-975a-f99bd97059a4"/>
    <xsd:element name="properties">
      <xsd:complexType>
        <xsd:sequence>
          <xsd:element name="documentManagement">
            <xsd:complexType>
              <xsd:all>
                <xsd:element ref="ns1:_dlc_Exempt" minOccurs="0"/>
                <xsd:element ref="ns3:Bid_x0020_Document_x0020_Type" minOccurs="0"/>
                <xsd:element ref="ns4:Opportunity_x0020__x0023_" minOccurs="0"/>
                <xsd:element ref="ns3:Client_x0020_Name" minOccurs="0"/>
                <xsd:element ref="ns3:Client_x0020_Sales_x0020_Reg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f2c612f-2cae-471f-80f7-2730df43b7ae" elementFormDefault="qualified">
    <xsd:import namespace="http://schemas.microsoft.com/office/2006/documentManagement/types"/>
    <xsd:import namespace="http://schemas.microsoft.com/office/infopath/2007/PartnerControls"/>
    <xsd:element name="Bid_x0020_Document_x0020_Type" ma:index="10" nillable="true" ma:displayName="Bid Document Type" ma:format="Dropdown" ma:internalName="Bid_x0020_Document_x0020_Type0">
      <xsd:simpleType>
        <xsd:restriction base="dms:Choice">
          <xsd:enumeration value="BAR Pack"/>
          <xsd:enumeration value="Bid Directive"/>
          <xsd:enumeration value="Bid No Bid Review Pack"/>
          <xsd:enumeration value="Bid Reference Material"/>
          <xsd:enumeration value="CAR Pack"/>
          <xsd:enumeration value="Contract"/>
          <xsd:enumeration value="Executive Summary"/>
          <xsd:enumeration value="Financial Executive Summary"/>
          <xsd:enumeration value="Miscellaneous"/>
          <xsd:enumeration value="Proposal"/>
          <xsd:enumeration value="RFP Response"/>
          <xsd:enumeration value="RFI Response"/>
          <xsd:enumeration value="BAFO"/>
          <xsd:enumeration value="Risk Plan/Assessment"/>
          <xsd:enumeration value="Sales Guide"/>
          <xsd:enumeration value="Solution Architecture Design"/>
          <xsd:enumeration value="Other"/>
        </xsd:restriction>
      </xsd:simpleType>
    </xsd:element>
    <xsd:element name="Client_x0020_Name" ma:index="12" nillable="true" ma:displayName="Client Name" ma:default="Defence" ma:description="Client Name" ma:internalName="Client_x0020_Name0">
      <xsd:simpleType>
        <xsd:restriction base="dms:Text">
          <xsd:maxLength value="255"/>
        </xsd:restriction>
      </xsd:simpleType>
    </xsd:element>
    <xsd:element name="Client_x0020_Sales_x0020_Region" ma:index="13" nillable="true" ma:displayName="Client Sales Region" ma:default="FEDERAL GOVT" ma:format="Dropdown" ma:internalName="Client_x0020_Sales_x0020_Region0">
      <xsd:simpleType>
        <xsd:restriction base="dms:Choice">
          <xsd:enumeration value="FEDERAL GOVT"/>
          <xsd:enumeration value="ACT"/>
          <xsd:enumeration value="NSW"/>
          <xsd:enumeration value="NT"/>
          <xsd:enumeration value="QLD"/>
          <xsd:enumeration value="SA"/>
          <xsd:enumeration value="TAS"/>
          <xsd:enumeration value="WA"/>
          <xsd:enumeration value="VIC"/>
          <xsd:enumeration value="NZ"/>
          <xsd:enumeration value="ALL"/>
          <xsd:enumeration value="GLOBAL"/>
        </xsd:restriction>
      </xsd:simpleType>
    </xsd:element>
  </xsd:schema>
  <xsd:schema xmlns:xsd="http://www.w3.org/2001/XMLSchema" xmlns:xs="http://www.w3.org/2001/XMLSchema" xmlns:dms="http://schemas.microsoft.com/office/2006/documentManagement/types" xmlns:pc="http://schemas.microsoft.com/office/infopath/2007/PartnerControls" targetNamespace="2f3b332e-b9dc-477b-975a-f99bd97059a4" elementFormDefault="qualified">
    <xsd:import namespace="http://schemas.microsoft.com/office/2006/documentManagement/types"/>
    <xsd:import namespace="http://schemas.microsoft.com/office/infopath/2007/PartnerControls"/>
    <xsd:element name="Opportunity_x0020__x0023_" ma:index="11" nillable="true" ma:displayName="Opportunity #" ma:default="APAC-188291" ma:description="This is the FSP (Fujitsu Sales Pipeline - SalesForce) opportunity number, e.g. FANZ-123456." ma:internalName="Opportunity_x0020__x0023_0">
      <xsd:simpleType>
        <xsd:restriction base="dms:Text">
          <xsd:maxLength value="12"/>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9"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5.xml><?xml version="1.0" encoding="utf-8"?>
<?mso-contentType ?>
<p:Policy xmlns:p="office.server.policy" id="" local="true">
  <p:Name>Document</p:Name>
  <p:Description/>
  <p:Statement/>
  <p:PolicyItems>
    <p:PolicyItem featureId="Microsoft.Office.RecordsManagement.PolicyFeatures.PolicyAudit" staticId="0x0101|8138272" UniqueId="119fceb1-640d-4e60-a868-87308dd1b8e9">
      <p:Name>Auditing</p:Name>
      <p:Description>Audits user actions on documents and list items to the Audit Log.</p:Description>
      <p:CustomData>
        <Audit>
          <Update/>
          <View/>
          <CheckInOut/>
          <MoveCopy/>
          <DeleteRestore/>
        </Audit>
      </p:CustomData>
    </p:PolicyItem>
  </p:PolicyItems>
</p:Policy>
</file>

<file path=customXml/itemProps1.xml><?xml version="1.0" encoding="utf-8"?>
<ds:datastoreItem xmlns:ds="http://schemas.openxmlformats.org/officeDocument/2006/customXml" ds:itemID="{3FC0D222-BDD2-4BE8-A8A0-EC56DEECC175}">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be9a9663-6dfe-41fa-9e78-ea8380aea6e3"/>
    <ds:schemaRef ds:uri="http://schemas.openxmlformats.org/package/2006/metadata/core-properties"/>
    <ds:schemaRef ds:uri="4e7ededa-c9d8-459d-a7aa-81d0e8ef2fa0"/>
    <ds:schemaRef ds:uri="e8d5214a-1623-4159-b624-53a2b4b3c52e"/>
    <ds:schemaRef ds:uri="http://www.w3.org/XML/1998/namespace"/>
    <ds:schemaRef ds:uri="http://purl.org/dc/dcmitype/"/>
  </ds:schemaRefs>
</ds:datastoreItem>
</file>

<file path=customXml/itemProps2.xml><?xml version="1.0" encoding="utf-8"?>
<ds:datastoreItem xmlns:ds="http://schemas.openxmlformats.org/officeDocument/2006/customXml" ds:itemID="{29D31B88-8D6B-4DCD-BA7A-27830AAB8A8E}">
  <ds:schemaRefs>
    <ds:schemaRef ds:uri="http://schemas.microsoft.com/sharepoint/v3/contenttype/forms"/>
  </ds:schemaRefs>
</ds:datastoreItem>
</file>

<file path=customXml/itemProps3.xml><?xml version="1.0" encoding="utf-8"?>
<ds:datastoreItem xmlns:ds="http://schemas.openxmlformats.org/officeDocument/2006/customXml" ds:itemID="{E3F2C3EF-B38D-4F1A-8229-B9E1F77C6C36}"/>
</file>

<file path=customXml/itemProps4.xml><?xml version="1.0" encoding="utf-8"?>
<ds:datastoreItem xmlns:ds="http://schemas.openxmlformats.org/officeDocument/2006/customXml" ds:itemID="{9C43A0C3-E95F-4757-A350-50541647CE25}"/>
</file>

<file path=customXml/itemProps5.xml><?xml version="1.0" encoding="utf-8"?>
<ds:datastoreItem xmlns:ds="http://schemas.openxmlformats.org/officeDocument/2006/customXml" ds:itemID="{30F0207F-FDF9-4C49-827D-378B021D8D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Basis of Estimate</vt:lpstr>
      <vt:lpstr>2.Risk Register (Delete if N-A)</vt:lpstr>
      <vt:lpstr>3. Risk Management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Marc MR 2</dc:creator>
  <cp:lastModifiedBy>Cupples, Rowena MRS</cp:lastModifiedBy>
  <dcterms:created xsi:type="dcterms:W3CDTF">2022-10-20T00:49:19Z</dcterms:created>
  <dcterms:modified xsi:type="dcterms:W3CDTF">2025-07-10T01:17:39Z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BO46537711</vt:lpwstr>
  </property>
  <property fmtid="{D5CDD505-2E9C-101B-9397-08002B2CF9AE}" pid="4" name="Objective-Title">
    <vt:lpwstr>NMP59714 - PKI Policy Support - Basis of Estimate BoE</vt:lpwstr>
  </property>
  <property fmtid="{D5CDD505-2E9C-101B-9397-08002B2CF9AE}" pid="5" name="Objective-Comment">
    <vt:lpwstr/>
  </property>
  <property fmtid="{D5CDD505-2E9C-101B-9397-08002B2CF9AE}" pid="6" name="Objective-CreationStamp">
    <vt:filetime>2025-05-19T04:20:53Z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2025-05-19T04:20:53Z</vt:filetime>
  </property>
  <property fmtid="{D5CDD505-2E9C-101B-9397-08002B2CF9AE}" pid="10" name="Objective-ModificationStamp">
    <vt:filetime>2025-05-19T14:03:36Z</vt:filetime>
  </property>
  <property fmtid="{D5CDD505-2E9C-101B-9397-08002B2CF9AE}" pid="11" name="Objective-Owner">
    <vt:lpwstr>Defence</vt:lpwstr>
  </property>
  <property fmtid="{D5CDD505-2E9C-101B-9397-08002B2CF9AE}" pid="12" name="Objective-Path">
    <vt:lpwstr>Objective Global Folder - PROD:Defence Business Units:Joint Capabilities Group:Cyber Operations Division:COD : Cyber Operations Division:ETOB: Enterprise Technology Operations Branch:DDIS - Directorate Digital Identity Services:09 - Finance, Procurement a</vt:lpwstr>
  </property>
  <property fmtid="{D5CDD505-2E9C-101B-9397-08002B2CF9AE}" pid="13" name="Objective-Parent">
    <vt:lpwstr>02 - Approach to Market Phase (DRAFT SOW, WO)</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i4>1</vt:i4>
  </property>
  <property fmtid="{D5CDD505-2E9C-101B-9397-08002B2CF9AE}" pid="17" name="Objective-VersionComment">
    <vt:lpwstr>First version</vt:lpwstr>
  </property>
  <property fmtid="{D5CDD505-2E9C-101B-9397-08002B2CF9AE}" pid="18" name="Objective-FileNumber">
    <vt:lpwstr/>
  </property>
  <property fmtid="{D5CDD505-2E9C-101B-9397-08002B2CF9AE}" pid="19" name="Objective-Classification">
    <vt:lpwstr>[Inherited - Official]</vt:lpwstr>
  </property>
  <property fmtid="{D5CDD505-2E9C-101B-9397-08002B2CF9AE}" pid="20" name="Objective-Caveats">
    <vt:lpwstr/>
  </property>
  <property fmtid="{D5CDD505-2E9C-101B-9397-08002B2CF9AE}" pid="21" name="Objective-Document Type [system]">
    <vt:lpwstr/>
  </property>
  <property fmtid="{D5CDD505-2E9C-101B-9397-08002B2CF9AE}" pid="22" name="Objective-Reason for Security Classification Change [system]">
    <vt:lpwstr/>
  </property>
  <property fmtid="{D5CDD505-2E9C-101B-9397-08002B2CF9AE}" pid="23" name="ContentTypeId">
    <vt:lpwstr>0x0101003619A274CF03924DA273BE4A79490F89</vt:lpwstr>
  </property>
  <property fmtid="{D5CDD505-2E9C-101B-9397-08002B2CF9AE}" pid="24" name="MediaServiceImageTags">
    <vt:lpwstr/>
  </property>
</Properties>
</file>