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mc:AlternateContent xmlns:mc="http://schemas.openxmlformats.org/markup-compatibility/2006">
    <mc:Choice Requires="x15">
      <x15ac:absPath xmlns:x15ac="http://schemas.microsoft.com/office/spreadsheetml/2010/11/ac" url="https://sharedservicescentre-my.sharepoint.com/personal/natalie_leschev_dewr_gov_au/Documents/Desktop/"/>
    </mc:Choice>
  </mc:AlternateContent>
  <xr:revisionPtr revIDLastSave="0" documentId="8_{847605A1-0228-4EFA-9282-57A03D6F72BD}" xr6:coauthVersionLast="47" xr6:coauthVersionMax="47" xr10:uidLastSave="{00000000-0000-0000-0000-000000000000}"/>
  <bookViews>
    <workbookView xWindow="4680" yWindow="1800" windowWidth="21600" windowHeight="11295" xr2:uid="{1E272B44-AA1E-4EC8-8ADE-4430C112CB68}"/>
  </bookViews>
  <sheets>
    <sheet name="Instructions" sheetId="10" r:id="rId1"/>
    <sheet name="Project details" sheetId="30" r:id="rId2"/>
    <sheet name="Project data" sheetId="32" state="hidden" r:id="rId3"/>
    <sheet name="Participant reporting" sheetId="21" r:id="rId4"/>
    <sheet name="Participant data" sheetId="34" state="hidden" r:id="rId5"/>
    <sheet name="Quarter 1 report" sheetId="22" r:id="rId6"/>
    <sheet name="Quarter 2 report" sheetId="36" r:id="rId7"/>
    <sheet name="Quarter 3 report" sheetId="37" r:id="rId8"/>
    <sheet name="Quarter 4 report" sheetId="38" r:id="rId9"/>
    <sheet name="Quarterly report data" sheetId="33" state="hidden" r:id="rId10"/>
    <sheet name="Financial year summary" sheetId="31" r:id="rId11"/>
    <sheet name="End of project report" sheetId="25" r:id="rId12"/>
    <sheet name="End of project data" sheetId="35" state="hidden" r:id="rId13"/>
    <sheet name="Estimates" sheetId="26" state="hidden" r:id="rId14"/>
    <sheet name="List values" sheetId="20" state="hidden" r:id="rId15"/>
  </sheets>
  <definedNames>
    <definedName name="_xlnm._FilterDatabase" localSheetId="3" hidden="1">'Participant reporting'!$A$5:$O$256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22" l="1"/>
  <c r="G14" i="22"/>
  <c r="G15" i="36"/>
  <c r="G14" i="36"/>
  <c r="G15" i="37"/>
  <c r="G14" i="37"/>
  <c r="G15" i="38"/>
  <c r="G14" i="38"/>
  <c r="D18" i="31"/>
  <c r="F20" i="31"/>
  <c r="F11" i="31"/>
  <c r="Y5" i="33"/>
  <c r="X5" i="33"/>
  <c r="W5" i="33"/>
  <c r="V5" i="33"/>
  <c r="U5" i="33"/>
  <c r="T5" i="33"/>
  <c r="S5" i="33"/>
  <c r="R5" i="33"/>
  <c r="Q5" i="33"/>
  <c r="P5" i="33"/>
  <c r="O5" i="33"/>
  <c r="N5" i="33"/>
  <c r="M5" i="33"/>
  <c r="L5" i="33"/>
  <c r="K5" i="33"/>
  <c r="J5" i="33"/>
  <c r="I5" i="33"/>
  <c r="H5" i="33"/>
  <c r="G5" i="33"/>
  <c r="F5" i="33"/>
  <c r="E5" i="33"/>
  <c r="D5" i="33"/>
  <c r="C5" i="33"/>
  <c r="B5" i="33"/>
  <c r="A5" i="33"/>
  <c r="Y4" i="33"/>
  <c r="X4" i="33"/>
  <c r="W4" i="33"/>
  <c r="V4" i="33"/>
  <c r="U4" i="33"/>
  <c r="T4" i="33"/>
  <c r="S4" i="33"/>
  <c r="R4" i="33"/>
  <c r="Q4" i="33"/>
  <c r="P4" i="33"/>
  <c r="O4" i="33"/>
  <c r="N4" i="33"/>
  <c r="M4" i="33"/>
  <c r="L4" i="33"/>
  <c r="K4" i="33"/>
  <c r="J4" i="33"/>
  <c r="I4" i="33"/>
  <c r="H4" i="33"/>
  <c r="G4" i="33"/>
  <c r="F4" i="33"/>
  <c r="E4" i="33"/>
  <c r="D4" i="33"/>
  <c r="C4" i="33"/>
  <c r="B4" i="33"/>
  <c r="A4" i="33"/>
  <c r="Y3" i="33"/>
  <c r="X3" i="33"/>
  <c r="W3" i="33"/>
  <c r="V3" i="33"/>
  <c r="U3" i="33"/>
  <c r="T3" i="33"/>
  <c r="S3" i="33"/>
  <c r="R3" i="33"/>
  <c r="Q3" i="33"/>
  <c r="P3" i="33"/>
  <c r="O3" i="33"/>
  <c r="N3" i="33"/>
  <c r="M3" i="33"/>
  <c r="L3" i="33"/>
  <c r="K3" i="33"/>
  <c r="J3" i="33"/>
  <c r="I3" i="33"/>
  <c r="H3" i="33"/>
  <c r="G3" i="33"/>
  <c r="F3" i="33"/>
  <c r="E3" i="33"/>
  <c r="D3" i="33"/>
  <c r="C3" i="33"/>
  <c r="B3" i="33"/>
  <c r="A3" i="33"/>
  <c r="Y2" i="33"/>
  <c r="X2" i="33"/>
  <c r="W2" i="33"/>
  <c r="V2" i="33"/>
  <c r="U2" i="33"/>
  <c r="T2" i="33"/>
  <c r="S2" i="33"/>
  <c r="R2" i="33"/>
  <c r="Q2" i="33"/>
  <c r="P2" i="33"/>
  <c r="O2" i="33"/>
  <c r="N2" i="33"/>
  <c r="M2" i="33"/>
  <c r="L2" i="33"/>
  <c r="K2" i="33"/>
  <c r="J2" i="33"/>
  <c r="I2" i="33"/>
  <c r="H2" i="33"/>
  <c r="G2" i="33"/>
  <c r="F2" i="33"/>
  <c r="E2" i="33"/>
  <c r="D2" i="33"/>
  <c r="C2" i="33"/>
  <c r="B2" i="33"/>
  <c r="A2" i="33"/>
  <c r="C21" i="38"/>
  <c r="C20" i="38"/>
  <c r="D21" i="38" s="1"/>
  <c r="C15" i="38"/>
  <c r="C14" i="38"/>
  <c r="D15" i="38" s="1"/>
  <c r="C8" i="38"/>
  <c r="D16" i="38" s="1"/>
  <c r="C7" i="38"/>
  <c r="C21" i="37"/>
  <c r="C20" i="37"/>
  <c r="D21" i="37" s="1"/>
  <c r="C15" i="37"/>
  <c r="C14" i="37"/>
  <c r="D15" i="37" s="1"/>
  <c r="C8" i="37"/>
  <c r="D16" i="37" s="1"/>
  <c r="C7" i="37"/>
  <c r="C21" i="36"/>
  <c r="C20" i="36"/>
  <c r="D21" i="36" s="1"/>
  <c r="C15" i="36"/>
  <c r="C14" i="36"/>
  <c r="D15" i="36" s="1"/>
  <c r="C8" i="36"/>
  <c r="D16" i="36" s="1"/>
  <c r="C7" i="36"/>
  <c r="H2" i="35"/>
  <c r="G2" i="35"/>
  <c r="F2" i="35"/>
  <c r="E2" i="35"/>
  <c r="D2" i="35"/>
  <c r="C2" i="35"/>
  <c r="B2" i="35"/>
  <c r="A2" i="35"/>
  <c r="AC2" i="32"/>
  <c r="AI2" i="32"/>
  <c r="AJ2" i="32"/>
  <c r="AK2" i="32"/>
  <c r="AL2" i="32"/>
  <c r="AM2" i="32"/>
  <c r="AN2" i="32"/>
  <c r="AO2" i="32"/>
  <c r="AP2" i="32"/>
  <c r="AQ2" i="32"/>
  <c r="AR2" i="32"/>
  <c r="AS2" i="32"/>
  <c r="AT2" i="32"/>
  <c r="AU2" i="32"/>
  <c r="AV2" i="32"/>
  <c r="AW2" i="32"/>
  <c r="AX2" i="32"/>
  <c r="AY2" i="32"/>
  <c r="AZ2" i="32"/>
  <c r="BA2" i="32"/>
  <c r="BB2" i="32"/>
  <c r="BC2" i="32"/>
  <c r="BD2" i="32"/>
  <c r="BE2" i="32"/>
  <c r="BF2" i="32"/>
  <c r="BG2" i="32"/>
  <c r="BH2" i="32"/>
  <c r="BI2" i="32"/>
  <c r="BJ2" i="32"/>
  <c r="BK2" i="32"/>
  <c r="BL2" i="32"/>
  <c r="BM2" i="32"/>
  <c r="BN2" i="32"/>
  <c r="BO2" i="32"/>
  <c r="BP2" i="32"/>
  <c r="BQ2" i="32"/>
  <c r="BR2" i="32"/>
  <c r="AG2" i="32"/>
  <c r="AH2" i="32"/>
  <c r="AF2" i="32"/>
  <c r="AE2" i="32"/>
  <c r="AD2" i="32"/>
  <c r="AB2" i="32"/>
  <c r="AA2" i="32"/>
  <c r="Z2" i="32"/>
  <c r="Y2" i="32"/>
  <c r="X2" i="32"/>
  <c r="W2" i="32"/>
  <c r="V2" i="32"/>
  <c r="U2" i="32"/>
  <c r="T2" i="32"/>
  <c r="S2" i="32"/>
  <c r="R2" i="32"/>
  <c r="Q2" i="32"/>
  <c r="P2" i="32"/>
  <c r="O2" i="32"/>
  <c r="N2" i="32"/>
  <c r="M2" i="32"/>
  <c r="L2" i="32"/>
  <c r="K2" i="32"/>
  <c r="J2" i="32"/>
  <c r="I2" i="32"/>
  <c r="H2" i="32"/>
  <c r="G2" i="32"/>
  <c r="F2" i="32"/>
  <c r="E2" i="32"/>
  <c r="D2" i="32"/>
  <c r="C2" i="32"/>
  <c r="B2" i="32"/>
  <c r="A2" i="32"/>
  <c r="A3" i="34"/>
  <c r="B3" i="34"/>
  <c r="C3" i="34"/>
  <c r="D3" i="34"/>
  <c r="E3" i="34"/>
  <c r="F3" i="34"/>
  <c r="G3" i="34"/>
  <c r="H3" i="34"/>
  <c r="I3" i="34"/>
  <c r="J3" i="34"/>
  <c r="K3" i="34"/>
  <c r="L3" i="34"/>
  <c r="M3" i="34"/>
  <c r="N3" i="34"/>
  <c r="O3" i="34"/>
  <c r="A4" i="34"/>
  <c r="B4" i="34"/>
  <c r="C4" i="34"/>
  <c r="D4" i="34"/>
  <c r="E4" i="34"/>
  <c r="F4" i="34"/>
  <c r="G4" i="34"/>
  <c r="H4" i="34"/>
  <c r="I4" i="34"/>
  <c r="J4" i="34"/>
  <c r="K4" i="34"/>
  <c r="L4" i="34"/>
  <c r="M4" i="34"/>
  <c r="N4" i="34"/>
  <c r="O4" i="34"/>
  <c r="A5" i="34"/>
  <c r="B5" i="34"/>
  <c r="C5" i="34"/>
  <c r="D5" i="34"/>
  <c r="E5" i="34"/>
  <c r="F5" i="34"/>
  <c r="G5" i="34"/>
  <c r="H5" i="34"/>
  <c r="I5" i="34"/>
  <c r="J5" i="34"/>
  <c r="K5" i="34"/>
  <c r="L5" i="34"/>
  <c r="M5" i="34"/>
  <c r="N5" i="34"/>
  <c r="O5" i="34"/>
  <c r="A6" i="34"/>
  <c r="B6" i="34"/>
  <c r="C6" i="34"/>
  <c r="D6" i="34"/>
  <c r="E6" i="34"/>
  <c r="F6" i="34"/>
  <c r="G6" i="34"/>
  <c r="H6" i="34"/>
  <c r="I6" i="34"/>
  <c r="J6" i="34"/>
  <c r="K6" i="34"/>
  <c r="L6" i="34"/>
  <c r="M6" i="34"/>
  <c r="N6" i="34"/>
  <c r="O6" i="34"/>
  <c r="A7" i="34"/>
  <c r="B7" i="34"/>
  <c r="C7" i="34"/>
  <c r="D7" i="34"/>
  <c r="E7" i="34"/>
  <c r="F7" i="34"/>
  <c r="G7" i="34"/>
  <c r="H7" i="34"/>
  <c r="I7" i="34"/>
  <c r="J7" i="34"/>
  <c r="K7" i="34"/>
  <c r="L7" i="34"/>
  <c r="M7" i="34"/>
  <c r="N7" i="34"/>
  <c r="O7" i="34"/>
  <c r="A8" i="34"/>
  <c r="B8" i="34"/>
  <c r="C8" i="34"/>
  <c r="D8" i="34"/>
  <c r="E8" i="34"/>
  <c r="F8" i="34"/>
  <c r="G8" i="34"/>
  <c r="H8" i="34"/>
  <c r="I8" i="34"/>
  <c r="J8" i="34"/>
  <c r="K8" i="34"/>
  <c r="L8" i="34"/>
  <c r="M8" i="34"/>
  <c r="N8" i="34"/>
  <c r="O8" i="34"/>
  <c r="A9" i="34"/>
  <c r="B9" i="34"/>
  <c r="C9" i="34"/>
  <c r="D9" i="34"/>
  <c r="E9" i="34"/>
  <c r="F9" i="34"/>
  <c r="G9" i="34"/>
  <c r="H9" i="34"/>
  <c r="I9" i="34"/>
  <c r="J9" i="34"/>
  <c r="K9" i="34"/>
  <c r="L9" i="34"/>
  <c r="M9" i="34"/>
  <c r="N9" i="34"/>
  <c r="O9" i="34"/>
  <c r="A10" i="34"/>
  <c r="B10" i="34"/>
  <c r="C10" i="34"/>
  <c r="D10" i="34"/>
  <c r="E10" i="34"/>
  <c r="F10" i="34"/>
  <c r="G10" i="34"/>
  <c r="H10" i="34"/>
  <c r="I10" i="34"/>
  <c r="J10" i="34"/>
  <c r="K10" i="34"/>
  <c r="L10" i="34"/>
  <c r="M10" i="34"/>
  <c r="N10" i="34"/>
  <c r="O10" i="34"/>
  <c r="A11" i="34"/>
  <c r="B11" i="34"/>
  <c r="C11" i="34"/>
  <c r="D11" i="34"/>
  <c r="E11" i="34"/>
  <c r="F11" i="34"/>
  <c r="G11" i="34"/>
  <c r="H11" i="34"/>
  <c r="I11" i="34"/>
  <c r="J11" i="34"/>
  <c r="K11" i="34"/>
  <c r="L11" i="34"/>
  <c r="M11" i="34"/>
  <c r="N11" i="34"/>
  <c r="O11" i="34"/>
  <c r="A12" i="34"/>
  <c r="B12" i="34"/>
  <c r="C12" i="34"/>
  <c r="D12" i="34"/>
  <c r="E12" i="34"/>
  <c r="F12" i="34"/>
  <c r="G12" i="34"/>
  <c r="H12" i="34"/>
  <c r="I12" i="34"/>
  <c r="J12" i="34"/>
  <c r="K12" i="34"/>
  <c r="L12" i="34"/>
  <c r="M12" i="34"/>
  <c r="N12" i="34"/>
  <c r="O12" i="34"/>
  <c r="A13" i="34"/>
  <c r="B13" i="34"/>
  <c r="C13" i="34"/>
  <c r="D13" i="34"/>
  <c r="E13" i="34"/>
  <c r="F13" i="34"/>
  <c r="G13" i="34"/>
  <c r="H13" i="34"/>
  <c r="I13" i="34"/>
  <c r="J13" i="34"/>
  <c r="K13" i="34"/>
  <c r="L13" i="34"/>
  <c r="M13" i="34"/>
  <c r="N13" i="34"/>
  <c r="O13" i="34"/>
  <c r="A14" i="34"/>
  <c r="B14" i="34"/>
  <c r="C14" i="34"/>
  <c r="D14" i="34"/>
  <c r="E14" i="34"/>
  <c r="F14" i="34"/>
  <c r="G14" i="34"/>
  <c r="H14" i="34"/>
  <c r="I14" i="34"/>
  <c r="J14" i="34"/>
  <c r="K14" i="34"/>
  <c r="L14" i="34"/>
  <c r="M14" i="34"/>
  <c r="N14" i="34"/>
  <c r="O14" i="34"/>
  <c r="A15" i="34"/>
  <c r="B15" i="34"/>
  <c r="C15" i="34"/>
  <c r="D15" i="34"/>
  <c r="E15" i="34"/>
  <c r="F15" i="34"/>
  <c r="G15" i="34"/>
  <c r="H15" i="34"/>
  <c r="I15" i="34"/>
  <c r="J15" i="34"/>
  <c r="K15" i="34"/>
  <c r="L15" i="34"/>
  <c r="M15" i="34"/>
  <c r="N15" i="34"/>
  <c r="O15" i="34"/>
  <c r="A16" i="34"/>
  <c r="B16" i="34"/>
  <c r="C16" i="34"/>
  <c r="D16" i="34"/>
  <c r="E16" i="34"/>
  <c r="F16" i="34"/>
  <c r="G16" i="34"/>
  <c r="H16" i="34"/>
  <c r="I16" i="34"/>
  <c r="J16" i="34"/>
  <c r="K16" i="34"/>
  <c r="L16" i="34"/>
  <c r="M16" i="34"/>
  <c r="N16" i="34"/>
  <c r="O16" i="34"/>
  <c r="A17" i="34"/>
  <c r="B17" i="34"/>
  <c r="C17" i="34"/>
  <c r="D17" i="34"/>
  <c r="E17" i="34"/>
  <c r="F17" i="34"/>
  <c r="G17" i="34"/>
  <c r="H17" i="34"/>
  <c r="I17" i="34"/>
  <c r="J17" i="34"/>
  <c r="K17" i="34"/>
  <c r="L17" i="34"/>
  <c r="M17" i="34"/>
  <c r="N17" i="34"/>
  <c r="O17" i="34"/>
  <c r="A18" i="34"/>
  <c r="B18" i="34"/>
  <c r="C18" i="34"/>
  <c r="D18" i="34"/>
  <c r="E18" i="34"/>
  <c r="F18" i="34"/>
  <c r="G18" i="34"/>
  <c r="H18" i="34"/>
  <c r="I18" i="34"/>
  <c r="J18" i="34"/>
  <c r="K18" i="34"/>
  <c r="L18" i="34"/>
  <c r="M18" i="34"/>
  <c r="N18" i="34"/>
  <c r="O18" i="34"/>
  <c r="A19" i="34"/>
  <c r="B19" i="34"/>
  <c r="C19" i="34"/>
  <c r="D19" i="34"/>
  <c r="E19" i="34"/>
  <c r="F19" i="34"/>
  <c r="G19" i="34"/>
  <c r="H19" i="34"/>
  <c r="I19" i="34"/>
  <c r="J19" i="34"/>
  <c r="K19" i="34"/>
  <c r="L19" i="34"/>
  <c r="M19" i="34"/>
  <c r="N19" i="34"/>
  <c r="O19" i="34"/>
  <c r="A20" i="34"/>
  <c r="B20" i="34"/>
  <c r="C20" i="34"/>
  <c r="D20" i="34"/>
  <c r="E20" i="34"/>
  <c r="F20" i="34"/>
  <c r="G20" i="34"/>
  <c r="H20" i="34"/>
  <c r="I20" i="34"/>
  <c r="J20" i="34"/>
  <c r="K20" i="34"/>
  <c r="L20" i="34"/>
  <c r="M20" i="34"/>
  <c r="N20" i="34"/>
  <c r="O20" i="34"/>
  <c r="A21" i="34"/>
  <c r="B21" i="34"/>
  <c r="C21" i="34"/>
  <c r="D21" i="34"/>
  <c r="E21" i="34"/>
  <c r="F21" i="34"/>
  <c r="G21" i="34"/>
  <c r="H21" i="34"/>
  <c r="I21" i="34"/>
  <c r="J21" i="34"/>
  <c r="K21" i="34"/>
  <c r="L21" i="34"/>
  <c r="M21" i="34"/>
  <c r="N21" i="34"/>
  <c r="O21" i="34"/>
  <c r="A22" i="34"/>
  <c r="B22" i="34"/>
  <c r="C22" i="34"/>
  <c r="D22" i="34"/>
  <c r="E22" i="34"/>
  <c r="F22" i="34"/>
  <c r="G22" i="34"/>
  <c r="H22" i="34"/>
  <c r="I22" i="34"/>
  <c r="J22" i="34"/>
  <c r="K22" i="34"/>
  <c r="L22" i="34"/>
  <c r="M22" i="34"/>
  <c r="N22" i="34"/>
  <c r="O22" i="34"/>
  <c r="A23" i="34"/>
  <c r="B23" i="34"/>
  <c r="C23" i="34"/>
  <c r="D23" i="34"/>
  <c r="E23" i="34"/>
  <c r="F23" i="34"/>
  <c r="G23" i="34"/>
  <c r="H23" i="34"/>
  <c r="I23" i="34"/>
  <c r="J23" i="34"/>
  <c r="K23" i="34"/>
  <c r="L23" i="34"/>
  <c r="M23" i="34"/>
  <c r="N23" i="34"/>
  <c r="O23" i="34"/>
  <c r="A24" i="34"/>
  <c r="B24" i="34"/>
  <c r="C24" i="34"/>
  <c r="D24" i="34"/>
  <c r="E24" i="34"/>
  <c r="F24" i="34"/>
  <c r="G24" i="34"/>
  <c r="H24" i="34"/>
  <c r="I24" i="34"/>
  <c r="J24" i="34"/>
  <c r="K24" i="34"/>
  <c r="L24" i="34"/>
  <c r="M24" i="34"/>
  <c r="N24" i="34"/>
  <c r="O24" i="34"/>
  <c r="A25" i="34"/>
  <c r="B25" i="34"/>
  <c r="C25" i="34"/>
  <c r="D25" i="34"/>
  <c r="E25" i="34"/>
  <c r="F25" i="34"/>
  <c r="G25" i="34"/>
  <c r="H25" i="34"/>
  <c r="I25" i="34"/>
  <c r="J25" i="34"/>
  <c r="K25" i="34"/>
  <c r="L25" i="34"/>
  <c r="M25" i="34"/>
  <c r="N25" i="34"/>
  <c r="O25" i="34"/>
  <c r="A26" i="34"/>
  <c r="B26" i="34"/>
  <c r="C26" i="34"/>
  <c r="D26" i="34"/>
  <c r="E26" i="34"/>
  <c r="F26" i="34"/>
  <c r="G26" i="34"/>
  <c r="H26" i="34"/>
  <c r="I26" i="34"/>
  <c r="J26" i="34"/>
  <c r="K26" i="34"/>
  <c r="L26" i="34"/>
  <c r="M26" i="34"/>
  <c r="N26" i="34"/>
  <c r="O26" i="34"/>
  <c r="A27" i="34"/>
  <c r="B27" i="34"/>
  <c r="C27" i="34"/>
  <c r="D27" i="34"/>
  <c r="E27" i="34"/>
  <c r="F27" i="34"/>
  <c r="G27" i="34"/>
  <c r="H27" i="34"/>
  <c r="I27" i="34"/>
  <c r="J27" i="34"/>
  <c r="K27" i="34"/>
  <c r="L27" i="34"/>
  <c r="M27" i="34"/>
  <c r="N27" i="34"/>
  <c r="O27" i="34"/>
  <c r="A28" i="34"/>
  <c r="B28" i="34"/>
  <c r="C28" i="34"/>
  <c r="D28" i="34"/>
  <c r="E28" i="34"/>
  <c r="F28" i="34"/>
  <c r="G28" i="34"/>
  <c r="H28" i="34"/>
  <c r="I28" i="34"/>
  <c r="J28" i="34"/>
  <c r="K28" i="34"/>
  <c r="L28" i="34"/>
  <c r="M28" i="34"/>
  <c r="N28" i="34"/>
  <c r="O28" i="34"/>
  <c r="A29" i="34"/>
  <c r="B29" i="34"/>
  <c r="C29" i="34"/>
  <c r="D29" i="34"/>
  <c r="E29" i="34"/>
  <c r="F29" i="34"/>
  <c r="G29" i="34"/>
  <c r="H29" i="34"/>
  <c r="I29" i="34"/>
  <c r="J29" i="34"/>
  <c r="K29" i="34"/>
  <c r="L29" i="34"/>
  <c r="M29" i="34"/>
  <c r="N29" i="34"/>
  <c r="O29" i="34"/>
  <c r="A30" i="34"/>
  <c r="B30" i="34"/>
  <c r="C30" i="34"/>
  <c r="D30" i="34"/>
  <c r="E30" i="34"/>
  <c r="F30" i="34"/>
  <c r="G30" i="34"/>
  <c r="H30" i="34"/>
  <c r="I30" i="34"/>
  <c r="J30" i="34"/>
  <c r="K30" i="34"/>
  <c r="L30" i="34"/>
  <c r="M30" i="34"/>
  <c r="N30" i="34"/>
  <c r="O30" i="34"/>
  <c r="A31" i="34"/>
  <c r="B31" i="34"/>
  <c r="C31" i="34"/>
  <c r="D31" i="34"/>
  <c r="E31" i="34"/>
  <c r="F31" i="34"/>
  <c r="G31" i="34"/>
  <c r="H31" i="34"/>
  <c r="I31" i="34"/>
  <c r="J31" i="34"/>
  <c r="K31" i="34"/>
  <c r="L31" i="34"/>
  <c r="M31" i="34"/>
  <c r="N31" i="34"/>
  <c r="O31" i="34"/>
  <c r="A32" i="34"/>
  <c r="B32" i="34"/>
  <c r="C32" i="34"/>
  <c r="D32" i="34"/>
  <c r="E32" i="34"/>
  <c r="F32" i="34"/>
  <c r="G32" i="34"/>
  <c r="H32" i="34"/>
  <c r="I32" i="34"/>
  <c r="J32" i="34"/>
  <c r="K32" i="34"/>
  <c r="L32" i="34"/>
  <c r="M32" i="34"/>
  <c r="N32" i="34"/>
  <c r="O32" i="34"/>
  <c r="A33" i="34"/>
  <c r="B33" i="34"/>
  <c r="C33" i="34"/>
  <c r="D33" i="34"/>
  <c r="E33" i="34"/>
  <c r="F33" i="34"/>
  <c r="G33" i="34"/>
  <c r="H33" i="34"/>
  <c r="I33" i="34"/>
  <c r="J33" i="34"/>
  <c r="K33" i="34"/>
  <c r="L33" i="34"/>
  <c r="M33" i="34"/>
  <c r="N33" i="34"/>
  <c r="O33" i="34"/>
  <c r="A34" i="34"/>
  <c r="B34" i="34"/>
  <c r="C34" i="34"/>
  <c r="D34" i="34"/>
  <c r="E34" i="34"/>
  <c r="F34" i="34"/>
  <c r="G34" i="34"/>
  <c r="H34" i="34"/>
  <c r="I34" i="34"/>
  <c r="J34" i="34"/>
  <c r="K34" i="34"/>
  <c r="L34" i="34"/>
  <c r="M34" i="34"/>
  <c r="N34" i="34"/>
  <c r="O34" i="34"/>
  <c r="A35" i="34"/>
  <c r="B35" i="34"/>
  <c r="C35" i="34"/>
  <c r="D35" i="34"/>
  <c r="E35" i="34"/>
  <c r="F35" i="34"/>
  <c r="G35" i="34"/>
  <c r="H35" i="34"/>
  <c r="I35" i="34"/>
  <c r="J35" i="34"/>
  <c r="K35" i="34"/>
  <c r="L35" i="34"/>
  <c r="M35" i="34"/>
  <c r="N35" i="34"/>
  <c r="O35" i="34"/>
  <c r="A36" i="34"/>
  <c r="B36" i="34"/>
  <c r="C36" i="34"/>
  <c r="D36" i="34"/>
  <c r="E36" i="34"/>
  <c r="F36" i="34"/>
  <c r="G36" i="34"/>
  <c r="H36" i="34"/>
  <c r="I36" i="34"/>
  <c r="J36" i="34"/>
  <c r="K36" i="34"/>
  <c r="L36" i="34"/>
  <c r="M36" i="34"/>
  <c r="N36" i="34"/>
  <c r="O36" i="34"/>
  <c r="A37" i="34"/>
  <c r="B37" i="34"/>
  <c r="C37" i="34"/>
  <c r="D37" i="34"/>
  <c r="E37" i="34"/>
  <c r="F37" i="34"/>
  <c r="G37" i="34"/>
  <c r="H37" i="34"/>
  <c r="I37" i="34"/>
  <c r="J37" i="34"/>
  <c r="K37" i="34"/>
  <c r="L37" i="34"/>
  <c r="M37" i="34"/>
  <c r="N37" i="34"/>
  <c r="O37" i="34"/>
  <c r="A38" i="34"/>
  <c r="B38" i="34"/>
  <c r="C38" i="34"/>
  <c r="D38" i="34"/>
  <c r="E38" i="34"/>
  <c r="F38" i="34"/>
  <c r="G38" i="34"/>
  <c r="H38" i="34"/>
  <c r="I38" i="34"/>
  <c r="J38" i="34"/>
  <c r="K38" i="34"/>
  <c r="L38" i="34"/>
  <c r="M38" i="34"/>
  <c r="N38" i="34"/>
  <c r="O38" i="34"/>
  <c r="A39" i="34"/>
  <c r="B39" i="34"/>
  <c r="C39" i="34"/>
  <c r="D39" i="34"/>
  <c r="E39" i="34"/>
  <c r="F39" i="34"/>
  <c r="G39" i="34"/>
  <c r="H39" i="34"/>
  <c r="I39" i="34"/>
  <c r="J39" i="34"/>
  <c r="K39" i="34"/>
  <c r="L39" i="34"/>
  <c r="M39" i="34"/>
  <c r="N39" i="34"/>
  <c r="O39" i="34"/>
  <c r="A40" i="34"/>
  <c r="B40" i="34"/>
  <c r="C40" i="34"/>
  <c r="D40" i="34"/>
  <c r="E40" i="34"/>
  <c r="F40" i="34"/>
  <c r="G40" i="34"/>
  <c r="H40" i="34"/>
  <c r="I40" i="34"/>
  <c r="J40" i="34"/>
  <c r="K40" i="34"/>
  <c r="L40" i="34"/>
  <c r="M40" i="34"/>
  <c r="N40" i="34"/>
  <c r="O40" i="34"/>
  <c r="A41" i="34"/>
  <c r="B41" i="34"/>
  <c r="C41" i="34"/>
  <c r="D41" i="34"/>
  <c r="E41" i="34"/>
  <c r="F41" i="34"/>
  <c r="G41" i="34"/>
  <c r="H41" i="34"/>
  <c r="I41" i="34"/>
  <c r="J41" i="34"/>
  <c r="K41" i="34"/>
  <c r="L41" i="34"/>
  <c r="M41" i="34"/>
  <c r="N41" i="34"/>
  <c r="O41" i="34"/>
  <c r="A42" i="34"/>
  <c r="B42" i="34"/>
  <c r="C42" i="34"/>
  <c r="D42" i="34"/>
  <c r="E42" i="34"/>
  <c r="F42" i="34"/>
  <c r="G42" i="34"/>
  <c r="H42" i="34"/>
  <c r="I42" i="34"/>
  <c r="J42" i="34"/>
  <c r="K42" i="34"/>
  <c r="L42" i="34"/>
  <c r="M42" i="34"/>
  <c r="N42" i="34"/>
  <c r="O42" i="34"/>
  <c r="A43" i="34"/>
  <c r="B43" i="34"/>
  <c r="C43" i="34"/>
  <c r="D43" i="34"/>
  <c r="E43" i="34"/>
  <c r="F43" i="34"/>
  <c r="G43" i="34"/>
  <c r="H43" i="34"/>
  <c r="I43" i="34"/>
  <c r="J43" i="34"/>
  <c r="K43" i="34"/>
  <c r="L43" i="34"/>
  <c r="M43" i="34"/>
  <c r="N43" i="34"/>
  <c r="O43" i="34"/>
  <c r="A44" i="34"/>
  <c r="B44" i="34"/>
  <c r="C44" i="34"/>
  <c r="D44" i="34"/>
  <c r="E44" i="34"/>
  <c r="F44" i="34"/>
  <c r="G44" i="34"/>
  <c r="H44" i="34"/>
  <c r="I44" i="34"/>
  <c r="J44" i="34"/>
  <c r="K44" i="34"/>
  <c r="L44" i="34"/>
  <c r="M44" i="34"/>
  <c r="N44" i="34"/>
  <c r="O44" i="34"/>
  <c r="A45" i="34"/>
  <c r="B45" i="34"/>
  <c r="C45" i="34"/>
  <c r="D45" i="34"/>
  <c r="E45" i="34"/>
  <c r="F45" i="34"/>
  <c r="G45" i="34"/>
  <c r="H45" i="34"/>
  <c r="I45" i="34"/>
  <c r="J45" i="34"/>
  <c r="K45" i="34"/>
  <c r="L45" i="34"/>
  <c r="M45" i="34"/>
  <c r="N45" i="34"/>
  <c r="O45" i="34"/>
  <c r="A46" i="34"/>
  <c r="B46" i="34"/>
  <c r="C46" i="34"/>
  <c r="D46" i="34"/>
  <c r="E46" i="34"/>
  <c r="F46" i="34"/>
  <c r="G46" i="34"/>
  <c r="H46" i="34"/>
  <c r="I46" i="34"/>
  <c r="J46" i="34"/>
  <c r="K46" i="34"/>
  <c r="L46" i="34"/>
  <c r="M46" i="34"/>
  <c r="N46" i="34"/>
  <c r="O46" i="34"/>
  <c r="A47" i="34"/>
  <c r="B47" i="34"/>
  <c r="C47" i="34"/>
  <c r="D47" i="34"/>
  <c r="E47" i="34"/>
  <c r="F47" i="34"/>
  <c r="G47" i="34"/>
  <c r="H47" i="34"/>
  <c r="I47" i="34"/>
  <c r="J47" i="34"/>
  <c r="K47" i="34"/>
  <c r="L47" i="34"/>
  <c r="M47" i="34"/>
  <c r="N47" i="34"/>
  <c r="O47" i="34"/>
  <c r="A48" i="34"/>
  <c r="B48" i="34"/>
  <c r="C48" i="34"/>
  <c r="D48" i="34"/>
  <c r="E48" i="34"/>
  <c r="F48" i="34"/>
  <c r="G48" i="34"/>
  <c r="H48" i="34"/>
  <c r="I48" i="34"/>
  <c r="J48" i="34"/>
  <c r="K48" i="34"/>
  <c r="L48" i="34"/>
  <c r="M48" i="34"/>
  <c r="N48" i="34"/>
  <c r="O48" i="34"/>
  <c r="A49" i="34"/>
  <c r="B49" i="34"/>
  <c r="C49" i="34"/>
  <c r="D49" i="34"/>
  <c r="E49" i="34"/>
  <c r="F49" i="34"/>
  <c r="G49" i="34"/>
  <c r="H49" i="34"/>
  <c r="I49" i="34"/>
  <c r="J49" i="34"/>
  <c r="K49" i="34"/>
  <c r="L49" i="34"/>
  <c r="M49" i="34"/>
  <c r="N49" i="34"/>
  <c r="O49" i="34"/>
  <c r="A50" i="34"/>
  <c r="B50" i="34"/>
  <c r="C50" i="34"/>
  <c r="D50" i="34"/>
  <c r="E50" i="34"/>
  <c r="F50" i="34"/>
  <c r="G50" i="34"/>
  <c r="H50" i="34"/>
  <c r="I50" i="34"/>
  <c r="J50" i="34"/>
  <c r="K50" i="34"/>
  <c r="L50" i="34"/>
  <c r="M50" i="34"/>
  <c r="N50" i="34"/>
  <c r="O50" i="34"/>
  <c r="A51" i="34"/>
  <c r="B51" i="34"/>
  <c r="C51" i="34"/>
  <c r="D51" i="34"/>
  <c r="E51" i="34"/>
  <c r="F51" i="34"/>
  <c r="G51" i="34"/>
  <c r="H51" i="34"/>
  <c r="I51" i="34"/>
  <c r="J51" i="34"/>
  <c r="K51" i="34"/>
  <c r="L51" i="34"/>
  <c r="M51" i="34"/>
  <c r="N51" i="34"/>
  <c r="O51" i="34"/>
  <c r="A52" i="34"/>
  <c r="B52" i="34"/>
  <c r="C52" i="34"/>
  <c r="D52" i="34"/>
  <c r="E52" i="34"/>
  <c r="F52" i="34"/>
  <c r="G52" i="34"/>
  <c r="H52" i="34"/>
  <c r="I52" i="34"/>
  <c r="J52" i="34"/>
  <c r="K52" i="34"/>
  <c r="L52" i="34"/>
  <c r="M52" i="34"/>
  <c r="N52" i="34"/>
  <c r="O52" i="34"/>
  <c r="A53" i="34"/>
  <c r="B53" i="34"/>
  <c r="C53" i="34"/>
  <c r="D53" i="34"/>
  <c r="E53" i="34"/>
  <c r="F53" i="34"/>
  <c r="G53" i="34"/>
  <c r="H53" i="34"/>
  <c r="I53" i="34"/>
  <c r="J53" i="34"/>
  <c r="K53" i="34"/>
  <c r="L53" i="34"/>
  <c r="M53" i="34"/>
  <c r="N53" i="34"/>
  <c r="O53" i="34"/>
  <c r="A54" i="34"/>
  <c r="B54" i="34"/>
  <c r="C54" i="34"/>
  <c r="D54" i="34"/>
  <c r="E54" i="34"/>
  <c r="F54" i="34"/>
  <c r="G54" i="34"/>
  <c r="H54" i="34"/>
  <c r="I54" i="34"/>
  <c r="J54" i="34"/>
  <c r="K54" i="34"/>
  <c r="L54" i="34"/>
  <c r="M54" i="34"/>
  <c r="N54" i="34"/>
  <c r="O54" i="34"/>
  <c r="A55" i="34"/>
  <c r="B55" i="34"/>
  <c r="C55" i="34"/>
  <c r="D55" i="34"/>
  <c r="E55" i="34"/>
  <c r="F55" i="34"/>
  <c r="G55" i="34"/>
  <c r="H55" i="34"/>
  <c r="I55" i="34"/>
  <c r="J55" i="34"/>
  <c r="K55" i="34"/>
  <c r="L55" i="34"/>
  <c r="M55" i="34"/>
  <c r="N55" i="34"/>
  <c r="O55" i="34"/>
  <c r="A56" i="34"/>
  <c r="B56" i="34"/>
  <c r="C56" i="34"/>
  <c r="D56" i="34"/>
  <c r="E56" i="34"/>
  <c r="F56" i="34"/>
  <c r="G56" i="34"/>
  <c r="H56" i="34"/>
  <c r="I56" i="34"/>
  <c r="J56" i="34"/>
  <c r="K56" i="34"/>
  <c r="L56" i="34"/>
  <c r="M56" i="34"/>
  <c r="N56" i="34"/>
  <c r="O56" i="34"/>
  <c r="A57" i="34"/>
  <c r="B57" i="34"/>
  <c r="C57" i="34"/>
  <c r="D57" i="34"/>
  <c r="E57" i="34"/>
  <c r="F57" i="34"/>
  <c r="G57" i="34"/>
  <c r="H57" i="34"/>
  <c r="I57" i="34"/>
  <c r="J57" i="34"/>
  <c r="K57" i="34"/>
  <c r="L57" i="34"/>
  <c r="M57" i="34"/>
  <c r="N57" i="34"/>
  <c r="O57" i="34"/>
  <c r="A58" i="34"/>
  <c r="B58" i="34"/>
  <c r="C58" i="34"/>
  <c r="D58" i="34"/>
  <c r="E58" i="34"/>
  <c r="F58" i="34"/>
  <c r="G58" i="34"/>
  <c r="H58" i="34"/>
  <c r="I58" i="34"/>
  <c r="J58" i="34"/>
  <c r="K58" i="34"/>
  <c r="L58" i="34"/>
  <c r="M58" i="34"/>
  <c r="N58" i="34"/>
  <c r="O58" i="34"/>
  <c r="A59" i="34"/>
  <c r="B59" i="34"/>
  <c r="C59" i="34"/>
  <c r="D59" i="34"/>
  <c r="E59" i="34"/>
  <c r="F59" i="34"/>
  <c r="G59" i="34"/>
  <c r="H59" i="34"/>
  <c r="I59" i="34"/>
  <c r="J59" i="34"/>
  <c r="K59" i="34"/>
  <c r="L59" i="34"/>
  <c r="M59" i="34"/>
  <c r="N59" i="34"/>
  <c r="O59" i="34"/>
  <c r="A60" i="34"/>
  <c r="B60" i="34"/>
  <c r="C60" i="34"/>
  <c r="D60" i="34"/>
  <c r="E60" i="34"/>
  <c r="F60" i="34"/>
  <c r="G60" i="34"/>
  <c r="H60" i="34"/>
  <c r="I60" i="34"/>
  <c r="J60" i="34"/>
  <c r="K60" i="34"/>
  <c r="L60" i="34"/>
  <c r="M60" i="34"/>
  <c r="N60" i="34"/>
  <c r="O60" i="34"/>
  <c r="A61" i="34"/>
  <c r="B61" i="34"/>
  <c r="C61" i="34"/>
  <c r="D61" i="34"/>
  <c r="E61" i="34"/>
  <c r="F61" i="34"/>
  <c r="G61" i="34"/>
  <c r="H61" i="34"/>
  <c r="I61" i="34"/>
  <c r="J61" i="34"/>
  <c r="K61" i="34"/>
  <c r="L61" i="34"/>
  <c r="M61" i="34"/>
  <c r="N61" i="34"/>
  <c r="O61" i="34"/>
  <c r="A62" i="34"/>
  <c r="B62" i="34"/>
  <c r="C62" i="34"/>
  <c r="D62" i="34"/>
  <c r="E62" i="34"/>
  <c r="F62" i="34"/>
  <c r="G62" i="34"/>
  <c r="H62" i="34"/>
  <c r="I62" i="34"/>
  <c r="J62" i="34"/>
  <c r="K62" i="34"/>
  <c r="L62" i="34"/>
  <c r="M62" i="34"/>
  <c r="N62" i="34"/>
  <c r="O62" i="34"/>
  <c r="A63" i="34"/>
  <c r="B63" i="34"/>
  <c r="C63" i="34"/>
  <c r="D63" i="34"/>
  <c r="E63" i="34"/>
  <c r="F63" i="34"/>
  <c r="G63" i="34"/>
  <c r="H63" i="34"/>
  <c r="I63" i="34"/>
  <c r="J63" i="34"/>
  <c r="K63" i="34"/>
  <c r="L63" i="34"/>
  <c r="M63" i="34"/>
  <c r="N63" i="34"/>
  <c r="O63" i="34"/>
  <c r="A64" i="34"/>
  <c r="B64" i="34"/>
  <c r="C64" i="34"/>
  <c r="D64" i="34"/>
  <c r="E64" i="34"/>
  <c r="F64" i="34"/>
  <c r="G64" i="34"/>
  <c r="H64" i="34"/>
  <c r="I64" i="34"/>
  <c r="J64" i="34"/>
  <c r="K64" i="34"/>
  <c r="L64" i="34"/>
  <c r="M64" i="34"/>
  <c r="N64" i="34"/>
  <c r="O64" i="34"/>
  <c r="A65" i="34"/>
  <c r="B65" i="34"/>
  <c r="C65" i="34"/>
  <c r="D65" i="34"/>
  <c r="E65" i="34"/>
  <c r="F65" i="34"/>
  <c r="G65" i="34"/>
  <c r="H65" i="34"/>
  <c r="I65" i="34"/>
  <c r="J65" i="34"/>
  <c r="K65" i="34"/>
  <c r="L65" i="34"/>
  <c r="M65" i="34"/>
  <c r="N65" i="34"/>
  <c r="O65" i="34"/>
  <c r="A66" i="34"/>
  <c r="B66" i="34"/>
  <c r="C66" i="34"/>
  <c r="D66" i="34"/>
  <c r="E66" i="34"/>
  <c r="F66" i="34"/>
  <c r="G66" i="34"/>
  <c r="H66" i="34"/>
  <c r="I66" i="34"/>
  <c r="J66" i="34"/>
  <c r="K66" i="34"/>
  <c r="L66" i="34"/>
  <c r="M66" i="34"/>
  <c r="N66" i="34"/>
  <c r="O66" i="34"/>
  <c r="A67" i="34"/>
  <c r="B67" i="34"/>
  <c r="C67" i="34"/>
  <c r="D67" i="34"/>
  <c r="E67" i="34"/>
  <c r="F67" i="34"/>
  <c r="G67" i="34"/>
  <c r="H67" i="34"/>
  <c r="I67" i="34"/>
  <c r="J67" i="34"/>
  <c r="K67" i="34"/>
  <c r="L67" i="34"/>
  <c r="M67" i="34"/>
  <c r="N67" i="34"/>
  <c r="O67" i="34"/>
  <c r="A68" i="34"/>
  <c r="B68" i="34"/>
  <c r="C68" i="34"/>
  <c r="D68" i="34"/>
  <c r="E68" i="34"/>
  <c r="F68" i="34"/>
  <c r="G68" i="34"/>
  <c r="H68" i="34"/>
  <c r="I68" i="34"/>
  <c r="J68" i="34"/>
  <c r="K68" i="34"/>
  <c r="L68" i="34"/>
  <c r="M68" i="34"/>
  <c r="N68" i="34"/>
  <c r="O68" i="34"/>
  <c r="A69" i="34"/>
  <c r="B69" i="34"/>
  <c r="C69" i="34"/>
  <c r="D69" i="34"/>
  <c r="E69" i="34"/>
  <c r="F69" i="34"/>
  <c r="G69" i="34"/>
  <c r="H69" i="34"/>
  <c r="I69" i="34"/>
  <c r="J69" i="34"/>
  <c r="K69" i="34"/>
  <c r="L69" i="34"/>
  <c r="M69" i="34"/>
  <c r="N69" i="34"/>
  <c r="O69" i="34"/>
  <c r="A70" i="34"/>
  <c r="B70" i="34"/>
  <c r="C70" i="34"/>
  <c r="D70" i="34"/>
  <c r="E70" i="34"/>
  <c r="F70" i="34"/>
  <c r="G70" i="34"/>
  <c r="H70" i="34"/>
  <c r="I70" i="34"/>
  <c r="J70" i="34"/>
  <c r="K70" i="34"/>
  <c r="L70" i="34"/>
  <c r="M70" i="34"/>
  <c r="N70" i="34"/>
  <c r="O70" i="34"/>
  <c r="A71" i="34"/>
  <c r="B71" i="34"/>
  <c r="C71" i="34"/>
  <c r="D71" i="34"/>
  <c r="E71" i="34"/>
  <c r="F71" i="34"/>
  <c r="G71" i="34"/>
  <c r="H71" i="34"/>
  <c r="I71" i="34"/>
  <c r="J71" i="34"/>
  <c r="K71" i="34"/>
  <c r="L71" i="34"/>
  <c r="M71" i="34"/>
  <c r="N71" i="34"/>
  <c r="O71" i="34"/>
  <c r="A72" i="34"/>
  <c r="B72" i="34"/>
  <c r="C72" i="34"/>
  <c r="D72" i="34"/>
  <c r="E72" i="34"/>
  <c r="F72" i="34"/>
  <c r="G72" i="34"/>
  <c r="H72" i="34"/>
  <c r="I72" i="34"/>
  <c r="J72" i="34"/>
  <c r="K72" i="34"/>
  <c r="L72" i="34"/>
  <c r="M72" i="34"/>
  <c r="N72" i="34"/>
  <c r="O72" i="34"/>
  <c r="A73" i="34"/>
  <c r="B73" i="34"/>
  <c r="C73" i="34"/>
  <c r="D73" i="34"/>
  <c r="E73" i="34"/>
  <c r="F73" i="34"/>
  <c r="G73" i="34"/>
  <c r="H73" i="34"/>
  <c r="I73" i="34"/>
  <c r="J73" i="34"/>
  <c r="K73" i="34"/>
  <c r="L73" i="34"/>
  <c r="M73" i="34"/>
  <c r="N73" i="34"/>
  <c r="O73" i="34"/>
  <c r="A74" i="34"/>
  <c r="B74" i="34"/>
  <c r="C74" i="34"/>
  <c r="D74" i="34"/>
  <c r="E74" i="34"/>
  <c r="F74" i="34"/>
  <c r="G74" i="34"/>
  <c r="H74" i="34"/>
  <c r="I74" i="34"/>
  <c r="J74" i="34"/>
  <c r="K74" i="34"/>
  <c r="L74" i="34"/>
  <c r="M74" i="34"/>
  <c r="N74" i="34"/>
  <c r="O74" i="34"/>
  <c r="A75" i="34"/>
  <c r="B75" i="34"/>
  <c r="C75" i="34"/>
  <c r="D75" i="34"/>
  <c r="E75" i="34"/>
  <c r="F75" i="34"/>
  <c r="G75" i="34"/>
  <c r="H75" i="34"/>
  <c r="I75" i="34"/>
  <c r="J75" i="34"/>
  <c r="K75" i="34"/>
  <c r="L75" i="34"/>
  <c r="M75" i="34"/>
  <c r="N75" i="34"/>
  <c r="O75" i="34"/>
  <c r="A76" i="34"/>
  <c r="B76" i="34"/>
  <c r="C76" i="34"/>
  <c r="D76" i="34"/>
  <c r="E76" i="34"/>
  <c r="F76" i="34"/>
  <c r="G76" i="34"/>
  <c r="H76" i="34"/>
  <c r="I76" i="34"/>
  <c r="J76" i="34"/>
  <c r="K76" i="34"/>
  <c r="L76" i="34"/>
  <c r="M76" i="34"/>
  <c r="N76" i="34"/>
  <c r="O76" i="34"/>
  <c r="A77" i="34"/>
  <c r="B77" i="34"/>
  <c r="C77" i="34"/>
  <c r="D77" i="34"/>
  <c r="E77" i="34"/>
  <c r="F77" i="34"/>
  <c r="G77" i="34"/>
  <c r="H77" i="34"/>
  <c r="I77" i="34"/>
  <c r="J77" i="34"/>
  <c r="K77" i="34"/>
  <c r="L77" i="34"/>
  <c r="M77" i="34"/>
  <c r="N77" i="34"/>
  <c r="O77" i="34"/>
  <c r="A78" i="34"/>
  <c r="B78" i="34"/>
  <c r="C78" i="34"/>
  <c r="D78" i="34"/>
  <c r="E78" i="34"/>
  <c r="F78" i="34"/>
  <c r="G78" i="34"/>
  <c r="H78" i="34"/>
  <c r="I78" i="34"/>
  <c r="J78" i="34"/>
  <c r="K78" i="34"/>
  <c r="L78" i="34"/>
  <c r="M78" i="34"/>
  <c r="N78" i="34"/>
  <c r="O78" i="34"/>
  <c r="A79" i="34"/>
  <c r="B79" i="34"/>
  <c r="C79" i="34"/>
  <c r="D79" i="34"/>
  <c r="E79" i="34"/>
  <c r="F79" i="34"/>
  <c r="G79" i="34"/>
  <c r="H79" i="34"/>
  <c r="I79" i="34"/>
  <c r="J79" i="34"/>
  <c r="K79" i="34"/>
  <c r="L79" i="34"/>
  <c r="M79" i="34"/>
  <c r="N79" i="34"/>
  <c r="O79" i="34"/>
  <c r="A80" i="34"/>
  <c r="B80" i="34"/>
  <c r="C80" i="34"/>
  <c r="D80" i="34"/>
  <c r="E80" i="34"/>
  <c r="F80" i="34"/>
  <c r="G80" i="34"/>
  <c r="H80" i="34"/>
  <c r="I80" i="34"/>
  <c r="J80" i="34"/>
  <c r="K80" i="34"/>
  <c r="L80" i="34"/>
  <c r="M80" i="34"/>
  <c r="N80" i="34"/>
  <c r="O80" i="34"/>
  <c r="A81" i="34"/>
  <c r="B81" i="34"/>
  <c r="C81" i="34"/>
  <c r="D81" i="34"/>
  <c r="E81" i="34"/>
  <c r="F81" i="34"/>
  <c r="G81" i="34"/>
  <c r="H81" i="34"/>
  <c r="I81" i="34"/>
  <c r="J81" i="34"/>
  <c r="K81" i="34"/>
  <c r="L81" i="34"/>
  <c r="M81" i="34"/>
  <c r="N81" i="34"/>
  <c r="O81" i="34"/>
  <c r="A82" i="34"/>
  <c r="B82" i="34"/>
  <c r="C82" i="34"/>
  <c r="D82" i="34"/>
  <c r="E82" i="34"/>
  <c r="F82" i="34"/>
  <c r="G82" i="34"/>
  <c r="H82" i="34"/>
  <c r="I82" i="34"/>
  <c r="J82" i="34"/>
  <c r="K82" i="34"/>
  <c r="L82" i="34"/>
  <c r="M82" i="34"/>
  <c r="N82" i="34"/>
  <c r="O82" i="34"/>
  <c r="A83" i="34"/>
  <c r="B83" i="34"/>
  <c r="C83" i="34"/>
  <c r="D83" i="34"/>
  <c r="E83" i="34"/>
  <c r="F83" i="34"/>
  <c r="G83" i="34"/>
  <c r="H83" i="34"/>
  <c r="I83" i="34"/>
  <c r="J83" i="34"/>
  <c r="K83" i="34"/>
  <c r="L83" i="34"/>
  <c r="M83" i="34"/>
  <c r="N83" i="34"/>
  <c r="O83" i="34"/>
  <c r="A84" i="34"/>
  <c r="B84" i="34"/>
  <c r="C84" i="34"/>
  <c r="D84" i="34"/>
  <c r="E84" i="34"/>
  <c r="F84" i="34"/>
  <c r="G84" i="34"/>
  <c r="H84" i="34"/>
  <c r="I84" i="34"/>
  <c r="J84" i="34"/>
  <c r="K84" i="34"/>
  <c r="L84" i="34"/>
  <c r="M84" i="34"/>
  <c r="N84" i="34"/>
  <c r="O84" i="34"/>
  <c r="A85" i="34"/>
  <c r="B85" i="34"/>
  <c r="C85" i="34"/>
  <c r="D85" i="34"/>
  <c r="E85" i="34"/>
  <c r="F85" i="34"/>
  <c r="G85" i="34"/>
  <c r="H85" i="34"/>
  <c r="I85" i="34"/>
  <c r="J85" i="34"/>
  <c r="K85" i="34"/>
  <c r="L85" i="34"/>
  <c r="M85" i="34"/>
  <c r="N85" i="34"/>
  <c r="O85" i="34"/>
  <c r="A86" i="34"/>
  <c r="B86" i="34"/>
  <c r="C86" i="34"/>
  <c r="D86" i="34"/>
  <c r="E86" i="34"/>
  <c r="F86" i="34"/>
  <c r="G86" i="34"/>
  <c r="H86" i="34"/>
  <c r="I86" i="34"/>
  <c r="J86" i="34"/>
  <c r="K86" i="34"/>
  <c r="L86" i="34"/>
  <c r="M86" i="34"/>
  <c r="N86" i="34"/>
  <c r="O86" i="34"/>
  <c r="A87" i="34"/>
  <c r="B87" i="34"/>
  <c r="C87" i="34"/>
  <c r="D87" i="34"/>
  <c r="E87" i="34"/>
  <c r="F87" i="34"/>
  <c r="G87" i="34"/>
  <c r="H87" i="34"/>
  <c r="I87" i="34"/>
  <c r="J87" i="34"/>
  <c r="K87" i="34"/>
  <c r="L87" i="34"/>
  <c r="M87" i="34"/>
  <c r="N87" i="34"/>
  <c r="O87" i="34"/>
  <c r="A88" i="34"/>
  <c r="B88" i="34"/>
  <c r="C88" i="34"/>
  <c r="D88" i="34"/>
  <c r="E88" i="34"/>
  <c r="F88" i="34"/>
  <c r="G88" i="34"/>
  <c r="H88" i="34"/>
  <c r="I88" i="34"/>
  <c r="J88" i="34"/>
  <c r="K88" i="34"/>
  <c r="L88" i="34"/>
  <c r="M88" i="34"/>
  <c r="N88" i="34"/>
  <c r="O88" i="34"/>
  <c r="A89" i="34"/>
  <c r="B89" i="34"/>
  <c r="C89" i="34"/>
  <c r="D89" i="34"/>
  <c r="E89" i="34"/>
  <c r="F89" i="34"/>
  <c r="G89" i="34"/>
  <c r="H89" i="34"/>
  <c r="I89" i="34"/>
  <c r="J89" i="34"/>
  <c r="K89" i="34"/>
  <c r="L89" i="34"/>
  <c r="M89" i="34"/>
  <c r="N89" i="34"/>
  <c r="O89" i="34"/>
  <c r="A90" i="34"/>
  <c r="B90" i="34"/>
  <c r="C90" i="34"/>
  <c r="D90" i="34"/>
  <c r="E90" i="34"/>
  <c r="F90" i="34"/>
  <c r="G90" i="34"/>
  <c r="H90" i="34"/>
  <c r="I90" i="34"/>
  <c r="J90" i="34"/>
  <c r="K90" i="34"/>
  <c r="L90" i="34"/>
  <c r="M90" i="34"/>
  <c r="N90" i="34"/>
  <c r="O90" i="34"/>
  <c r="A91" i="34"/>
  <c r="B91" i="34"/>
  <c r="C91" i="34"/>
  <c r="D91" i="34"/>
  <c r="E91" i="34"/>
  <c r="F91" i="34"/>
  <c r="G91" i="34"/>
  <c r="H91" i="34"/>
  <c r="I91" i="34"/>
  <c r="J91" i="34"/>
  <c r="K91" i="34"/>
  <c r="L91" i="34"/>
  <c r="M91" i="34"/>
  <c r="N91" i="34"/>
  <c r="O91" i="34"/>
  <c r="A92" i="34"/>
  <c r="B92" i="34"/>
  <c r="C92" i="34"/>
  <c r="D92" i="34"/>
  <c r="E92" i="34"/>
  <c r="F92" i="34"/>
  <c r="G92" i="34"/>
  <c r="H92" i="34"/>
  <c r="I92" i="34"/>
  <c r="J92" i="34"/>
  <c r="K92" i="34"/>
  <c r="L92" i="34"/>
  <c r="M92" i="34"/>
  <c r="N92" i="34"/>
  <c r="O92" i="34"/>
  <c r="A93" i="34"/>
  <c r="B93" i="34"/>
  <c r="C93" i="34"/>
  <c r="D93" i="34"/>
  <c r="E93" i="34"/>
  <c r="F93" i="34"/>
  <c r="G93" i="34"/>
  <c r="H93" i="34"/>
  <c r="I93" i="34"/>
  <c r="J93" i="34"/>
  <c r="K93" i="34"/>
  <c r="L93" i="34"/>
  <c r="M93" i="34"/>
  <c r="N93" i="34"/>
  <c r="O93" i="34"/>
  <c r="A94" i="34"/>
  <c r="B94" i="34"/>
  <c r="C94" i="34"/>
  <c r="D94" i="34"/>
  <c r="E94" i="34"/>
  <c r="F94" i="34"/>
  <c r="G94" i="34"/>
  <c r="H94" i="34"/>
  <c r="I94" i="34"/>
  <c r="J94" i="34"/>
  <c r="K94" i="34"/>
  <c r="L94" i="34"/>
  <c r="M94" i="34"/>
  <c r="N94" i="34"/>
  <c r="O94" i="34"/>
  <c r="A95" i="34"/>
  <c r="B95" i="34"/>
  <c r="C95" i="34"/>
  <c r="D95" i="34"/>
  <c r="E95" i="34"/>
  <c r="F95" i="34"/>
  <c r="G95" i="34"/>
  <c r="H95" i="34"/>
  <c r="I95" i="34"/>
  <c r="J95" i="34"/>
  <c r="K95" i="34"/>
  <c r="L95" i="34"/>
  <c r="M95" i="34"/>
  <c r="N95" i="34"/>
  <c r="O95" i="34"/>
  <c r="A96" i="34"/>
  <c r="B96" i="34"/>
  <c r="C96" i="34"/>
  <c r="D96" i="34"/>
  <c r="E96" i="34"/>
  <c r="F96" i="34"/>
  <c r="G96" i="34"/>
  <c r="H96" i="34"/>
  <c r="I96" i="34"/>
  <c r="J96" i="34"/>
  <c r="K96" i="34"/>
  <c r="L96" i="34"/>
  <c r="M96" i="34"/>
  <c r="N96" i="34"/>
  <c r="O96" i="34"/>
  <c r="A97" i="34"/>
  <c r="B97" i="34"/>
  <c r="C97" i="34"/>
  <c r="D97" i="34"/>
  <c r="E97" i="34"/>
  <c r="F97" i="34"/>
  <c r="G97" i="34"/>
  <c r="H97" i="34"/>
  <c r="I97" i="34"/>
  <c r="J97" i="34"/>
  <c r="K97" i="34"/>
  <c r="L97" i="34"/>
  <c r="M97" i="34"/>
  <c r="N97" i="34"/>
  <c r="O97" i="34"/>
  <c r="A98" i="34"/>
  <c r="B98" i="34"/>
  <c r="C98" i="34"/>
  <c r="D98" i="34"/>
  <c r="E98" i="34"/>
  <c r="F98" i="34"/>
  <c r="G98" i="34"/>
  <c r="H98" i="34"/>
  <c r="I98" i="34"/>
  <c r="J98" i="34"/>
  <c r="K98" i="34"/>
  <c r="L98" i="34"/>
  <c r="M98" i="34"/>
  <c r="N98" i="34"/>
  <c r="O98" i="34"/>
  <c r="A99" i="34"/>
  <c r="B99" i="34"/>
  <c r="C99" i="34"/>
  <c r="D99" i="34"/>
  <c r="E99" i="34"/>
  <c r="F99" i="34"/>
  <c r="G99" i="34"/>
  <c r="H99" i="34"/>
  <c r="I99" i="34"/>
  <c r="J99" i="34"/>
  <c r="K99" i="34"/>
  <c r="L99" i="34"/>
  <c r="M99" i="34"/>
  <c r="N99" i="34"/>
  <c r="O99" i="34"/>
  <c r="A100" i="34"/>
  <c r="B100" i="34"/>
  <c r="C100" i="34"/>
  <c r="D100" i="34"/>
  <c r="E100" i="34"/>
  <c r="F100" i="34"/>
  <c r="G100" i="34"/>
  <c r="H100" i="34"/>
  <c r="I100" i="34"/>
  <c r="J100" i="34"/>
  <c r="K100" i="34"/>
  <c r="L100" i="34"/>
  <c r="M100" i="34"/>
  <c r="N100" i="34"/>
  <c r="O100" i="34"/>
  <c r="A101" i="34"/>
  <c r="B101" i="34"/>
  <c r="C101" i="34"/>
  <c r="D101" i="34"/>
  <c r="E101" i="34"/>
  <c r="F101" i="34"/>
  <c r="G101" i="34"/>
  <c r="H101" i="34"/>
  <c r="I101" i="34"/>
  <c r="J101" i="34"/>
  <c r="K101" i="34"/>
  <c r="L101" i="34"/>
  <c r="M101" i="34"/>
  <c r="N101" i="34"/>
  <c r="O101" i="34"/>
  <c r="A102" i="34"/>
  <c r="B102" i="34"/>
  <c r="C102" i="34"/>
  <c r="D102" i="34"/>
  <c r="E102" i="34"/>
  <c r="F102" i="34"/>
  <c r="G102" i="34"/>
  <c r="H102" i="34"/>
  <c r="I102" i="34"/>
  <c r="J102" i="34"/>
  <c r="K102" i="34"/>
  <c r="L102" i="34"/>
  <c r="M102" i="34"/>
  <c r="N102" i="34"/>
  <c r="O102" i="34"/>
  <c r="A103" i="34"/>
  <c r="B103" i="34"/>
  <c r="C103" i="34"/>
  <c r="D103" i="34"/>
  <c r="E103" i="34"/>
  <c r="F103" i="34"/>
  <c r="G103" i="34"/>
  <c r="H103" i="34"/>
  <c r="I103" i="34"/>
  <c r="J103" i="34"/>
  <c r="K103" i="34"/>
  <c r="L103" i="34"/>
  <c r="M103" i="34"/>
  <c r="N103" i="34"/>
  <c r="O103" i="34"/>
  <c r="A104" i="34"/>
  <c r="B104" i="34"/>
  <c r="C104" i="34"/>
  <c r="D104" i="34"/>
  <c r="E104" i="34"/>
  <c r="F104" i="34"/>
  <c r="G104" i="34"/>
  <c r="H104" i="34"/>
  <c r="I104" i="34"/>
  <c r="J104" i="34"/>
  <c r="K104" i="34"/>
  <c r="L104" i="34"/>
  <c r="M104" i="34"/>
  <c r="N104" i="34"/>
  <c r="O104" i="34"/>
  <c r="A105" i="34"/>
  <c r="B105" i="34"/>
  <c r="C105" i="34"/>
  <c r="D105" i="34"/>
  <c r="E105" i="34"/>
  <c r="F105" i="34"/>
  <c r="G105" i="34"/>
  <c r="H105" i="34"/>
  <c r="I105" i="34"/>
  <c r="J105" i="34"/>
  <c r="K105" i="34"/>
  <c r="L105" i="34"/>
  <c r="M105" i="34"/>
  <c r="N105" i="34"/>
  <c r="O105" i="34"/>
  <c r="A106" i="34"/>
  <c r="B106" i="34"/>
  <c r="C106" i="34"/>
  <c r="D106" i="34"/>
  <c r="E106" i="34"/>
  <c r="F106" i="34"/>
  <c r="G106" i="34"/>
  <c r="H106" i="34"/>
  <c r="I106" i="34"/>
  <c r="J106" i="34"/>
  <c r="K106" i="34"/>
  <c r="L106" i="34"/>
  <c r="M106" i="34"/>
  <c r="N106" i="34"/>
  <c r="O106" i="34"/>
  <c r="A107" i="34"/>
  <c r="B107" i="34"/>
  <c r="C107" i="34"/>
  <c r="D107" i="34"/>
  <c r="E107" i="34"/>
  <c r="F107" i="34"/>
  <c r="G107" i="34"/>
  <c r="H107" i="34"/>
  <c r="I107" i="34"/>
  <c r="J107" i="34"/>
  <c r="K107" i="34"/>
  <c r="L107" i="34"/>
  <c r="M107" i="34"/>
  <c r="N107" i="34"/>
  <c r="O107" i="34"/>
  <c r="A108" i="34"/>
  <c r="B108" i="34"/>
  <c r="C108" i="34"/>
  <c r="D108" i="34"/>
  <c r="E108" i="34"/>
  <c r="F108" i="34"/>
  <c r="G108" i="34"/>
  <c r="H108" i="34"/>
  <c r="I108" i="34"/>
  <c r="J108" i="34"/>
  <c r="K108" i="34"/>
  <c r="L108" i="34"/>
  <c r="M108" i="34"/>
  <c r="N108" i="34"/>
  <c r="O108" i="34"/>
  <c r="A109" i="34"/>
  <c r="B109" i="34"/>
  <c r="C109" i="34"/>
  <c r="D109" i="34"/>
  <c r="E109" i="34"/>
  <c r="F109" i="34"/>
  <c r="G109" i="34"/>
  <c r="H109" i="34"/>
  <c r="I109" i="34"/>
  <c r="J109" i="34"/>
  <c r="K109" i="34"/>
  <c r="L109" i="34"/>
  <c r="M109" i="34"/>
  <c r="N109" i="34"/>
  <c r="O109" i="34"/>
  <c r="A110" i="34"/>
  <c r="B110" i="34"/>
  <c r="C110" i="34"/>
  <c r="D110" i="34"/>
  <c r="E110" i="34"/>
  <c r="F110" i="34"/>
  <c r="G110" i="34"/>
  <c r="H110" i="34"/>
  <c r="I110" i="34"/>
  <c r="J110" i="34"/>
  <c r="K110" i="34"/>
  <c r="L110" i="34"/>
  <c r="M110" i="34"/>
  <c r="N110" i="34"/>
  <c r="O110" i="34"/>
  <c r="A111" i="34"/>
  <c r="B111" i="34"/>
  <c r="C111" i="34"/>
  <c r="D111" i="34"/>
  <c r="E111" i="34"/>
  <c r="F111" i="34"/>
  <c r="G111" i="34"/>
  <c r="H111" i="34"/>
  <c r="I111" i="34"/>
  <c r="J111" i="34"/>
  <c r="K111" i="34"/>
  <c r="L111" i="34"/>
  <c r="M111" i="34"/>
  <c r="N111" i="34"/>
  <c r="O111" i="34"/>
  <c r="A112" i="34"/>
  <c r="B112" i="34"/>
  <c r="C112" i="34"/>
  <c r="D112" i="34"/>
  <c r="E112" i="34"/>
  <c r="F112" i="34"/>
  <c r="G112" i="34"/>
  <c r="H112" i="34"/>
  <c r="I112" i="34"/>
  <c r="J112" i="34"/>
  <c r="K112" i="34"/>
  <c r="L112" i="34"/>
  <c r="M112" i="34"/>
  <c r="N112" i="34"/>
  <c r="O112" i="34"/>
  <c r="A113" i="34"/>
  <c r="B113" i="34"/>
  <c r="C113" i="34"/>
  <c r="D113" i="34"/>
  <c r="E113" i="34"/>
  <c r="F113" i="34"/>
  <c r="G113" i="34"/>
  <c r="H113" i="34"/>
  <c r="I113" i="34"/>
  <c r="J113" i="34"/>
  <c r="K113" i="34"/>
  <c r="L113" i="34"/>
  <c r="M113" i="34"/>
  <c r="N113" i="34"/>
  <c r="O113" i="34"/>
  <c r="A114" i="34"/>
  <c r="B114" i="34"/>
  <c r="C114" i="34"/>
  <c r="D114" i="34"/>
  <c r="E114" i="34"/>
  <c r="F114" i="34"/>
  <c r="G114" i="34"/>
  <c r="H114" i="34"/>
  <c r="I114" i="34"/>
  <c r="J114" i="34"/>
  <c r="K114" i="34"/>
  <c r="L114" i="34"/>
  <c r="M114" i="34"/>
  <c r="N114" i="34"/>
  <c r="O114" i="34"/>
  <c r="A115" i="34"/>
  <c r="B115" i="34"/>
  <c r="C115" i="34"/>
  <c r="D115" i="34"/>
  <c r="E115" i="34"/>
  <c r="F115" i="34"/>
  <c r="G115" i="34"/>
  <c r="H115" i="34"/>
  <c r="I115" i="34"/>
  <c r="J115" i="34"/>
  <c r="K115" i="34"/>
  <c r="L115" i="34"/>
  <c r="M115" i="34"/>
  <c r="N115" i="34"/>
  <c r="O115" i="34"/>
  <c r="A116" i="34"/>
  <c r="B116" i="34"/>
  <c r="C116" i="34"/>
  <c r="D116" i="34"/>
  <c r="E116" i="34"/>
  <c r="F116" i="34"/>
  <c r="G116" i="34"/>
  <c r="H116" i="34"/>
  <c r="I116" i="34"/>
  <c r="J116" i="34"/>
  <c r="K116" i="34"/>
  <c r="L116" i="34"/>
  <c r="M116" i="34"/>
  <c r="N116" i="34"/>
  <c r="O116" i="34"/>
  <c r="A117" i="34"/>
  <c r="B117" i="34"/>
  <c r="C117" i="34"/>
  <c r="D117" i="34"/>
  <c r="E117" i="34"/>
  <c r="F117" i="34"/>
  <c r="G117" i="34"/>
  <c r="H117" i="34"/>
  <c r="I117" i="34"/>
  <c r="J117" i="34"/>
  <c r="K117" i="34"/>
  <c r="L117" i="34"/>
  <c r="M117" i="34"/>
  <c r="N117" i="34"/>
  <c r="O117" i="34"/>
  <c r="A118" i="34"/>
  <c r="B118" i="34"/>
  <c r="C118" i="34"/>
  <c r="D118" i="34"/>
  <c r="E118" i="34"/>
  <c r="F118" i="34"/>
  <c r="G118" i="34"/>
  <c r="H118" i="34"/>
  <c r="I118" i="34"/>
  <c r="J118" i="34"/>
  <c r="K118" i="34"/>
  <c r="L118" i="34"/>
  <c r="M118" i="34"/>
  <c r="N118" i="34"/>
  <c r="O118" i="34"/>
  <c r="A119" i="34"/>
  <c r="B119" i="34"/>
  <c r="C119" i="34"/>
  <c r="D119" i="34"/>
  <c r="E119" i="34"/>
  <c r="F119" i="34"/>
  <c r="G119" i="34"/>
  <c r="H119" i="34"/>
  <c r="I119" i="34"/>
  <c r="J119" i="34"/>
  <c r="K119" i="34"/>
  <c r="L119" i="34"/>
  <c r="M119" i="34"/>
  <c r="N119" i="34"/>
  <c r="O119" i="34"/>
  <c r="A120" i="34"/>
  <c r="B120" i="34"/>
  <c r="C120" i="34"/>
  <c r="D120" i="34"/>
  <c r="E120" i="34"/>
  <c r="F120" i="34"/>
  <c r="G120" i="34"/>
  <c r="H120" i="34"/>
  <c r="I120" i="34"/>
  <c r="J120" i="34"/>
  <c r="K120" i="34"/>
  <c r="L120" i="34"/>
  <c r="M120" i="34"/>
  <c r="N120" i="34"/>
  <c r="O120" i="34"/>
  <c r="A121" i="34"/>
  <c r="B121" i="34"/>
  <c r="C121" i="34"/>
  <c r="D121" i="34"/>
  <c r="E121" i="34"/>
  <c r="F121" i="34"/>
  <c r="G121" i="34"/>
  <c r="H121" i="34"/>
  <c r="I121" i="34"/>
  <c r="J121" i="34"/>
  <c r="K121" i="34"/>
  <c r="L121" i="34"/>
  <c r="M121" i="34"/>
  <c r="N121" i="34"/>
  <c r="O121" i="34"/>
  <c r="A122" i="34"/>
  <c r="B122" i="34"/>
  <c r="C122" i="34"/>
  <c r="D122" i="34"/>
  <c r="E122" i="34"/>
  <c r="F122" i="34"/>
  <c r="G122" i="34"/>
  <c r="H122" i="34"/>
  <c r="I122" i="34"/>
  <c r="J122" i="34"/>
  <c r="K122" i="34"/>
  <c r="L122" i="34"/>
  <c r="M122" i="34"/>
  <c r="N122" i="34"/>
  <c r="O122" i="34"/>
  <c r="A123" i="34"/>
  <c r="B123" i="34"/>
  <c r="C123" i="34"/>
  <c r="D123" i="34"/>
  <c r="E123" i="34"/>
  <c r="F123" i="34"/>
  <c r="G123" i="34"/>
  <c r="H123" i="34"/>
  <c r="I123" i="34"/>
  <c r="J123" i="34"/>
  <c r="K123" i="34"/>
  <c r="L123" i="34"/>
  <c r="M123" i="34"/>
  <c r="N123" i="34"/>
  <c r="O123" i="34"/>
  <c r="A124" i="34"/>
  <c r="B124" i="34"/>
  <c r="C124" i="34"/>
  <c r="D124" i="34"/>
  <c r="E124" i="34"/>
  <c r="F124" i="34"/>
  <c r="G124" i="34"/>
  <c r="H124" i="34"/>
  <c r="I124" i="34"/>
  <c r="J124" i="34"/>
  <c r="K124" i="34"/>
  <c r="L124" i="34"/>
  <c r="M124" i="34"/>
  <c r="N124" i="34"/>
  <c r="O124" i="34"/>
  <c r="A125" i="34"/>
  <c r="B125" i="34"/>
  <c r="C125" i="34"/>
  <c r="D125" i="34"/>
  <c r="E125" i="34"/>
  <c r="F125" i="34"/>
  <c r="G125" i="34"/>
  <c r="H125" i="34"/>
  <c r="I125" i="34"/>
  <c r="J125" i="34"/>
  <c r="K125" i="34"/>
  <c r="L125" i="34"/>
  <c r="M125" i="34"/>
  <c r="N125" i="34"/>
  <c r="O125" i="34"/>
  <c r="A126" i="34"/>
  <c r="B126" i="34"/>
  <c r="C126" i="34"/>
  <c r="D126" i="34"/>
  <c r="E126" i="34"/>
  <c r="F126" i="34"/>
  <c r="G126" i="34"/>
  <c r="H126" i="34"/>
  <c r="I126" i="34"/>
  <c r="J126" i="34"/>
  <c r="K126" i="34"/>
  <c r="L126" i="34"/>
  <c r="M126" i="34"/>
  <c r="N126" i="34"/>
  <c r="O126" i="34"/>
  <c r="A127" i="34"/>
  <c r="B127" i="34"/>
  <c r="C127" i="34"/>
  <c r="D127" i="34"/>
  <c r="E127" i="34"/>
  <c r="F127" i="34"/>
  <c r="G127" i="34"/>
  <c r="H127" i="34"/>
  <c r="I127" i="34"/>
  <c r="J127" i="34"/>
  <c r="K127" i="34"/>
  <c r="L127" i="34"/>
  <c r="M127" i="34"/>
  <c r="N127" i="34"/>
  <c r="O127" i="34"/>
  <c r="A128" i="34"/>
  <c r="B128" i="34"/>
  <c r="C128" i="34"/>
  <c r="D128" i="34"/>
  <c r="E128" i="34"/>
  <c r="F128" i="34"/>
  <c r="G128" i="34"/>
  <c r="H128" i="34"/>
  <c r="I128" i="34"/>
  <c r="J128" i="34"/>
  <c r="K128" i="34"/>
  <c r="L128" i="34"/>
  <c r="M128" i="34"/>
  <c r="N128" i="34"/>
  <c r="O128" i="34"/>
  <c r="A129" i="34"/>
  <c r="B129" i="34"/>
  <c r="C129" i="34"/>
  <c r="D129" i="34"/>
  <c r="E129" i="34"/>
  <c r="F129" i="34"/>
  <c r="G129" i="34"/>
  <c r="H129" i="34"/>
  <c r="I129" i="34"/>
  <c r="J129" i="34"/>
  <c r="K129" i="34"/>
  <c r="L129" i="34"/>
  <c r="M129" i="34"/>
  <c r="N129" i="34"/>
  <c r="O129" i="34"/>
  <c r="A130" i="34"/>
  <c r="B130" i="34"/>
  <c r="C130" i="34"/>
  <c r="D130" i="34"/>
  <c r="E130" i="34"/>
  <c r="F130" i="34"/>
  <c r="G130" i="34"/>
  <c r="H130" i="34"/>
  <c r="I130" i="34"/>
  <c r="J130" i="34"/>
  <c r="K130" i="34"/>
  <c r="L130" i="34"/>
  <c r="M130" i="34"/>
  <c r="N130" i="34"/>
  <c r="O130" i="34"/>
  <c r="A131" i="34"/>
  <c r="B131" i="34"/>
  <c r="C131" i="34"/>
  <c r="D131" i="34"/>
  <c r="E131" i="34"/>
  <c r="F131" i="34"/>
  <c r="G131" i="34"/>
  <c r="H131" i="34"/>
  <c r="I131" i="34"/>
  <c r="J131" i="34"/>
  <c r="K131" i="34"/>
  <c r="L131" i="34"/>
  <c r="M131" i="34"/>
  <c r="N131" i="34"/>
  <c r="O131" i="34"/>
  <c r="A132" i="34"/>
  <c r="B132" i="34"/>
  <c r="C132" i="34"/>
  <c r="D132" i="34"/>
  <c r="E132" i="34"/>
  <c r="F132" i="34"/>
  <c r="G132" i="34"/>
  <c r="H132" i="34"/>
  <c r="I132" i="34"/>
  <c r="J132" i="34"/>
  <c r="K132" i="34"/>
  <c r="L132" i="34"/>
  <c r="M132" i="34"/>
  <c r="N132" i="34"/>
  <c r="O132" i="34"/>
  <c r="A133" i="34"/>
  <c r="B133" i="34"/>
  <c r="C133" i="34"/>
  <c r="D133" i="34"/>
  <c r="E133" i="34"/>
  <c r="F133" i="34"/>
  <c r="G133" i="34"/>
  <c r="H133" i="34"/>
  <c r="I133" i="34"/>
  <c r="J133" i="34"/>
  <c r="K133" i="34"/>
  <c r="L133" i="34"/>
  <c r="M133" i="34"/>
  <c r="N133" i="34"/>
  <c r="O133" i="34"/>
  <c r="A134" i="34"/>
  <c r="B134" i="34"/>
  <c r="C134" i="34"/>
  <c r="D134" i="34"/>
  <c r="E134" i="34"/>
  <c r="F134" i="34"/>
  <c r="G134" i="34"/>
  <c r="H134" i="34"/>
  <c r="I134" i="34"/>
  <c r="J134" i="34"/>
  <c r="K134" i="34"/>
  <c r="L134" i="34"/>
  <c r="M134" i="34"/>
  <c r="N134" i="34"/>
  <c r="O134" i="34"/>
  <c r="A135" i="34"/>
  <c r="B135" i="34"/>
  <c r="C135" i="34"/>
  <c r="D135" i="34"/>
  <c r="E135" i="34"/>
  <c r="F135" i="34"/>
  <c r="G135" i="34"/>
  <c r="H135" i="34"/>
  <c r="I135" i="34"/>
  <c r="J135" i="34"/>
  <c r="K135" i="34"/>
  <c r="L135" i="34"/>
  <c r="M135" i="34"/>
  <c r="N135" i="34"/>
  <c r="O135" i="34"/>
  <c r="A136" i="34"/>
  <c r="B136" i="34"/>
  <c r="C136" i="34"/>
  <c r="D136" i="34"/>
  <c r="E136" i="34"/>
  <c r="F136" i="34"/>
  <c r="G136" i="34"/>
  <c r="H136" i="34"/>
  <c r="I136" i="34"/>
  <c r="J136" i="34"/>
  <c r="K136" i="34"/>
  <c r="L136" i="34"/>
  <c r="M136" i="34"/>
  <c r="N136" i="34"/>
  <c r="O136" i="34"/>
  <c r="A137" i="34"/>
  <c r="B137" i="34"/>
  <c r="C137" i="34"/>
  <c r="D137" i="34"/>
  <c r="E137" i="34"/>
  <c r="F137" i="34"/>
  <c r="G137" i="34"/>
  <c r="H137" i="34"/>
  <c r="I137" i="34"/>
  <c r="J137" i="34"/>
  <c r="K137" i="34"/>
  <c r="L137" i="34"/>
  <c r="M137" i="34"/>
  <c r="N137" i="34"/>
  <c r="O137" i="34"/>
  <c r="A138" i="34"/>
  <c r="B138" i="34"/>
  <c r="C138" i="34"/>
  <c r="D138" i="34"/>
  <c r="E138" i="34"/>
  <c r="F138" i="34"/>
  <c r="G138" i="34"/>
  <c r="H138" i="34"/>
  <c r="I138" i="34"/>
  <c r="J138" i="34"/>
  <c r="K138" i="34"/>
  <c r="L138" i="34"/>
  <c r="M138" i="34"/>
  <c r="N138" i="34"/>
  <c r="O138" i="34"/>
  <c r="A139" i="34"/>
  <c r="B139" i="34"/>
  <c r="C139" i="34"/>
  <c r="D139" i="34"/>
  <c r="E139" i="34"/>
  <c r="F139" i="34"/>
  <c r="G139" i="34"/>
  <c r="H139" i="34"/>
  <c r="I139" i="34"/>
  <c r="J139" i="34"/>
  <c r="K139" i="34"/>
  <c r="L139" i="34"/>
  <c r="M139" i="34"/>
  <c r="N139" i="34"/>
  <c r="O139" i="34"/>
  <c r="A140" i="34"/>
  <c r="B140" i="34"/>
  <c r="C140" i="34"/>
  <c r="D140" i="34"/>
  <c r="E140" i="34"/>
  <c r="F140" i="34"/>
  <c r="G140" i="34"/>
  <c r="H140" i="34"/>
  <c r="I140" i="34"/>
  <c r="J140" i="34"/>
  <c r="K140" i="34"/>
  <c r="L140" i="34"/>
  <c r="M140" i="34"/>
  <c r="N140" i="34"/>
  <c r="O140" i="34"/>
  <c r="A141" i="34"/>
  <c r="B141" i="34"/>
  <c r="C141" i="34"/>
  <c r="D141" i="34"/>
  <c r="E141" i="34"/>
  <c r="F141" i="34"/>
  <c r="G141" i="34"/>
  <c r="H141" i="34"/>
  <c r="I141" i="34"/>
  <c r="J141" i="34"/>
  <c r="K141" i="34"/>
  <c r="L141" i="34"/>
  <c r="M141" i="34"/>
  <c r="N141" i="34"/>
  <c r="O141" i="34"/>
  <c r="A142" i="34"/>
  <c r="B142" i="34"/>
  <c r="C142" i="34"/>
  <c r="D142" i="34"/>
  <c r="E142" i="34"/>
  <c r="F142" i="34"/>
  <c r="G142" i="34"/>
  <c r="H142" i="34"/>
  <c r="I142" i="34"/>
  <c r="J142" i="34"/>
  <c r="K142" i="34"/>
  <c r="L142" i="34"/>
  <c r="M142" i="34"/>
  <c r="N142" i="34"/>
  <c r="O142" i="34"/>
  <c r="A143" i="34"/>
  <c r="B143" i="34"/>
  <c r="C143" i="34"/>
  <c r="D143" i="34"/>
  <c r="E143" i="34"/>
  <c r="F143" i="34"/>
  <c r="G143" i="34"/>
  <c r="H143" i="34"/>
  <c r="I143" i="34"/>
  <c r="J143" i="34"/>
  <c r="K143" i="34"/>
  <c r="L143" i="34"/>
  <c r="M143" i="34"/>
  <c r="N143" i="34"/>
  <c r="O143" i="34"/>
  <c r="A144" i="34"/>
  <c r="B144" i="34"/>
  <c r="C144" i="34"/>
  <c r="D144" i="34"/>
  <c r="E144" i="34"/>
  <c r="F144" i="34"/>
  <c r="G144" i="34"/>
  <c r="H144" i="34"/>
  <c r="I144" i="34"/>
  <c r="J144" i="34"/>
  <c r="K144" i="34"/>
  <c r="L144" i="34"/>
  <c r="M144" i="34"/>
  <c r="N144" i="34"/>
  <c r="O144" i="34"/>
  <c r="A145" i="34"/>
  <c r="B145" i="34"/>
  <c r="C145" i="34"/>
  <c r="D145" i="34"/>
  <c r="E145" i="34"/>
  <c r="F145" i="34"/>
  <c r="G145" i="34"/>
  <c r="H145" i="34"/>
  <c r="I145" i="34"/>
  <c r="J145" i="34"/>
  <c r="K145" i="34"/>
  <c r="L145" i="34"/>
  <c r="M145" i="34"/>
  <c r="N145" i="34"/>
  <c r="O145" i="34"/>
  <c r="A146" i="34"/>
  <c r="B146" i="34"/>
  <c r="C146" i="34"/>
  <c r="D146" i="34"/>
  <c r="E146" i="34"/>
  <c r="F146" i="34"/>
  <c r="G146" i="34"/>
  <c r="H146" i="34"/>
  <c r="I146" i="34"/>
  <c r="J146" i="34"/>
  <c r="K146" i="34"/>
  <c r="L146" i="34"/>
  <c r="M146" i="34"/>
  <c r="N146" i="34"/>
  <c r="O146" i="34"/>
  <c r="A147" i="34"/>
  <c r="B147" i="34"/>
  <c r="C147" i="34"/>
  <c r="D147" i="34"/>
  <c r="E147" i="34"/>
  <c r="F147" i="34"/>
  <c r="G147" i="34"/>
  <c r="H147" i="34"/>
  <c r="I147" i="34"/>
  <c r="J147" i="34"/>
  <c r="K147" i="34"/>
  <c r="L147" i="34"/>
  <c r="M147" i="34"/>
  <c r="N147" i="34"/>
  <c r="O147" i="34"/>
  <c r="A148" i="34"/>
  <c r="B148" i="34"/>
  <c r="C148" i="34"/>
  <c r="D148" i="34"/>
  <c r="E148" i="34"/>
  <c r="F148" i="34"/>
  <c r="G148" i="34"/>
  <c r="H148" i="34"/>
  <c r="I148" i="34"/>
  <c r="J148" i="34"/>
  <c r="K148" i="34"/>
  <c r="L148" i="34"/>
  <c r="M148" i="34"/>
  <c r="N148" i="34"/>
  <c r="O148" i="34"/>
  <c r="A149" i="34"/>
  <c r="B149" i="34"/>
  <c r="C149" i="34"/>
  <c r="D149" i="34"/>
  <c r="E149" i="34"/>
  <c r="F149" i="34"/>
  <c r="G149" i="34"/>
  <c r="H149" i="34"/>
  <c r="I149" i="34"/>
  <c r="J149" i="34"/>
  <c r="K149" i="34"/>
  <c r="L149" i="34"/>
  <c r="M149" i="34"/>
  <c r="N149" i="34"/>
  <c r="O149" i="34"/>
  <c r="A150" i="34"/>
  <c r="B150" i="34"/>
  <c r="C150" i="34"/>
  <c r="D150" i="34"/>
  <c r="E150" i="34"/>
  <c r="F150" i="34"/>
  <c r="G150" i="34"/>
  <c r="H150" i="34"/>
  <c r="I150" i="34"/>
  <c r="J150" i="34"/>
  <c r="K150" i="34"/>
  <c r="L150" i="34"/>
  <c r="M150" i="34"/>
  <c r="N150" i="34"/>
  <c r="O150" i="34"/>
  <c r="A151" i="34"/>
  <c r="B151" i="34"/>
  <c r="C151" i="34"/>
  <c r="D151" i="34"/>
  <c r="E151" i="34"/>
  <c r="F151" i="34"/>
  <c r="G151" i="34"/>
  <c r="H151" i="34"/>
  <c r="I151" i="34"/>
  <c r="J151" i="34"/>
  <c r="K151" i="34"/>
  <c r="L151" i="34"/>
  <c r="M151" i="34"/>
  <c r="N151" i="34"/>
  <c r="O151" i="34"/>
  <c r="A152" i="34"/>
  <c r="B152" i="34"/>
  <c r="C152" i="34"/>
  <c r="D152" i="34"/>
  <c r="E152" i="34"/>
  <c r="F152" i="34"/>
  <c r="G152" i="34"/>
  <c r="H152" i="34"/>
  <c r="I152" i="34"/>
  <c r="J152" i="34"/>
  <c r="K152" i="34"/>
  <c r="L152" i="34"/>
  <c r="M152" i="34"/>
  <c r="N152" i="34"/>
  <c r="O152" i="34"/>
  <c r="A153" i="34"/>
  <c r="B153" i="34"/>
  <c r="C153" i="34"/>
  <c r="D153" i="34"/>
  <c r="E153" i="34"/>
  <c r="F153" i="34"/>
  <c r="G153" i="34"/>
  <c r="H153" i="34"/>
  <c r="I153" i="34"/>
  <c r="J153" i="34"/>
  <c r="K153" i="34"/>
  <c r="L153" i="34"/>
  <c r="M153" i="34"/>
  <c r="N153" i="34"/>
  <c r="O153" i="34"/>
  <c r="A154" i="34"/>
  <c r="B154" i="34"/>
  <c r="C154" i="34"/>
  <c r="D154" i="34"/>
  <c r="E154" i="34"/>
  <c r="F154" i="34"/>
  <c r="G154" i="34"/>
  <c r="H154" i="34"/>
  <c r="I154" i="34"/>
  <c r="J154" i="34"/>
  <c r="K154" i="34"/>
  <c r="L154" i="34"/>
  <c r="M154" i="34"/>
  <c r="N154" i="34"/>
  <c r="O154" i="34"/>
  <c r="A155" i="34"/>
  <c r="B155" i="34"/>
  <c r="C155" i="34"/>
  <c r="D155" i="34"/>
  <c r="E155" i="34"/>
  <c r="F155" i="34"/>
  <c r="G155" i="34"/>
  <c r="H155" i="34"/>
  <c r="I155" i="34"/>
  <c r="J155" i="34"/>
  <c r="K155" i="34"/>
  <c r="L155" i="34"/>
  <c r="M155" i="34"/>
  <c r="N155" i="34"/>
  <c r="O155" i="34"/>
  <c r="A156" i="34"/>
  <c r="B156" i="34"/>
  <c r="C156" i="34"/>
  <c r="D156" i="34"/>
  <c r="E156" i="34"/>
  <c r="F156" i="34"/>
  <c r="G156" i="34"/>
  <c r="H156" i="34"/>
  <c r="I156" i="34"/>
  <c r="J156" i="34"/>
  <c r="K156" i="34"/>
  <c r="L156" i="34"/>
  <c r="M156" i="34"/>
  <c r="N156" i="34"/>
  <c r="O156" i="34"/>
  <c r="A157" i="34"/>
  <c r="B157" i="34"/>
  <c r="C157" i="34"/>
  <c r="D157" i="34"/>
  <c r="E157" i="34"/>
  <c r="F157" i="34"/>
  <c r="G157" i="34"/>
  <c r="H157" i="34"/>
  <c r="I157" i="34"/>
  <c r="J157" i="34"/>
  <c r="K157" i="34"/>
  <c r="L157" i="34"/>
  <c r="M157" i="34"/>
  <c r="N157" i="34"/>
  <c r="O157" i="34"/>
  <c r="A158" i="34"/>
  <c r="B158" i="34"/>
  <c r="C158" i="34"/>
  <c r="D158" i="34"/>
  <c r="E158" i="34"/>
  <c r="F158" i="34"/>
  <c r="G158" i="34"/>
  <c r="H158" i="34"/>
  <c r="I158" i="34"/>
  <c r="J158" i="34"/>
  <c r="K158" i="34"/>
  <c r="L158" i="34"/>
  <c r="M158" i="34"/>
  <c r="N158" i="34"/>
  <c r="O158" i="34"/>
  <c r="A159" i="34"/>
  <c r="B159" i="34"/>
  <c r="C159" i="34"/>
  <c r="D159" i="34"/>
  <c r="E159" i="34"/>
  <c r="F159" i="34"/>
  <c r="G159" i="34"/>
  <c r="H159" i="34"/>
  <c r="I159" i="34"/>
  <c r="J159" i="34"/>
  <c r="K159" i="34"/>
  <c r="L159" i="34"/>
  <c r="M159" i="34"/>
  <c r="N159" i="34"/>
  <c r="O159" i="34"/>
  <c r="A160" i="34"/>
  <c r="B160" i="34"/>
  <c r="C160" i="34"/>
  <c r="D160" i="34"/>
  <c r="E160" i="34"/>
  <c r="F160" i="34"/>
  <c r="G160" i="34"/>
  <c r="H160" i="34"/>
  <c r="I160" i="34"/>
  <c r="J160" i="34"/>
  <c r="K160" i="34"/>
  <c r="L160" i="34"/>
  <c r="M160" i="34"/>
  <c r="N160" i="34"/>
  <c r="O160" i="34"/>
  <c r="A161" i="34"/>
  <c r="B161" i="34"/>
  <c r="C161" i="34"/>
  <c r="D161" i="34"/>
  <c r="E161" i="34"/>
  <c r="F161" i="34"/>
  <c r="G161" i="34"/>
  <c r="H161" i="34"/>
  <c r="I161" i="34"/>
  <c r="J161" i="34"/>
  <c r="K161" i="34"/>
  <c r="L161" i="34"/>
  <c r="M161" i="34"/>
  <c r="N161" i="34"/>
  <c r="O161" i="34"/>
  <c r="A162" i="34"/>
  <c r="B162" i="34"/>
  <c r="C162" i="34"/>
  <c r="D162" i="34"/>
  <c r="E162" i="34"/>
  <c r="F162" i="34"/>
  <c r="G162" i="34"/>
  <c r="H162" i="34"/>
  <c r="I162" i="34"/>
  <c r="J162" i="34"/>
  <c r="K162" i="34"/>
  <c r="L162" i="34"/>
  <c r="M162" i="34"/>
  <c r="N162" i="34"/>
  <c r="O162" i="34"/>
  <c r="A163" i="34"/>
  <c r="B163" i="34"/>
  <c r="C163" i="34"/>
  <c r="D163" i="34"/>
  <c r="E163" i="34"/>
  <c r="F163" i="34"/>
  <c r="G163" i="34"/>
  <c r="H163" i="34"/>
  <c r="I163" i="34"/>
  <c r="J163" i="34"/>
  <c r="K163" i="34"/>
  <c r="L163" i="34"/>
  <c r="M163" i="34"/>
  <c r="N163" i="34"/>
  <c r="O163" i="34"/>
  <c r="A164" i="34"/>
  <c r="B164" i="34"/>
  <c r="C164" i="34"/>
  <c r="D164" i="34"/>
  <c r="E164" i="34"/>
  <c r="F164" i="34"/>
  <c r="G164" i="34"/>
  <c r="H164" i="34"/>
  <c r="I164" i="34"/>
  <c r="J164" i="34"/>
  <c r="K164" i="34"/>
  <c r="L164" i="34"/>
  <c r="M164" i="34"/>
  <c r="N164" i="34"/>
  <c r="O164" i="34"/>
  <c r="A165" i="34"/>
  <c r="B165" i="34"/>
  <c r="C165" i="34"/>
  <c r="D165" i="34"/>
  <c r="E165" i="34"/>
  <c r="F165" i="34"/>
  <c r="G165" i="34"/>
  <c r="H165" i="34"/>
  <c r="I165" i="34"/>
  <c r="J165" i="34"/>
  <c r="K165" i="34"/>
  <c r="L165" i="34"/>
  <c r="M165" i="34"/>
  <c r="N165" i="34"/>
  <c r="O165" i="34"/>
  <c r="A166" i="34"/>
  <c r="B166" i="34"/>
  <c r="C166" i="34"/>
  <c r="D166" i="34"/>
  <c r="E166" i="34"/>
  <c r="F166" i="34"/>
  <c r="G166" i="34"/>
  <c r="H166" i="34"/>
  <c r="I166" i="34"/>
  <c r="J166" i="34"/>
  <c r="K166" i="34"/>
  <c r="L166" i="34"/>
  <c r="M166" i="34"/>
  <c r="N166" i="34"/>
  <c r="O166" i="34"/>
  <c r="A167" i="34"/>
  <c r="B167" i="34"/>
  <c r="C167" i="34"/>
  <c r="D167" i="34"/>
  <c r="E167" i="34"/>
  <c r="F167" i="34"/>
  <c r="G167" i="34"/>
  <c r="H167" i="34"/>
  <c r="I167" i="34"/>
  <c r="J167" i="34"/>
  <c r="K167" i="34"/>
  <c r="L167" i="34"/>
  <c r="M167" i="34"/>
  <c r="N167" i="34"/>
  <c r="O167" i="34"/>
  <c r="A168" i="34"/>
  <c r="B168" i="34"/>
  <c r="C168" i="34"/>
  <c r="D168" i="34"/>
  <c r="E168" i="34"/>
  <c r="F168" i="34"/>
  <c r="G168" i="34"/>
  <c r="H168" i="34"/>
  <c r="I168" i="34"/>
  <c r="J168" i="34"/>
  <c r="K168" i="34"/>
  <c r="L168" i="34"/>
  <c r="M168" i="34"/>
  <c r="N168" i="34"/>
  <c r="O168" i="34"/>
  <c r="A169" i="34"/>
  <c r="B169" i="34"/>
  <c r="C169" i="34"/>
  <c r="D169" i="34"/>
  <c r="E169" i="34"/>
  <c r="F169" i="34"/>
  <c r="G169" i="34"/>
  <c r="H169" i="34"/>
  <c r="I169" i="34"/>
  <c r="J169" i="34"/>
  <c r="K169" i="34"/>
  <c r="L169" i="34"/>
  <c r="M169" i="34"/>
  <c r="N169" i="34"/>
  <c r="O169" i="34"/>
  <c r="A170" i="34"/>
  <c r="B170" i="34"/>
  <c r="C170" i="34"/>
  <c r="D170" i="34"/>
  <c r="E170" i="34"/>
  <c r="F170" i="34"/>
  <c r="G170" i="34"/>
  <c r="H170" i="34"/>
  <c r="I170" i="34"/>
  <c r="J170" i="34"/>
  <c r="K170" i="34"/>
  <c r="L170" i="34"/>
  <c r="M170" i="34"/>
  <c r="N170" i="34"/>
  <c r="O170" i="34"/>
  <c r="A171" i="34"/>
  <c r="B171" i="34"/>
  <c r="C171" i="34"/>
  <c r="D171" i="34"/>
  <c r="E171" i="34"/>
  <c r="F171" i="34"/>
  <c r="G171" i="34"/>
  <c r="H171" i="34"/>
  <c r="I171" i="34"/>
  <c r="J171" i="34"/>
  <c r="K171" i="34"/>
  <c r="L171" i="34"/>
  <c r="M171" i="34"/>
  <c r="N171" i="34"/>
  <c r="O171" i="34"/>
  <c r="A172" i="34"/>
  <c r="B172" i="34"/>
  <c r="C172" i="34"/>
  <c r="D172" i="34"/>
  <c r="E172" i="34"/>
  <c r="F172" i="34"/>
  <c r="G172" i="34"/>
  <c r="H172" i="34"/>
  <c r="I172" i="34"/>
  <c r="J172" i="34"/>
  <c r="K172" i="34"/>
  <c r="L172" i="34"/>
  <c r="M172" i="34"/>
  <c r="N172" i="34"/>
  <c r="O172" i="34"/>
  <c r="A173" i="34"/>
  <c r="B173" i="34"/>
  <c r="C173" i="34"/>
  <c r="D173" i="34"/>
  <c r="E173" i="34"/>
  <c r="F173" i="34"/>
  <c r="G173" i="34"/>
  <c r="H173" i="34"/>
  <c r="I173" i="34"/>
  <c r="J173" i="34"/>
  <c r="K173" i="34"/>
  <c r="L173" i="34"/>
  <c r="M173" i="34"/>
  <c r="N173" i="34"/>
  <c r="O173" i="34"/>
  <c r="A174" i="34"/>
  <c r="B174" i="34"/>
  <c r="C174" i="34"/>
  <c r="D174" i="34"/>
  <c r="E174" i="34"/>
  <c r="F174" i="34"/>
  <c r="G174" i="34"/>
  <c r="H174" i="34"/>
  <c r="I174" i="34"/>
  <c r="J174" i="34"/>
  <c r="K174" i="34"/>
  <c r="L174" i="34"/>
  <c r="M174" i="34"/>
  <c r="N174" i="34"/>
  <c r="O174" i="34"/>
  <c r="A175" i="34"/>
  <c r="B175" i="34"/>
  <c r="C175" i="34"/>
  <c r="D175" i="34"/>
  <c r="E175" i="34"/>
  <c r="F175" i="34"/>
  <c r="G175" i="34"/>
  <c r="H175" i="34"/>
  <c r="I175" i="34"/>
  <c r="J175" i="34"/>
  <c r="K175" i="34"/>
  <c r="L175" i="34"/>
  <c r="M175" i="34"/>
  <c r="N175" i="34"/>
  <c r="O175" i="34"/>
  <c r="A176" i="34"/>
  <c r="B176" i="34"/>
  <c r="C176" i="34"/>
  <c r="D176" i="34"/>
  <c r="E176" i="34"/>
  <c r="F176" i="34"/>
  <c r="G176" i="34"/>
  <c r="H176" i="34"/>
  <c r="I176" i="34"/>
  <c r="J176" i="34"/>
  <c r="K176" i="34"/>
  <c r="L176" i="34"/>
  <c r="M176" i="34"/>
  <c r="N176" i="34"/>
  <c r="O176" i="34"/>
  <c r="A177" i="34"/>
  <c r="B177" i="34"/>
  <c r="C177" i="34"/>
  <c r="D177" i="34"/>
  <c r="E177" i="34"/>
  <c r="F177" i="34"/>
  <c r="G177" i="34"/>
  <c r="H177" i="34"/>
  <c r="I177" i="34"/>
  <c r="J177" i="34"/>
  <c r="K177" i="34"/>
  <c r="L177" i="34"/>
  <c r="M177" i="34"/>
  <c r="N177" i="34"/>
  <c r="O177" i="34"/>
  <c r="A178" i="34"/>
  <c r="B178" i="34"/>
  <c r="C178" i="34"/>
  <c r="D178" i="34"/>
  <c r="E178" i="34"/>
  <c r="F178" i="34"/>
  <c r="G178" i="34"/>
  <c r="H178" i="34"/>
  <c r="I178" i="34"/>
  <c r="J178" i="34"/>
  <c r="K178" i="34"/>
  <c r="L178" i="34"/>
  <c r="M178" i="34"/>
  <c r="N178" i="34"/>
  <c r="O178" i="34"/>
  <c r="A179" i="34"/>
  <c r="B179" i="34"/>
  <c r="C179" i="34"/>
  <c r="D179" i="34"/>
  <c r="E179" i="34"/>
  <c r="F179" i="34"/>
  <c r="G179" i="34"/>
  <c r="H179" i="34"/>
  <c r="I179" i="34"/>
  <c r="J179" i="34"/>
  <c r="K179" i="34"/>
  <c r="L179" i="34"/>
  <c r="M179" i="34"/>
  <c r="N179" i="34"/>
  <c r="O179" i="34"/>
  <c r="A180" i="34"/>
  <c r="B180" i="34"/>
  <c r="C180" i="34"/>
  <c r="D180" i="34"/>
  <c r="E180" i="34"/>
  <c r="F180" i="34"/>
  <c r="G180" i="34"/>
  <c r="H180" i="34"/>
  <c r="I180" i="34"/>
  <c r="J180" i="34"/>
  <c r="K180" i="34"/>
  <c r="L180" i="34"/>
  <c r="M180" i="34"/>
  <c r="N180" i="34"/>
  <c r="O180" i="34"/>
  <c r="A181" i="34"/>
  <c r="B181" i="34"/>
  <c r="C181" i="34"/>
  <c r="D181" i="34"/>
  <c r="E181" i="34"/>
  <c r="F181" i="34"/>
  <c r="G181" i="34"/>
  <c r="H181" i="34"/>
  <c r="I181" i="34"/>
  <c r="J181" i="34"/>
  <c r="K181" i="34"/>
  <c r="L181" i="34"/>
  <c r="M181" i="34"/>
  <c r="N181" i="34"/>
  <c r="O181" i="34"/>
  <c r="A182" i="34"/>
  <c r="B182" i="34"/>
  <c r="C182" i="34"/>
  <c r="D182" i="34"/>
  <c r="E182" i="34"/>
  <c r="F182" i="34"/>
  <c r="G182" i="34"/>
  <c r="H182" i="34"/>
  <c r="I182" i="34"/>
  <c r="J182" i="34"/>
  <c r="K182" i="34"/>
  <c r="L182" i="34"/>
  <c r="M182" i="34"/>
  <c r="N182" i="34"/>
  <c r="O182" i="34"/>
  <c r="A183" i="34"/>
  <c r="B183" i="34"/>
  <c r="C183" i="34"/>
  <c r="D183" i="34"/>
  <c r="E183" i="34"/>
  <c r="F183" i="34"/>
  <c r="G183" i="34"/>
  <c r="H183" i="34"/>
  <c r="I183" i="34"/>
  <c r="J183" i="34"/>
  <c r="K183" i="34"/>
  <c r="L183" i="34"/>
  <c r="M183" i="34"/>
  <c r="N183" i="34"/>
  <c r="O183" i="34"/>
  <c r="A184" i="34"/>
  <c r="B184" i="34"/>
  <c r="C184" i="34"/>
  <c r="D184" i="34"/>
  <c r="E184" i="34"/>
  <c r="F184" i="34"/>
  <c r="G184" i="34"/>
  <c r="H184" i="34"/>
  <c r="I184" i="34"/>
  <c r="J184" i="34"/>
  <c r="K184" i="34"/>
  <c r="L184" i="34"/>
  <c r="M184" i="34"/>
  <c r="N184" i="34"/>
  <c r="O184" i="34"/>
  <c r="A185" i="34"/>
  <c r="B185" i="34"/>
  <c r="C185" i="34"/>
  <c r="D185" i="34"/>
  <c r="E185" i="34"/>
  <c r="F185" i="34"/>
  <c r="G185" i="34"/>
  <c r="H185" i="34"/>
  <c r="I185" i="34"/>
  <c r="J185" i="34"/>
  <c r="K185" i="34"/>
  <c r="L185" i="34"/>
  <c r="M185" i="34"/>
  <c r="N185" i="34"/>
  <c r="O185" i="34"/>
  <c r="A186" i="34"/>
  <c r="B186" i="34"/>
  <c r="C186" i="34"/>
  <c r="D186" i="34"/>
  <c r="E186" i="34"/>
  <c r="F186" i="34"/>
  <c r="G186" i="34"/>
  <c r="H186" i="34"/>
  <c r="I186" i="34"/>
  <c r="J186" i="34"/>
  <c r="K186" i="34"/>
  <c r="L186" i="34"/>
  <c r="M186" i="34"/>
  <c r="N186" i="34"/>
  <c r="O186" i="34"/>
  <c r="A187" i="34"/>
  <c r="B187" i="34"/>
  <c r="C187" i="34"/>
  <c r="D187" i="34"/>
  <c r="E187" i="34"/>
  <c r="F187" i="34"/>
  <c r="G187" i="34"/>
  <c r="H187" i="34"/>
  <c r="I187" i="34"/>
  <c r="J187" i="34"/>
  <c r="K187" i="34"/>
  <c r="L187" i="34"/>
  <c r="M187" i="34"/>
  <c r="N187" i="34"/>
  <c r="O187" i="34"/>
  <c r="A188" i="34"/>
  <c r="B188" i="34"/>
  <c r="C188" i="34"/>
  <c r="D188" i="34"/>
  <c r="E188" i="34"/>
  <c r="F188" i="34"/>
  <c r="G188" i="34"/>
  <c r="H188" i="34"/>
  <c r="I188" i="34"/>
  <c r="J188" i="34"/>
  <c r="K188" i="34"/>
  <c r="L188" i="34"/>
  <c r="M188" i="34"/>
  <c r="N188" i="34"/>
  <c r="O188" i="34"/>
  <c r="A189" i="34"/>
  <c r="B189" i="34"/>
  <c r="C189" i="34"/>
  <c r="D189" i="34"/>
  <c r="E189" i="34"/>
  <c r="F189" i="34"/>
  <c r="G189" i="34"/>
  <c r="H189" i="34"/>
  <c r="I189" i="34"/>
  <c r="J189" i="34"/>
  <c r="K189" i="34"/>
  <c r="L189" i="34"/>
  <c r="M189" i="34"/>
  <c r="N189" i="34"/>
  <c r="O189" i="34"/>
  <c r="A190" i="34"/>
  <c r="B190" i="34"/>
  <c r="C190" i="34"/>
  <c r="D190" i="34"/>
  <c r="E190" i="34"/>
  <c r="F190" i="34"/>
  <c r="G190" i="34"/>
  <c r="H190" i="34"/>
  <c r="I190" i="34"/>
  <c r="J190" i="34"/>
  <c r="K190" i="34"/>
  <c r="L190" i="34"/>
  <c r="M190" i="34"/>
  <c r="N190" i="34"/>
  <c r="O190" i="34"/>
  <c r="A191" i="34"/>
  <c r="B191" i="34"/>
  <c r="C191" i="34"/>
  <c r="D191" i="34"/>
  <c r="E191" i="34"/>
  <c r="F191" i="34"/>
  <c r="G191" i="34"/>
  <c r="H191" i="34"/>
  <c r="I191" i="34"/>
  <c r="J191" i="34"/>
  <c r="K191" i="34"/>
  <c r="L191" i="34"/>
  <c r="M191" i="34"/>
  <c r="N191" i="34"/>
  <c r="O191" i="34"/>
  <c r="A192" i="34"/>
  <c r="B192" i="34"/>
  <c r="C192" i="34"/>
  <c r="D192" i="34"/>
  <c r="E192" i="34"/>
  <c r="F192" i="34"/>
  <c r="G192" i="34"/>
  <c r="H192" i="34"/>
  <c r="I192" i="34"/>
  <c r="J192" i="34"/>
  <c r="K192" i="34"/>
  <c r="L192" i="34"/>
  <c r="M192" i="34"/>
  <c r="N192" i="34"/>
  <c r="O192" i="34"/>
  <c r="A193" i="34"/>
  <c r="B193" i="34"/>
  <c r="C193" i="34"/>
  <c r="D193" i="34"/>
  <c r="E193" i="34"/>
  <c r="F193" i="34"/>
  <c r="G193" i="34"/>
  <c r="H193" i="34"/>
  <c r="I193" i="34"/>
  <c r="J193" i="34"/>
  <c r="K193" i="34"/>
  <c r="L193" i="34"/>
  <c r="M193" i="34"/>
  <c r="N193" i="34"/>
  <c r="O193" i="34"/>
  <c r="A194" i="34"/>
  <c r="B194" i="34"/>
  <c r="C194" i="34"/>
  <c r="D194" i="34"/>
  <c r="E194" i="34"/>
  <c r="F194" i="34"/>
  <c r="G194" i="34"/>
  <c r="H194" i="34"/>
  <c r="I194" i="34"/>
  <c r="J194" i="34"/>
  <c r="K194" i="34"/>
  <c r="L194" i="34"/>
  <c r="M194" i="34"/>
  <c r="N194" i="34"/>
  <c r="O194" i="34"/>
  <c r="A195" i="34"/>
  <c r="B195" i="34"/>
  <c r="C195" i="34"/>
  <c r="D195" i="34"/>
  <c r="E195" i="34"/>
  <c r="F195" i="34"/>
  <c r="G195" i="34"/>
  <c r="H195" i="34"/>
  <c r="I195" i="34"/>
  <c r="J195" i="34"/>
  <c r="K195" i="34"/>
  <c r="L195" i="34"/>
  <c r="M195" i="34"/>
  <c r="N195" i="34"/>
  <c r="O195" i="34"/>
  <c r="A196" i="34"/>
  <c r="B196" i="34"/>
  <c r="C196" i="34"/>
  <c r="D196" i="34"/>
  <c r="E196" i="34"/>
  <c r="F196" i="34"/>
  <c r="G196" i="34"/>
  <c r="H196" i="34"/>
  <c r="I196" i="34"/>
  <c r="J196" i="34"/>
  <c r="K196" i="34"/>
  <c r="L196" i="34"/>
  <c r="M196" i="34"/>
  <c r="N196" i="34"/>
  <c r="O196" i="34"/>
  <c r="A197" i="34"/>
  <c r="B197" i="34"/>
  <c r="C197" i="34"/>
  <c r="D197" i="34"/>
  <c r="E197" i="34"/>
  <c r="F197" i="34"/>
  <c r="G197" i="34"/>
  <c r="H197" i="34"/>
  <c r="I197" i="34"/>
  <c r="J197" i="34"/>
  <c r="K197" i="34"/>
  <c r="L197" i="34"/>
  <c r="M197" i="34"/>
  <c r="N197" i="34"/>
  <c r="O197" i="34"/>
  <c r="A198" i="34"/>
  <c r="B198" i="34"/>
  <c r="C198" i="34"/>
  <c r="D198" i="34"/>
  <c r="E198" i="34"/>
  <c r="F198" i="34"/>
  <c r="G198" i="34"/>
  <c r="H198" i="34"/>
  <c r="I198" i="34"/>
  <c r="J198" i="34"/>
  <c r="K198" i="34"/>
  <c r="L198" i="34"/>
  <c r="M198" i="34"/>
  <c r="N198" i="34"/>
  <c r="O198" i="34"/>
  <c r="A199" i="34"/>
  <c r="B199" i="34"/>
  <c r="C199" i="34"/>
  <c r="D199" i="34"/>
  <c r="E199" i="34"/>
  <c r="F199" i="34"/>
  <c r="G199" i="34"/>
  <c r="H199" i="34"/>
  <c r="I199" i="34"/>
  <c r="J199" i="34"/>
  <c r="K199" i="34"/>
  <c r="L199" i="34"/>
  <c r="M199" i="34"/>
  <c r="N199" i="34"/>
  <c r="O199" i="34"/>
  <c r="A200" i="34"/>
  <c r="B200" i="34"/>
  <c r="C200" i="34"/>
  <c r="D200" i="34"/>
  <c r="E200" i="34"/>
  <c r="F200" i="34"/>
  <c r="G200" i="34"/>
  <c r="H200" i="34"/>
  <c r="I200" i="34"/>
  <c r="J200" i="34"/>
  <c r="K200" i="34"/>
  <c r="L200" i="34"/>
  <c r="M200" i="34"/>
  <c r="N200" i="34"/>
  <c r="O200" i="34"/>
  <c r="A201" i="34"/>
  <c r="B201" i="34"/>
  <c r="C201" i="34"/>
  <c r="D201" i="34"/>
  <c r="E201" i="34"/>
  <c r="F201" i="34"/>
  <c r="G201" i="34"/>
  <c r="H201" i="34"/>
  <c r="I201" i="34"/>
  <c r="J201" i="34"/>
  <c r="K201" i="34"/>
  <c r="L201" i="34"/>
  <c r="M201" i="34"/>
  <c r="N201" i="34"/>
  <c r="O201" i="34"/>
  <c r="A202" i="34"/>
  <c r="B202" i="34"/>
  <c r="C202" i="34"/>
  <c r="D202" i="34"/>
  <c r="E202" i="34"/>
  <c r="F202" i="34"/>
  <c r="G202" i="34"/>
  <c r="H202" i="34"/>
  <c r="I202" i="34"/>
  <c r="J202" i="34"/>
  <c r="K202" i="34"/>
  <c r="L202" i="34"/>
  <c r="M202" i="34"/>
  <c r="N202" i="34"/>
  <c r="O202" i="34"/>
  <c r="A203" i="34"/>
  <c r="B203" i="34"/>
  <c r="C203" i="34"/>
  <c r="D203" i="34"/>
  <c r="E203" i="34"/>
  <c r="F203" i="34"/>
  <c r="G203" i="34"/>
  <c r="H203" i="34"/>
  <c r="I203" i="34"/>
  <c r="J203" i="34"/>
  <c r="K203" i="34"/>
  <c r="L203" i="34"/>
  <c r="M203" i="34"/>
  <c r="N203" i="34"/>
  <c r="O203" i="34"/>
  <c r="A204" i="34"/>
  <c r="B204" i="34"/>
  <c r="C204" i="34"/>
  <c r="D204" i="34"/>
  <c r="E204" i="34"/>
  <c r="F204" i="34"/>
  <c r="G204" i="34"/>
  <c r="H204" i="34"/>
  <c r="I204" i="34"/>
  <c r="J204" i="34"/>
  <c r="K204" i="34"/>
  <c r="L204" i="34"/>
  <c r="M204" i="34"/>
  <c r="N204" i="34"/>
  <c r="O204" i="34"/>
  <c r="A205" i="34"/>
  <c r="B205" i="34"/>
  <c r="C205" i="34"/>
  <c r="D205" i="34"/>
  <c r="E205" i="34"/>
  <c r="F205" i="34"/>
  <c r="G205" i="34"/>
  <c r="H205" i="34"/>
  <c r="I205" i="34"/>
  <c r="J205" i="34"/>
  <c r="K205" i="34"/>
  <c r="L205" i="34"/>
  <c r="M205" i="34"/>
  <c r="N205" i="34"/>
  <c r="O205" i="34"/>
  <c r="A206" i="34"/>
  <c r="B206" i="34"/>
  <c r="C206" i="34"/>
  <c r="D206" i="34"/>
  <c r="E206" i="34"/>
  <c r="F206" i="34"/>
  <c r="G206" i="34"/>
  <c r="H206" i="34"/>
  <c r="I206" i="34"/>
  <c r="J206" i="34"/>
  <c r="K206" i="34"/>
  <c r="L206" i="34"/>
  <c r="M206" i="34"/>
  <c r="N206" i="34"/>
  <c r="O206" i="34"/>
  <c r="A207" i="34"/>
  <c r="B207" i="34"/>
  <c r="C207" i="34"/>
  <c r="D207" i="34"/>
  <c r="E207" i="34"/>
  <c r="F207" i="34"/>
  <c r="G207" i="34"/>
  <c r="H207" i="34"/>
  <c r="I207" i="34"/>
  <c r="J207" i="34"/>
  <c r="K207" i="34"/>
  <c r="L207" i="34"/>
  <c r="M207" i="34"/>
  <c r="N207" i="34"/>
  <c r="O207" i="34"/>
  <c r="A208" i="34"/>
  <c r="B208" i="34"/>
  <c r="C208" i="34"/>
  <c r="D208" i="34"/>
  <c r="E208" i="34"/>
  <c r="F208" i="34"/>
  <c r="G208" i="34"/>
  <c r="H208" i="34"/>
  <c r="I208" i="34"/>
  <c r="J208" i="34"/>
  <c r="K208" i="34"/>
  <c r="L208" i="34"/>
  <c r="M208" i="34"/>
  <c r="N208" i="34"/>
  <c r="O208" i="34"/>
  <c r="A209" i="34"/>
  <c r="B209" i="34"/>
  <c r="C209" i="34"/>
  <c r="D209" i="34"/>
  <c r="E209" i="34"/>
  <c r="F209" i="34"/>
  <c r="G209" i="34"/>
  <c r="H209" i="34"/>
  <c r="I209" i="34"/>
  <c r="J209" i="34"/>
  <c r="K209" i="34"/>
  <c r="L209" i="34"/>
  <c r="M209" i="34"/>
  <c r="N209" i="34"/>
  <c r="O209" i="34"/>
  <c r="A210" i="34"/>
  <c r="B210" i="34"/>
  <c r="C210" i="34"/>
  <c r="D210" i="34"/>
  <c r="E210" i="34"/>
  <c r="F210" i="34"/>
  <c r="G210" i="34"/>
  <c r="H210" i="34"/>
  <c r="I210" i="34"/>
  <c r="J210" i="34"/>
  <c r="K210" i="34"/>
  <c r="L210" i="34"/>
  <c r="M210" i="34"/>
  <c r="N210" i="34"/>
  <c r="O210" i="34"/>
  <c r="A211" i="34"/>
  <c r="B211" i="34"/>
  <c r="C211" i="34"/>
  <c r="D211" i="34"/>
  <c r="E211" i="34"/>
  <c r="F211" i="34"/>
  <c r="G211" i="34"/>
  <c r="H211" i="34"/>
  <c r="I211" i="34"/>
  <c r="J211" i="34"/>
  <c r="K211" i="34"/>
  <c r="L211" i="34"/>
  <c r="M211" i="34"/>
  <c r="N211" i="34"/>
  <c r="O211" i="34"/>
  <c r="A212" i="34"/>
  <c r="B212" i="34"/>
  <c r="C212" i="34"/>
  <c r="D212" i="34"/>
  <c r="E212" i="34"/>
  <c r="F212" i="34"/>
  <c r="G212" i="34"/>
  <c r="H212" i="34"/>
  <c r="I212" i="34"/>
  <c r="J212" i="34"/>
  <c r="K212" i="34"/>
  <c r="L212" i="34"/>
  <c r="M212" i="34"/>
  <c r="N212" i="34"/>
  <c r="O212" i="34"/>
  <c r="A213" i="34"/>
  <c r="B213" i="34"/>
  <c r="C213" i="34"/>
  <c r="D213" i="34"/>
  <c r="E213" i="34"/>
  <c r="F213" i="34"/>
  <c r="G213" i="34"/>
  <c r="H213" i="34"/>
  <c r="I213" i="34"/>
  <c r="J213" i="34"/>
  <c r="K213" i="34"/>
  <c r="L213" i="34"/>
  <c r="M213" i="34"/>
  <c r="N213" i="34"/>
  <c r="O213" i="34"/>
  <c r="A214" i="34"/>
  <c r="B214" i="34"/>
  <c r="C214" i="34"/>
  <c r="D214" i="34"/>
  <c r="E214" i="34"/>
  <c r="F214" i="34"/>
  <c r="G214" i="34"/>
  <c r="H214" i="34"/>
  <c r="I214" i="34"/>
  <c r="J214" i="34"/>
  <c r="K214" i="34"/>
  <c r="L214" i="34"/>
  <c r="M214" i="34"/>
  <c r="N214" i="34"/>
  <c r="O214" i="34"/>
  <c r="A215" i="34"/>
  <c r="B215" i="34"/>
  <c r="C215" i="34"/>
  <c r="D215" i="34"/>
  <c r="E215" i="34"/>
  <c r="F215" i="34"/>
  <c r="G215" i="34"/>
  <c r="H215" i="34"/>
  <c r="I215" i="34"/>
  <c r="J215" i="34"/>
  <c r="K215" i="34"/>
  <c r="L215" i="34"/>
  <c r="M215" i="34"/>
  <c r="N215" i="34"/>
  <c r="O215" i="34"/>
  <c r="A216" i="34"/>
  <c r="B216" i="34"/>
  <c r="C216" i="34"/>
  <c r="D216" i="34"/>
  <c r="E216" i="34"/>
  <c r="F216" i="34"/>
  <c r="G216" i="34"/>
  <c r="H216" i="34"/>
  <c r="I216" i="34"/>
  <c r="J216" i="34"/>
  <c r="K216" i="34"/>
  <c r="L216" i="34"/>
  <c r="M216" i="34"/>
  <c r="N216" i="34"/>
  <c r="O216" i="34"/>
  <c r="A217" i="34"/>
  <c r="B217" i="34"/>
  <c r="C217" i="34"/>
  <c r="D217" i="34"/>
  <c r="E217" i="34"/>
  <c r="F217" i="34"/>
  <c r="G217" i="34"/>
  <c r="H217" i="34"/>
  <c r="I217" i="34"/>
  <c r="J217" i="34"/>
  <c r="K217" i="34"/>
  <c r="L217" i="34"/>
  <c r="M217" i="34"/>
  <c r="N217" i="34"/>
  <c r="O217" i="34"/>
  <c r="A218" i="34"/>
  <c r="B218" i="34"/>
  <c r="C218" i="34"/>
  <c r="D218" i="34"/>
  <c r="E218" i="34"/>
  <c r="F218" i="34"/>
  <c r="G218" i="34"/>
  <c r="H218" i="34"/>
  <c r="I218" i="34"/>
  <c r="J218" i="34"/>
  <c r="K218" i="34"/>
  <c r="L218" i="34"/>
  <c r="M218" i="34"/>
  <c r="N218" i="34"/>
  <c r="O218" i="34"/>
  <c r="A219" i="34"/>
  <c r="B219" i="34"/>
  <c r="C219" i="34"/>
  <c r="D219" i="34"/>
  <c r="E219" i="34"/>
  <c r="F219" i="34"/>
  <c r="G219" i="34"/>
  <c r="H219" i="34"/>
  <c r="I219" i="34"/>
  <c r="J219" i="34"/>
  <c r="K219" i="34"/>
  <c r="L219" i="34"/>
  <c r="M219" i="34"/>
  <c r="N219" i="34"/>
  <c r="O219" i="34"/>
  <c r="A220" i="34"/>
  <c r="B220" i="34"/>
  <c r="C220" i="34"/>
  <c r="D220" i="34"/>
  <c r="E220" i="34"/>
  <c r="F220" i="34"/>
  <c r="G220" i="34"/>
  <c r="H220" i="34"/>
  <c r="I220" i="34"/>
  <c r="J220" i="34"/>
  <c r="K220" i="34"/>
  <c r="L220" i="34"/>
  <c r="M220" i="34"/>
  <c r="N220" i="34"/>
  <c r="O220" i="34"/>
  <c r="A221" i="34"/>
  <c r="B221" i="34"/>
  <c r="C221" i="34"/>
  <c r="D221" i="34"/>
  <c r="E221" i="34"/>
  <c r="F221" i="34"/>
  <c r="G221" i="34"/>
  <c r="H221" i="34"/>
  <c r="I221" i="34"/>
  <c r="J221" i="34"/>
  <c r="K221" i="34"/>
  <c r="L221" i="34"/>
  <c r="M221" i="34"/>
  <c r="N221" i="34"/>
  <c r="O221" i="34"/>
  <c r="A222" i="34"/>
  <c r="B222" i="34"/>
  <c r="C222" i="34"/>
  <c r="D222" i="34"/>
  <c r="E222" i="34"/>
  <c r="F222" i="34"/>
  <c r="G222" i="34"/>
  <c r="H222" i="34"/>
  <c r="I222" i="34"/>
  <c r="J222" i="34"/>
  <c r="K222" i="34"/>
  <c r="L222" i="34"/>
  <c r="M222" i="34"/>
  <c r="N222" i="34"/>
  <c r="O222" i="34"/>
  <c r="A223" i="34"/>
  <c r="B223" i="34"/>
  <c r="C223" i="34"/>
  <c r="D223" i="34"/>
  <c r="E223" i="34"/>
  <c r="F223" i="34"/>
  <c r="G223" i="34"/>
  <c r="H223" i="34"/>
  <c r="I223" i="34"/>
  <c r="J223" i="34"/>
  <c r="K223" i="34"/>
  <c r="L223" i="34"/>
  <c r="M223" i="34"/>
  <c r="N223" i="34"/>
  <c r="O223" i="34"/>
  <c r="A224" i="34"/>
  <c r="B224" i="34"/>
  <c r="C224" i="34"/>
  <c r="D224" i="34"/>
  <c r="E224" i="34"/>
  <c r="F224" i="34"/>
  <c r="G224" i="34"/>
  <c r="H224" i="34"/>
  <c r="I224" i="34"/>
  <c r="J224" i="34"/>
  <c r="K224" i="34"/>
  <c r="L224" i="34"/>
  <c r="M224" i="34"/>
  <c r="N224" i="34"/>
  <c r="O224" i="34"/>
  <c r="A225" i="34"/>
  <c r="B225" i="34"/>
  <c r="C225" i="34"/>
  <c r="D225" i="34"/>
  <c r="E225" i="34"/>
  <c r="F225" i="34"/>
  <c r="G225" i="34"/>
  <c r="H225" i="34"/>
  <c r="I225" i="34"/>
  <c r="J225" i="34"/>
  <c r="K225" i="34"/>
  <c r="L225" i="34"/>
  <c r="M225" i="34"/>
  <c r="N225" i="34"/>
  <c r="O225" i="34"/>
  <c r="A226" i="34"/>
  <c r="B226" i="34"/>
  <c r="C226" i="34"/>
  <c r="D226" i="34"/>
  <c r="E226" i="34"/>
  <c r="F226" i="34"/>
  <c r="G226" i="34"/>
  <c r="H226" i="34"/>
  <c r="I226" i="34"/>
  <c r="J226" i="34"/>
  <c r="K226" i="34"/>
  <c r="L226" i="34"/>
  <c r="M226" i="34"/>
  <c r="N226" i="34"/>
  <c r="O226" i="34"/>
  <c r="A227" i="34"/>
  <c r="B227" i="34"/>
  <c r="C227" i="34"/>
  <c r="D227" i="34"/>
  <c r="E227" i="34"/>
  <c r="F227" i="34"/>
  <c r="G227" i="34"/>
  <c r="H227" i="34"/>
  <c r="I227" i="34"/>
  <c r="J227" i="34"/>
  <c r="K227" i="34"/>
  <c r="L227" i="34"/>
  <c r="M227" i="34"/>
  <c r="N227" i="34"/>
  <c r="O227" i="34"/>
  <c r="A228" i="34"/>
  <c r="B228" i="34"/>
  <c r="C228" i="34"/>
  <c r="D228" i="34"/>
  <c r="E228" i="34"/>
  <c r="F228" i="34"/>
  <c r="G228" i="34"/>
  <c r="H228" i="34"/>
  <c r="I228" i="34"/>
  <c r="J228" i="34"/>
  <c r="K228" i="34"/>
  <c r="L228" i="34"/>
  <c r="M228" i="34"/>
  <c r="N228" i="34"/>
  <c r="O228" i="34"/>
  <c r="A229" i="34"/>
  <c r="B229" i="34"/>
  <c r="C229" i="34"/>
  <c r="D229" i="34"/>
  <c r="E229" i="34"/>
  <c r="F229" i="34"/>
  <c r="G229" i="34"/>
  <c r="H229" i="34"/>
  <c r="I229" i="34"/>
  <c r="J229" i="34"/>
  <c r="K229" i="34"/>
  <c r="L229" i="34"/>
  <c r="M229" i="34"/>
  <c r="N229" i="34"/>
  <c r="O229" i="34"/>
  <c r="A230" i="34"/>
  <c r="B230" i="34"/>
  <c r="C230" i="34"/>
  <c r="D230" i="34"/>
  <c r="E230" i="34"/>
  <c r="F230" i="34"/>
  <c r="G230" i="34"/>
  <c r="H230" i="34"/>
  <c r="I230" i="34"/>
  <c r="J230" i="34"/>
  <c r="K230" i="34"/>
  <c r="L230" i="34"/>
  <c r="M230" i="34"/>
  <c r="N230" i="34"/>
  <c r="O230" i="34"/>
  <c r="A231" i="34"/>
  <c r="B231" i="34"/>
  <c r="C231" i="34"/>
  <c r="D231" i="34"/>
  <c r="E231" i="34"/>
  <c r="F231" i="34"/>
  <c r="G231" i="34"/>
  <c r="H231" i="34"/>
  <c r="I231" i="34"/>
  <c r="J231" i="34"/>
  <c r="K231" i="34"/>
  <c r="L231" i="34"/>
  <c r="M231" i="34"/>
  <c r="N231" i="34"/>
  <c r="O231" i="34"/>
  <c r="A232" i="34"/>
  <c r="B232" i="34"/>
  <c r="C232" i="34"/>
  <c r="D232" i="34"/>
  <c r="E232" i="34"/>
  <c r="F232" i="34"/>
  <c r="G232" i="34"/>
  <c r="H232" i="34"/>
  <c r="I232" i="34"/>
  <c r="J232" i="34"/>
  <c r="K232" i="34"/>
  <c r="L232" i="34"/>
  <c r="M232" i="34"/>
  <c r="N232" i="34"/>
  <c r="O232" i="34"/>
  <c r="A233" i="34"/>
  <c r="B233" i="34"/>
  <c r="C233" i="34"/>
  <c r="D233" i="34"/>
  <c r="E233" i="34"/>
  <c r="F233" i="34"/>
  <c r="G233" i="34"/>
  <c r="H233" i="34"/>
  <c r="I233" i="34"/>
  <c r="J233" i="34"/>
  <c r="K233" i="34"/>
  <c r="L233" i="34"/>
  <c r="M233" i="34"/>
  <c r="N233" i="34"/>
  <c r="O233" i="34"/>
  <c r="A234" i="34"/>
  <c r="B234" i="34"/>
  <c r="C234" i="34"/>
  <c r="D234" i="34"/>
  <c r="E234" i="34"/>
  <c r="F234" i="34"/>
  <c r="G234" i="34"/>
  <c r="H234" i="34"/>
  <c r="I234" i="34"/>
  <c r="J234" i="34"/>
  <c r="K234" i="34"/>
  <c r="L234" i="34"/>
  <c r="M234" i="34"/>
  <c r="N234" i="34"/>
  <c r="O234" i="34"/>
  <c r="A235" i="34"/>
  <c r="B235" i="34"/>
  <c r="C235" i="34"/>
  <c r="D235" i="34"/>
  <c r="E235" i="34"/>
  <c r="F235" i="34"/>
  <c r="G235" i="34"/>
  <c r="H235" i="34"/>
  <c r="I235" i="34"/>
  <c r="J235" i="34"/>
  <c r="K235" i="34"/>
  <c r="L235" i="34"/>
  <c r="M235" i="34"/>
  <c r="N235" i="34"/>
  <c r="O235" i="34"/>
  <c r="A236" i="34"/>
  <c r="B236" i="34"/>
  <c r="C236" i="34"/>
  <c r="D236" i="34"/>
  <c r="E236" i="34"/>
  <c r="F236" i="34"/>
  <c r="G236" i="34"/>
  <c r="H236" i="34"/>
  <c r="I236" i="34"/>
  <c r="J236" i="34"/>
  <c r="K236" i="34"/>
  <c r="L236" i="34"/>
  <c r="M236" i="34"/>
  <c r="N236" i="34"/>
  <c r="O236" i="34"/>
  <c r="A237" i="34"/>
  <c r="B237" i="34"/>
  <c r="C237" i="34"/>
  <c r="D237" i="34"/>
  <c r="E237" i="34"/>
  <c r="F237" i="34"/>
  <c r="G237" i="34"/>
  <c r="H237" i="34"/>
  <c r="I237" i="34"/>
  <c r="J237" i="34"/>
  <c r="K237" i="34"/>
  <c r="L237" i="34"/>
  <c r="M237" i="34"/>
  <c r="N237" i="34"/>
  <c r="O237" i="34"/>
  <c r="A238" i="34"/>
  <c r="B238" i="34"/>
  <c r="C238" i="34"/>
  <c r="D238" i="34"/>
  <c r="E238" i="34"/>
  <c r="F238" i="34"/>
  <c r="G238" i="34"/>
  <c r="H238" i="34"/>
  <c r="I238" i="34"/>
  <c r="J238" i="34"/>
  <c r="K238" i="34"/>
  <c r="L238" i="34"/>
  <c r="M238" i="34"/>
  <c r="N238" i="34"/>
  <c r="O238" i="34"/>
  <c r="A239" i="34"/>
  <c r="B239" i="34"/>
  <c r="C239" i="34"/>
  <c r="D239" i="34"/>
  <c r="E239" i="34"/>
  <c r="F239" i="34"/>
  <c r="G239" i="34"/>
  <c r="H239" i="34"/>
  <c r="I239" i="34"/>
  <c r="J239" i="34"/>
  <c r="K239" i="34"/>
  <c r="L239" i="34"/>
  <c r="M239" i="34"/>
  <c r="N239" i="34"/>
  <c r="O239" i="34"/>
  <c r="A240" i="34"/>
  <c r="B240" i="34"/>
  <c r="C240" i="34"/>
  <c r="D240" i="34"/>
  <c r="E240" i="34"/>
  <c r="F240" i="34"/>
  <c r="G240" i="34"/>
  <c r="H240" i="34"/>
  <c r="I240" i="34"/>
  <c r="J240" i="34"/>
  <c r="K240" i="34"/>
  <c r="L240" i="34"/>
  <c r="M240" i="34"/>
  <c r="N240" i="34"/>
  <c r="O240" i="34"/>
  <c r="A241" i="34"/>
  <c r="B241" i="34"/>
  <c r="C241" i="34"/>
  <c r="D241" i="34"/>
  <c r="E241" i="34"/>
  <c r="F241" i="34"/>
  <c r="G241" i="34"/>
  <c r="H241" i="34"/>
  <c r="I241" i="34"/>
  <c r="J241" i="34"/>
  <c r="K241" i="34"/>
  <c r="L241" i="34"/>
  <c r="M241" i="34"/>
  <c r="N241" i="34"/>
  <c r="O241" i="34"/>
  <c r="A242" i="34"/>
  <c r="B242" i="34"/>
  <c r="C242" i="34"/>
  <c r="D242" i="34"/>
  <c r="E242" i="34"/>
  <c r="F242" i="34"/>
  <c r="G242" i="34"/>
  <c r="H242" i="34"/>
  <c r="I242" i="34"/>
  <c r="J242" i="34"/>
  <c r="K242" i="34"/>
  <c r="L242" i="34"/>
  <c r="M242" i="34"/>
  <c r="N242" i="34"/>
  <c r="O242" i="34"/>
  <c r="A243" i="34"/>
  <c r="B243" i="34"/>
  <c r="C243" i="34"/>
  <c r="D243" i="34"/>
  <c r="E243" i="34"/>
  <c r="F243" i="34"/>
  <c r="G243" i="34"/>
  <c r="H243" i="34"/>
  <c r="I243" i="34"/>
  <c r="J243" i="34"/>
  <c r="K243" i="34"/>
  <c r="L243" i="34"/>
  <c r="M243" i="34"/>
  <c r="N243" i="34"/>
  <c r="O243" i="34"/>
  <c r="A244" i="34"/>
  <c r="B244" i="34"/>
  <c r="C244" i="34"/>
  <c r="D244" i="34"/>
  <c r="E244" i="34"/>
  <c r="F244" i="34"/>
  <c r="G244" i="34"/>
  <c r="H244" i="34"/>
  <c r="I244" i="34"/>
  <c r="J244" i="34"/>
  <c r="K244" i="34"/>
  <c r="L244" i="34"/>
  <c r="M244" i="34"/>
  <c r="N244" i="34"/>
  <c r="O244" i="34"/>
  <c r="A245" i="34"/>
  <c r="B245" i="34"/>
  <c r="C245" i="34"/>
  <c r="D245" i="34"/>
  <c r="E245" i="34"/>
  <c r="F245" i="34"/>
  <c r="G245" i="34"/>
  <c r="H245" i="34"/>
  <c r="I245" i="34"/>
  <c r="J245" i="34"/>
  <c r="K245" i="34"/>
  <c r="L245" i="34"/>
  <c r="M245" i="34"/>
  <c r="N245" i="34"/>
  <c r="O245" i="34"/>
  <c r="A246" i="34"/>
  <c r="B246" i="34"/>
  <c r="C246" i="34"/>
  <c r="D246" i="34"/>
  <c r="E246" i="34"/>
  <c r="F246" i="34"/>
  <c r="G246" i="34"/>
  <c r="H246" i="34"/>
  <c r="I246" i="34"/>
  <c r="J246" i="34"/>
  <c r="K246" i="34"/>
  <c r="L246" i="34"/>
  <c r="M246" i="34"/>
  <c r="N246" i="34"/>
  <c r="O246" i="34"/>
  <c r="A247" i="34"/>
  <c r="B247" i="34"/>
  <c r="C247" i="34"/>
  <c r="D247" i="34"/>
  <c r="E247" i="34"/>
  <c r="F247" i="34"/>
  <c r="G247" i="34"/>
  <c r="H247" i="34"/>
  <c r="I247" i="34"/>
  <c r="J247" i="34"/>
  <c r="K247" i="34"/>
  <c r="L247" i="34"/>
  <c r="M247" i="34"/>
  <c r="N247" i="34"/>
  <c r="O247" i="34"/>
  <c r="A248" i="34"/>
  <c r="B248" i="34"/>
  <c r="C248" i="34"/>
  <c r="D248" i="34"/>
  <c r="E248" i="34"/>
  <c r="F248" i="34"/>
  <c r="G248" i="34"/>
  <c r="H248" i="34"/>
  <c r="I248" i="34"/>
  <c r="J248" i="34"/>
  <c r="K248" i="34"/>
  <c r="L248" i="34"/>
  <c r="M248" i="34"/>
  <c r="N248" i="34"/>
  <c r="O248" i="34"/>
  <c r="A249" i="34"/>
  <c r="B249" i="34"/>
  <c r="C249" i="34"/>
  <c r="D249" i="34"/>
  <c r="E249" i="34"/>
  <c r="F249" i="34"/>
  <c r="G249" i="34"/>
  <c r="H249" i="34"/>
  <c r="I249" i="34"/>
  <c r="J249" i="34"/>
  <c r="K249" i="34"/>
  <c r="L249" i="34"/>
  <c r="M249" i="34"/>
  <c r="N249" i="34"/>
  <c r="O249" i="34"/>
  <c r="A250" i="34"/>
  <c r="B250" i="34"/>
  <c r="C250" i="34"/>
  <c r="D250" i="34"/>
  <c r="E250" i="34"/>
  <c r="F250" i="34"/>
  <c r="G250" i="34"/>
  <c r="H250" i="34"/>
  <c r="I250" i="34"/>
  <c r="J250" i="34"/>
  <c r="K250" i="34"/>
  <c r="L250" i="34"/>
  <c r="M250" i="34"/>
  <c r="N250" i="34"/>
  <c r="O250" i="34"/>
  <c r="A251" i="34"/>
  <c r="B251" i="34"/>
  <c r="C251" i="34"/>
  <c r="D251" i="34"/>
  <c r="E251" i="34"/>
  <c r="F251" i="34"/>
  <c r="G251" i="34"/>
  <c r="H251" i="34"/>
  <c r="I251" i="34"/>
  <c r="J251" i="34"/>
  <c r="K251" i="34"/>
  <c r="L251" i="34"/>
  <c r="M251" i="34"/>
  <c r="N251" i="34"/>
  <c r="O251" i="34"/>
  <c r="A252" i="34"/>
  <c r="B252" i="34"/>
  <c r="C252" i="34"/>
  <c r="D252" i="34"/>
  <c r="E252" i="34"/>
  <c r="F252" i="34"/>
  <c r="G252" i="34"/>
  <c r="H252" i="34"/>
  <c r="I252" i="34"/>
  <c r="J252" i="34"/>
  <c r="K252" i="34"/>
  <c r="L252" i="34"/>
  <c r="M252" i="34"/>
  <c r="N252" i="34"/>
  <c r="O252" i="34"/>
  <c r="A253" i="34"/>
  <c r="B253" i="34"/>
  <c r="C253" i="34"/>
  <c r="D253" i="34"/>
  <c r="E253" i="34"/>
  <c r="F253" i="34"/>
  <c r="G253" i="34"/>
  <c r="H253" i="34"/>
  <c r="I253" i="34"/>
  <c r="J253" i="34"/>
  <c r="K253" i="34"/>
  <c r="L253" i="34"/>
  <c r="M253" i="34"/>
  <c r="N253" i="34"/>
  <c r="O253" i="34"/>
  <c r="A254" i="34"/>
  <c r="B254" i="34"/>
  <c r="C254" i="34"/>
  <c r="D254" i="34"/>
  <c r="E254" i="34"/>
  <c r="F254" i="34"/>
  <c r="G254" i="34"/>
  <c r="H254" i="34"/>
  <c r="I254" i="34"/>
  <c r="J254" i="34"/>
  <c r="K254" i="34"/>
  <c r="L254" i="34"/>
  <c r="M254" i="34"/>
  <c r="N254" i="34"/>
  <c r="O254" i="34"/>
  <c r="A255" i="34"/>
  <c r="B255" i="34"/>
  <c r="C255" i="34"/>
  <c r="D255" i="34"/>
  <c r="E255" i="34"/>
  <c r="F255" i="34"/>
  <c r="G255" i="34"/>
  <c r="H255" i="34"/>
  <c r="I255" i="34"/>
  <c r="J255" i="34"/>
  <c r="K255" i="34"/>
  <c r="L255" i="34"/>
  <c r="M255" i="34"/>
  <c r="N255" i="34"/>
  <c r="O255" i="34"/>
  <c r="A256" i="34"/>
  <c r="B256" i="34"/>
  <c r="C256" i="34"/>
  <c r="D256" i="34"/>
  <c r="E256" i="34"/>
  <c r="F256" i="34"/>
  <c r="G256" i="34"/>
  <c r="H256" i="34"/>
  <c r="I256" i="34"/>
  <c r="J256" i="34"/>
  <c r="K256" i="34"/>
  <c r="L256" i="34"/>
  <c r="M256" i="34"/>
  <c r="N256" i="34"/>
  <c r="O256" i="34"/>
  <c r="A257" i="34"/>
  <c r="B257" i="34"/>
  <c r="C257" i="34"/>
  <c r="D257" i="34"/>
  <c r="E257" i="34"/>
  <c r="F257" i="34"/>
  <c r="G257" i="34"/>
  <c r="H257" i="34"/>
  <c r="I257" i="34"/>
  <c r="J257" i="34"/>
  <c r="K257" i="34"/>
  <c r="L257" i="34"/>
  <c r="M257" i="34"/>
  <c r="N257" i="34"/>
  <c r="O257" i="34"/>
  <c r="A258" i="34"/>
  <c r="B258" i="34"/>
  <c r="C258" i="34"/>
  <c r="D258" i="34"/>
  <c r="E258" i="34"/>
  <c r="F258" i="34"/>
  <c r="G258" i="34"/>
  <c r="H258" i="34"/>
  <c r="I258" i="34"/>
  <c r="J258" i="34"/>
  <c r="K258" i="34"/>
  <c r="L258" i="34"/>
  <c r="M258" i="34"/>
  <c r="N258" i="34"/>
  <c r="O258" i="34"/>
  <c r="A259" i="34"/>
  <c r="B259" i="34"/>
  <c r="C259" i="34"/>
  <c r="D259" i="34"/>
  <c r="E259" i="34"/>
  <c r="F259" i="34"/>
  <c r="G259" i="34"/>
  <c r="H259" i="34"/>
  <c r="I259" i="34"/>
  <c r="J259" i="34"/>
  <c r="K259" i="34"/>
  <c r="L259" i="34"/>
  <c r="M259" i="34"/>
  <c r="N259" i="34"/>
  <c r="O259" i="34"/>
  <c r="A260" i="34"/>
  <c r="B260" i="34"/>
  <c r="C260" i="34"/>
  <c r="D260" i="34"/>
  <c r="E260" i="34"/>
  <c r="F260" i="34"/>
  <c r="G260" i="34"/>
  <c r="H260" i="34"/>
  <c r="I260" i="34"/>
  <c r="J260" i="34"/>
  <c r="K260" i="34"/>
  <c r="L260" i="34"/>
  <c r="M260" i="34"/>
  <c r="N260" i="34"/>
  <c r="O260" i="34"/>
  <c r="A261" i="34"/>
  <c r="B261" i="34"/>
  <c r="C261" i="34"/>
  <c r="D261" i="34"/>
  <c r="E261" i="34"/>
  <c r="F261" i="34"/>
  <c r="G261" i="34"/>
  <c r="H261" i="34"/>
  <c r="I261" i="34"/>
  <c r="J261" i="34"/>
  <c r="K261" i="34"/>
  <c r="L261" i="34"/>
  <c r="M261" i="34"/>
  <c r="N261" i="34"/>
  <c r="O261" i="34"/>
  <c r="A262" i="34"/>
  <c r="B262" i="34"/>
  <c r="C262" i="34"/>
  <c r="D262" i="34"/>
  <c r="E262" i="34"/>
  <c r="F262" i="34"/>
  <c r="G262" i="34"/>
  <c r="H262" i="34"/>
  <c r="I262" i="34"/>
  <c r="J262" i="34"/>
  <c r="K262" i="34"/>
  <c r="L262" i="34"/>
  <c r="M262" i="34"/>
  <c r="N262" i="34"/>
  <c r="O262" i="34"/>
  <c r="A263" i="34"/>
  <c r="B263" i="34"/>
  <c r="C263" i="34"/>
  <c r="D263" i="34"/>
  <c r="E263" i="34"/>
  <c r="F263" i="34"/>
  <c r="G263" i="34"/>
  <c r="H263" i="34"/>
  <c r="I263" i="34"/>
  <c r="J263" i="34"/>
  <c r="K263" i="34"/>
  <c r="L263" i="34"/>
  <c r="M263" i="34"/>
  <c r="N263" i="34"/>
  <c r="O263" i="34"/>
  <c r="A264" i="34"/>
  <c r="B264" i="34"/>
  <c r="C264" i="34"/>
  <c r="D264" i="34"/>
  <c r="E264" i="34"/>
  <c r="F264" i="34"/>
  <c r="G264" i="34"/>
  <c r="H264" i="34"/>
  <c r="I264" i="34"/>
  <c r="J264" i="34"/>
  <c r="K264" i="34"/>
  <c r="L264" i="34"/>
  <c r="M264" i="34"/>
  <c r="N264" i="34"/>
  <c r="O264" i="34"/>
  <c r="A265" i="34"/>
  <c r="B265" i="34"/>
  <c r="C265" i="34"/>
  <c r="D265" i="34"/>
  <c r="E265" i="34"/>
  <c r="F265" i="34"/>
  <c r="G265" i="34"/>
  <c r="H265" i="34"/>
  <c r="I265" i="34"/>
  <c r="J265" i="34"/>
  <c r="K265" i="34"/>
  <c r="L265" i="34"/>
  <c r="M265" i="34"/>
  <c r="N265" i="34"/>
  <c r="O265" i="34"/>
  <c r="A266" i="34"/>
  <c r="B266" i="34"/>
  <c r="C266" i="34"/>
  <c r="D266" i="34"/>
  <c r="E266" i="34"/>
  <c r="F266" i="34"/>
  <c r="G266" i="34"/>
  <c r="H266" i="34"/>
  <c r="I266" i="34"/>
  <c r="J266" i="34"/>
  <c r="K266" i="34"/>
  <c r="L266" i="34"/>
  <c r="M266" i="34"/>
  <c r="N266" i="34"/>
  <c r="O266" i="34"/>
  <c r="A267" i="34"/>
  <c r="B267" i="34"/>
  <c r="C267" i="34"/>
  <c r="D267" i="34"/>
  <c r="E267" i="34"/>
  <c r="F267" i="34"/>
  <c r="G267" i="34"/>
  <c r="H267" i="34"/>
  <c r="I267" i="34"/>
  <c r="J267" i="34"/>
  <c r="K267" i="34"/>
  <c r="L267" i="34"/>
  <c r="M267" i="34"/>
  <c r="N267" i="34"/>
  <c r="O267" i="34"/>
  <c r="A268" i="34"/>
  <c r="B268" i="34"/>
  <c r="C268" i="34"/>
  <c r="D268" i="34"/>
  <c r="E268" i="34"/>
  <c r="F268" i="34"/>
  <c r="G268" i="34"/>
  <c r="H268" i="34"/>
  <c r="I268" i="34"/>
  <c r="J268" i="34"/>
  <c r="K268" i="34"/>
  <c r="L268" i="34"/>
  <c r="M268" i="34"/>
  <c r="N268" i="34"/>
  <c r="O268" i="34"/>
  <c r="A269" i="34"/>
  <c r="B269" i="34"/>
  <c r="C269" i="34"/>
  <c r="D269" i="34"/>
  <c r="E269" i="34"/>
  <c r="F269" i="34"/>
  <c r="G269" i="34"/>
  <c r="H269" i="34"/>
  <c r="I269" i="34"/>
  <c r="J269" i="34"/>
  <c r="K269" i="34"/>
  <c r="L269" i="34"/>
  <c r="M269" i="34"/>
  <c r="N269" i="34"/>
  <c r="O269" i="34"/>
  <c r="A270" i="34"/>
  <c r="B270" i="34"/>
  <c r="C270" i="34"/>
  <c r="D270" i="34"/>
  <c r="E270" i="34"/>
  <c r="F270" i="34"/>
  <c r="G270" i="34"/>
  <c r="H270" i="34"/>
  <c r="I270" i="34"/>
  <c r="J270" i="34"/>
  <c r="K270" i="34"/>
  <c r="L270" i="34"/>
  <c r="M270" i="34"/>
  <c r="N270" i="34"/>
  <c r="O270" i="34"/>
  <c r="A271" i="34"/>
  <c r="B271" i="34"/>
  <c r="C271" i="34"/>
  <c r="D271" i="34"/>
  <c r="E271" i="34"/>
  <c r="F271" i="34"/>
  <c r="G271" i="34"/>
  <c r="H271" i="34"/>
  <c r="I271" i="34"/>
  <c r="J271" i="34"/>
  <c r="K271" i="34"/>
  <c r="L271" i="34"/>
  <c r="M271" i="34"/>
  <c r="N271" i="34"/>
  <c r="O271" i="34"/>
  <c r="A272" i="34"/>
  <c r="B272" i="34"/>
  <c r="C272" i="34"/>
  <c r="D272" i="34"/>
  <c r="E272" i="34"/>
  <c r="F272" i="34"/>
  <c r="G272" i="34"/>
  <c r="H272" i="34"/>
  <c r="I272" i="34"/>
  <c r="J272" i="34"/>
  <c r="K272" i="34"/>
  <c r="L272" i="34"/>
  <c r="M272" i="34"/>
  <c r="N272" i="34"/>
  <c r="O272" i="34"/>
  <c r="A273" i="34"/>
  <c r="B273" i="34"/>
  <c r="C273" i="34"/>
  <c r="D273" i="34"/>
  <c r="E273" i="34"/>
  <c r="F273" i="34"/>
  <c r="G273" i="34"/>
  <c r="H273" i="34"/>
  <c r="I273" i="34"/>
  <c r="J273" i="34"/>
  <c r="K273" i="34"/>
  <c r="L273" i="34"/>
  <c r="M273" i="34"/>
  <c r="N273" i="34"/>
  <c r="O273" i="34"/>
  <c r="A274" i="34"/>
  <c r="B274" i="34"/>
  <c r="C274" i="34"/>
  <c r="D274" i="34"/>
  <c r="E274" i="34"/>
  <c r="F274" i="34"/>
  <c r="G274" i="34"/>
  <c r="H274" i="34"/>
  <c r="I274" i="34"/>
  <c r="J274" i="34"/>
  <c r="K274" i="34"/>
  <c r="L274" i="34"/>
  <c r="M274" i="34"/>
  <c r="N274" i="34"/>
  <c r="O274" i="34"/>
  <c r="A275" i="34"/>
  <c r="B275" i="34"/>
  <c r="C275" i="34"/>
  <c r="D275" i="34"/>
  <c r="E275" i="34"/>
  <c r="F275" i="34"/>
  <c r="G275" i="34"/>
  <c r="H275" i="34"/>
  <c r="I275" i="34"/>
  <c r="J275" i="34"/>
  <c r="K275" i="34"/>
  <c r="L275" i="34"/>
  <c r="M275" i="34"/>
  <c r="N275" i="34"/>
  <c r="O275" i="34"/>
  <c r="A276" i="34"/>
  <c r="B276" i="34"/>
  <c r="C276" i="34"/>
  <c r="D276" i="34"/>
  <c r="E276" i="34"/>
  <c r="F276" i="34"/>
  <c r="G276" i="34"/>
  <c r="H276" i="34"/>
  <c r="I276" i="34"/>
  <c r="J276" i="34"/>
  <c r="K276" i="34"/>
  <c r="L276" i="34"/>
  <c r="M276" i="34"/>
  <c r="N276" i="34"/>
  <c r="O276" i="34"/>
  <c r="A277" i="34"/>
  <c r="B277" i="34"/>
  <c r="C277" i="34"/>
  <c r="D277" i="34"/>
  <c r="E277" i="34"/>
  <c r="F277" i="34"/>
  <c r="G277" i="34"/>
  <c r="H277" i="34"/>
  <c r="I277" i="34"/>
  <c r="J277" i="34"/>
  <c r="K277" i="34"/>
  <c r="L277" i="34"/>
  <c r="M277" i="34"/>
  <c r="N277" i="34"/>
  <c r="O277" i="34"/>
  <c r="A278" i="34"/>
  <c r="B278" i="34"/>
  <c r="C278" i="34"/>
  <c r="D278" i="34"/>
  <c r="E278" i="34"/>
  <c r="F278" i="34"/>
  <c r="G278" i="34"/>
  <c r="H278" i="34"/>
  <c r="I278" i="34"/>
  <c r="J278" i="34"/>
  <c r="K278" i="34"/>
  <c r="L278" i="34"/>
  <c r="M278" i="34"/>
  <c r="N278" i="34"/>
  <c r="O278" i="34"/>
  <c r="A279" i="34"/>
  <c r="B279" i="34"/>
  <c r="C279" i="34"/>
  <c r="D279" i="34"/>
  <c r="E279" i="34"/>
  <c r="F279" i="34"/>
  <c r="G279" i="34"/>
  <c r="H279" i="34"/>
  <c r="I279" i="34"/>
  <c r="J279" i="34"/>
  <c r="K279" i="34"/>
  <c r="L279" i="34"/>
  <c r="M279" i="34"/>
  <c r="N279" i="34"/>
  <c r="O279" i="34"/>
  <c r="A280" i="34"/>
  <c r="B280" i="34"/>
  <c r="C280" i="34"/>
  <c r="D280" i="34"/>
  <c r="E280" i="34"/>
  <c r="F280" i="34"/>
  <c r="G280" i="34"/>
  <c r="H280" i="34"/>
  <c r="I280" i="34"/>
  <c r="J280" i="34"/>
  <c r="K280" i="34"/>
  <c r="L280" i="34"/>
  <c r="M280" i="34"/>
  <c r="N280" i="34"/>
  <c r="O280" i="34"/>
  <c r="A281" i="34"/>
  <c r="B281" i="34"/>
  <c r="C281" i="34"/>
  <c r="D281" i="34"/>
  <c r="E281" i="34"/>
  <c r="F281" i="34"/>
  <c r="G281" i="34"/>
  <c r="H281" i="34"/>
  <c r="I281" i="34"/>
  <c r="J281" i="34"/>
  <c r="K281" i="34"/>
  <c r="L281" i="34"/>
  <c r="M281" i="34"/>
  <c r="N281" i="34"/>
  <c r="O281" i="34"/>
  <c r="A282" i="34"/>
  <c r="B282" i="34"/>
  <c r="C282" i="34"/>
  <c r="D282" i="34"/>
  <c r="E282" i="34"/>
  <c r="F282" i="34"/>
  <c r="G282" i="34"/>
  <c r="H282" i="34"/>
  <c r="I282" i="34"/>
  <c r="J282" i="34"/>
  <c r="K282" i="34"/>
  <c r="L282" i="34"/>
  <c r="M282" i="34"/>
  <c r="N282" i="34"/>
  <c r="O282" i="34"/>
  <c r="A283" i="34"/>
  <c r="B283" i="34"/>
  <c r="C283" i="34"/>
  <c r="D283" i="34"/>
  <c r="E283" i="34"/>
  <c r="F283" i="34"/>
  <c r="G283" i="34"/>
  <c r="H283" i="34"/>
  <c r="I283" i="34"/>
  <c r="J283" i="34"/>
  <c r="K283" i="34"/>
  <c r="L283" i="34"/>
  <c r="M283" i="34"/>
  <c r="N283" i="34"/>
  <c r="O283" i="34"/>
  <c r="A284" i="34"/>
  <c r="B284" i="34"/>
  <c r="C284" i="34"/>
  <c r="D284" i="34"/>
  <c r="E284" i="34"/>
  <c r="F284" i="34"/>
  <c r="G284" i="34"/>
  <c r="H284" i="34"/>
  <c r="I284" i="34"/>
  <c r="J284" i="34"/>
  <c r="K284" i="34"/>
  <c r="L284" i="34"/>
  <c r="M284" i="34"/>
  <c r="N284" i="34"/>
  <c r="O284" i="34"/>
  <c r="A285" i="34"/>
  <c r="B285" i="34"/>
  <c r="C285" i="34"/>
  <c r="D285" i="34"/>
  <c r="E285" i="34"/>
  <c r="F285" i="34"/>
  <c r="G285" i="34"/>
  <c r="H285" i="34"/>
  <c r="I285" i="34"/>
  <c r="J285" i="34"/>
  <c r="K285" i="34"/>
  <c r="L285" i="34"/>
  <c r="M285" i="34"/>
  <c r="N285" i="34"/>
  <c r="O285" i="34"/>
  <c r="A286" i="34"/>
  <c r="B286" i="34"/>
  <c r="C286" i="34"/>
  <c r="D286" i="34"/>
  <c r="E286" i="34"/>
  <c r="F286" i="34"/>
  <c r="G286" i="34"/>
  <c r="H286" i="34"/>
  <c r="I286" i="34"/>
  <c r="J286" i="34"/>
  <c r="K286" i="34"/>
  <c r="L286" i="34"/>
  <c r="M286" i="34"/>
  <c r="N286" i="34"/>
  <c r="O286" i="34"/>
  <c r="A287" i="34"/>
  <c r="B287" i="34"/>
  <c r="C287" i="34"/>
  <c r="D287" i="34"/>
  <c r="E287" i="34"/>
  <c r="F287" i="34"/>
  <c r="G287" i="34"/>
  <c r="H287" i="34"/>
  <c r="I287" i="34"/>
  <c r="J287" i="34"/>
  <c r="K287" i="34"/>
  <c r="L287" i="34"/>
  <c r="M287" i="34"/>
  <c r="N287" i="34"/>
  <c r="O287" i="34"/>
  <c r="A288" i="34"/>
  <c r="B288" i="34"/>
  <c r="C288" i="34"/>
  <c r="D288" i="34"/>
  <c r="E288" i="34"/>
  <c r="F288" i="34"/>
  <c r="G288" i="34"/>
  <c r="H288" i="34"/>
  <c r="I288" i="34"/>
  <c r="J288" i="34"/>
  <c r="K288" i="34"/>
  <c r="L288" i="34"/>
  <c r="M288" i="34"/>
  <c r="N288" i="34"/>
  <c r="O288" i="34"/>
  <c r="A289" i="34"/>
  <c r="B289" i="34"/>
  <c r="C289" i="34"/>
  <c r="D289" i="34"/>
  <c r="E289" i="34"/>
  <c r="F289" i="34"/>
  <c r="G289" i="34"/>
  <c r="H289" i="34"/>
  <c r="I289" i="34"/>
  <c r="J289" i="34"/>
  <c r="K289" i="34"/>
  <c r="L289" i="34"/>
  <c r="M289" i="34"/>
  <c r="N289" i="34"/>
  <c r="O289" i="34"/>
  <c r="A290" i="34"/>
  <c r="B290" i="34"/>
  <c r="C290" i="34"/>
  <c r="D290" i="34"/>
  <c r="E290" i="34"/>
  <c r="F290" i="34"/>
  <c r="G290" i="34"/>
  <c r="H290" i="34"/>
  <c r="I290" i="34"/>
  <c r="J290" i="34"/>
  <c r="K290" i="34"/>
  <c r="L290" i="34"/>
  <c r="M290" i="34"/>
  <c r="N290" i="34"/>
  <c r="O290" i="34"/>
  <c r="A291" i="34"/>
  <c r="B291" i="34"/>
  <c r="C291" i="34"/>
  <c r="D291" i="34"/>
  <c r="E291" i="34"/>
  <c r="F291" i="34"/>
  <c r="G291" i="34"/>
  <c r="H291" i="34"/>
  <c r="I291" i="34"/>
  <c r="J291" i="34"/>
  <c r="K291" i="34"/>
  <c r="L291" i="34"/>
  <c r="M291" i="34"/>
  <c r="N291" i="34"/>
  <c r="O291" i="34"/>
  <c r="A292" i="34"/>
  <c r="B292" i="34"/>
  <c r="C292" i="34"/>
  <c r="D292" i="34"/>
  <c r="E292" i="34"/>
  <c r="F292" i="34"/>
  <c r="G292" i="34"/>
  <c r="H292" i="34"/>
  <c r="I292" i="34"/>
  <c r="J292" i="34"/>
  <c r="K292" i="34"/>
  <c r="L292" i="34"/>
  <c r="M292" i="34"/>
  <c r="N292" i="34"/>
  <c r="O292" i="34"/>
  <c r="A293" i="34"/>
  <c r="B293" i="34"/>
  <c r="C293" i="34"/>
  <c r="D293" i="34"/>
  <c r="E293" i="34"/>
  <c r="F293" i="34"/>
  <c r="G293" i="34"/>
  <c r="H293" i="34"/>
  <c r="I293" i="34"/>
  <c r="J293" i="34"/>
  <c r="K293" i="34"/>
  <c r="L293" i="34"/>
  <c r="M293" i="34"/>
  <c r="N293" i="34"/>
  <c r="O293" i="34"/>
  <c r="A294" i="34"/>
  <c r="B294" i="34"/>
  <c r="C294" i="34"/>
  <c r="D294" i="34"/>
  <c r="E294" i="34"/>
  <c r="F294" i="34"/>
  <c r="G294" i="34"/>
  <c r="H294" i="34"/>
  <c r="I294" i="34"/>
  <c r="J294" i="34"/>
  <c r="K294" i="34"/>
  <c r="L294" i="34"/>
  <c r="M294" i="34"/>
  <c r="N294" i="34"/>
  <c r="O294" i="34"/>
  <c r="A295" i="34"/>
  <c r="B295" i="34"/>
  <c r="C295" i="34"/>
  <c r="D295" i="34"/>
  <c r="E295" i="34"/>
  <c r="F295" i="34"/>
  <c r="G295" i="34"/>
  <c r="H295" i="34"/>
  <c r="I295" i="34"/>
  <c r="J295" i="34"/>
  <c r="K295" i="34"/>
  <c r="L295" i="34"/>
  <c r="M295" i="34"/>
  <c r="N295" i="34"/>
  <c r="O295" i="34"/>
  <c r="A296" i="34"/>
  <c r="B296" i="34"/>
  <c r="C296" i="34"/>
  <c r="D296" i="34"/>
  <c r="E296" i="34"/>
  <c r="F296" i="34"/>
  <c r="G296" i="34"/>
  <c r="H296" i="34"/>
  <c r="I296" i="34"/>
  <c r="J296" i="34"/>
  <c r="K296" i="34"/>
  <c r="L296" i="34"/>
  <c r="M296" i="34"/>
  <c r="N296" i="34"/>
  <c r="O296" i="34"/>
  <c r="A297" i="34"/>
  <c r="B297" i="34"/>
  <c r="C297" i="34"/>
  <c r="D297" i="34"/>
  <c r="E297" i="34"/>
  <c r="F297" i="34"/>
  <c r="G297" i="34"/>
  <c r="H297" i="34"/>
  <c r="I297" i="34"/>
  <c r="J297" i="34"/>
  <c r="K297" i="34"/>
  <c r="L297" i="34"/>
  <c r="M297" i="34"/>
  <c r="N297" i="34"/>
  <c r="O297" i="34"/>
  <c r="A298" i="34"/>
  <c r="B298" i="34"/>
  <c r="C298" i="34"/>
  <c r="D298" i="34"/>
  <c r="E298" i="34"/>
  <c r="F298" i="34"/>
  <c r="G298" i="34"/>
  <c r="H298" i="34"/>
  <c r="I298" i="34"/>
  <c r="J298" i="34"/>
  <c r="K298" i="34"/>
  <c r="L298" i="34"/>
  <c r="M298" i="34"/>
  <c r="N298" i="34"/>
  <c r="O298" i="34"/>
  <c r="A299" i="34"/>
  <c r="B299" i="34"/>
  <c r="C299" i="34"/>
  <c r="D299" i="34"/>
  <c r="E299" i="34"/>
  <c r="F299" i="34"/>
  <c r="G299" i="34"/>
  <c r="H299" i="34"/>
  <c r="I299" i="34"/>
  <c r="J299" i="34"/>
  <c r="K299" i="34"/>
  <c r="L299" i="34"/>
  <c r="M299" i="34"/>
  <c r="N299" i="34"/>
  <c r="O299" i="34"/>
  <c r="A300" i="34"/>
  <c r="B300" i="34"/>
  <c r="C300" i="34"/>
  <c r="D300" i="34"/>
  <c r="E300" i="34"/>
  <c r="F300" i="34"/>
  <c r="G300" i="34"/>
  <c r="H300" i="34"/>
  <c r="I300" i="34"/>
  <c r="J300" i="34"/>
  <c r="K300" i="34"/>
  <c r="L300" i="34"/>
  <c r="M300" i="34"/>
  <c r="N300" i="34"/>
  <c r="O300" i="34"/>
  <c r="A301" i="34"/>
  <c r="B301" i="34"/>
  <c r="C301" i="34"/>
  <c r="D301" i="34"/>
  <c r="E301" i="34"/>
  <c r="F301" i="34"/>
  <c r="G301" i="34"/>
  <c r="H301" i="34"/>
  <c r="I301" i="34"/>
  <c r="J301" i="34"/>
  <c r="K301" i="34"/>
  <c r="L301" i="34"/>
  <c r="M301" i="34"/>
  <c r="N301" i="34"/>
  <c r="O301" i="34"/>
  <c r="A302" i="34"/>
  <c r="B302" i="34"/>
  <c r="C302" i="34"/>
  <c r="D302" i="34"/>
  <c r="E302" i="34"/>
  <c r="F302" i="34"/>
  <c r="G302" i="34"/>
  <c r="H302" i="34"/>
  <c r="I302" i="34"/>
  <c r="J302" i="34"/>
  <c r="K302" i="34"/>
  <c r="L302" i="34"/>
  <c r="M302" i="34"/>
  <c r="N302" i="34"/>
  <c r="O302" i="34"/>
  <c r="A303" i="34"/>
  <c r="B303" i="34"/>
  <c r="C303" i="34"/>
  <c r="D303" i="34"/>
  <c r="E303" i="34"/>
  <c r="F303" i="34"/>
  <c r="G303" i="34"/>
  <c r="H303" i="34"/>
  <c r="I303" i="34"/>
  <c r="J303" i="34"/>
  <c r="K303" i="34"/>
  <c r="L303" i="34"/>
  <c r="M303" i="34"/>
  <c r="N303" i="34"/>
  <c r="O303" i="34"/>
  <c r="A304" i="34"/>
  <c r="B304" i="34"/>
  <c r="C304" i="34"/>
  <c r="D304" i="34"/>
  <c r="E304" i="34"/>
  <c r="F304" i="34"/>
  <c r="G304" i="34"/>
  <c r="H304" i="34"/>
  <c r="I304" i="34"/>
  <c r="J304" i="34"/>
  <c r="K304" i="34"/>
  <c r="L304" i="34"/>
  <c r="M304" i="34"/>
  <c r="N304" i="34"/>
  <c r="O304" i="34"/>
  <c r="A305" i="34"/>
  <c r="B305" i="34"/>
  <c r="C305" i="34"/>
  <c r="D305" i="34"/>
  <c r="E305" i="34"/>
  <c r="F305" i="34"/>
  <c r="G305" i="34"/>
  <c r="H305" i="34"/>
  <c r="I305" i="34"/>
  <c r="J305" i="34"/>
  <c r="K305" i="34"/>
  <c r="L305" i="34"/>
  <c r="M305" i="34"/>
  <c r="N305" i="34"/>
  <c r="O305" i="34"/>
  <c r="A306" i="34"/>
  <c r="B306" i="34"/>
  <c r="C306" i="34"/>
  <c r="D306" i="34"/>
  <c r="E306" i="34"/>
  <c r="F306" i="34"/>
  <c r="G306" i="34"/>
  <c r="H306" i="34"/>
  <c r="I306" i="34"/>
  <c r="J306" i="34"/>
  <c r="K306" i="34"/>
  <c r="L306" i="34"/>
  <c r="M306" i="34"/>
  <c r="N306" i="34"/>
  <c r="O306" i="34"/>
  <c r="A307" i="34"/>
  <c r="B307" i="34"/>
  <c r="C307" i="34"/>
  <c r="D307" i="34"/>
  <c r="E307" i="34"/>
  <c r="F307" i="34"/>
  <c r="G307" i="34"/>
  <c r="H307" i="34"/>
  <c r="I307" i="34"/>
  <c r="J307" i="34"/>
  <c r="K307" i="34"/>
  <c r="L307" i="34"/>
  <c r="M307" i="34"/>
  <c r="N307" i="34"/>
  <c r="O307" i="34"/>
  <c r="A308" i="34"/>
  <c r="B308" i="34"/>
  <c r="C308" i="34"/>
  <c r="D308" i="34"/>
  <c r="E308" i="34"/>
  <c r="F308" i="34"/>
  <c r="G308" i="34"/>
  <c r="H308" i="34"/>
  <c r="I308" i="34"/>
  <c r="J308" i="34"/>
  <c r="K308" i="34"/>
  <c r="L308" i="34"/>
  <c r="M308" i="34"/>
  <c r="N308" i="34"/>
  <c r="O308" i="34"/>
  <c r="A309" i="34"/>
  <c r="B309" i="34"/>
  <c r="C309" i="34"/>
  <c r="D309" i="34"/>
  <c r="E309" i="34"/>
  <c r="F309" i="34"/>
  <c r="G309" i="34"/>
  <c r="H309" i="34"/>
  <c r="I309" i="34"/>
  <c r="J309" i="34"/>
  <c r="K309" i="34"/>
  <c r="L309" i="34"/>
  <c r="M309" i="34"/>
  <c r="N309" i="34"/>
  <c r="O309" i="34"/>
  <c r="A310" i="34"/>
  <c r="B310" i="34"/>
  <c r="C310" i="34"/>
  <c r="D310" i="34"/>
  <c r="E310" i="34"/>
  <c r="F310" i="34"/>
  <c r="G310" i="34"/>
  <c r="H310" i="34"/>
  <c r="I310" i="34"/>
  <c r="J310" i="34"/>
  <c r="K310" i="34"/>
  <c r="L310" i="34"/>
  <c r="M310" i="34"/>
  <c r="N310" i="34"/>
  <c r="O310" i="34"/>
  <c r="A311" i="34"/>
  <c r="B311" i="34"/>
  <c r="C311" i="34"/>
  <c r="D311" i="34"/>
  <c r="E311" i="34"/>
  <c r="F311" i="34"/>
  <c r="G311" i="34"/>
  <c r="H311" i="34"/>
  <c r="I311" i="34"/>
  <c r="J311" i="34"/>
  <c r="K311" i="34"/>
  <c r="L311" i="34"/>
  <c r="M311" i="34"/>
  <c r="N311" i="34"/>
  <c r="O311" i="34"/>
  <c r="A312" i="34"/>
  <c r="B312" i="34"/>
  <c r="C312" i="34"/>
  <c r="D312" i="34"/>
  <c r="E312" i="34"/>
  <c r="F312" i="34"/>
  <c r="G312" i="34"/>
  <c r="H312" i="34"/>
  <c r="I312" i="34"/>
  <c r="J312" i="34"/>
  <c r="K312" i="34"/>
  <c r="L312" i="34"/>
  <c r="M312" i="34"/>
  <c r="N312" i="34"/>
  <c r="O312" i="34"/>
  <c r="A313" i="34"/>
  <c r="B313" i="34"/>
  <c r="C313" i="34"/>
  <c r="D313" i="34"/>
  <c r="E313" i="34"/>
  <c r="F313" i="34"/>
  <c r="G313" i="34"/>
  <c r="H313" i="34"/>
  <c r="I313" i="34"/>
  <c r="J313" i="34"/>
  <c r="K313" i="34"/>
  <c r="L313" i="34"/>
  <c r="M313" i="34"/>
  <c r="N313" i="34"/>
  <c r="O313" i="34"/>
  <c r="A314" i="34"/>
  <c r="B314" i="34"/>
  <c r="C314" i="34"/>
  <c r="D314" i="34"/>
  <c r="E314" i="34"/>
  <c r="F314" i="34"/>
  <c r="G314" i="34"/>
  <c r="H314" i="34"/>
  <c r="I314" i="34"/>
  <c r="J314" i="34"/>
  <c r="K314" i="34"/>
  <c r="L314" i="34"/>
  <c r="M314" i="34"/>
  <c r="N314" i="34"/>
  <c r="O314" i="34"/>
  <c r="A315" i="34"/>
  <c r="B315" i="34"/>
  <c r="C315" i="34"/>
  <c r="D315" i="34"/>
  <c r="E315" i="34"/>
  <c r="F315" i="34"/>
  <c r="G315" i="34"/>
  <c r="H315" i="34"/>
  <c r="I315" i="34"/>
  <c r="J315" i="34"/>
  <c r="K315" i="34"/>
  <c r="L315" i="34"/>
  <c r="M315" i="34"/>
  <c r="N315" i="34"/>
  <c r="O315" i="34"/>
  <c r="A316" i="34"/>
  <c r="B316" i="34"/>
  <c r="C316" i="34"/>
  <c r="D316" i="34"/>
  <c r="E316" i="34"/>
  <c r="F316" i="34"/>
  <c r="G316" i="34"/>
  <c r="H316" i="34"/>
  <c r="I316" i="34"/>
  <c r="J316" i="34"/>
  <c r="K316" i="34"/>
  <c r="L316" i="34"/>
  <c r="M316" i="34"/>
  <c r="N316" i="34"/>
  <c r="O316" i="34"/>
  <c r="A317" i="34"/>
  <c r="B317" i="34"/>
  <c r="C317" i="34"/>
  <c r="D317" i="34"/>
  <c r="E317" i="34"/>
  <c r="F317" i="34"/>
  <c r="G317" i="34"/>
  <c r="H317" i="34"/>
  <c r="I317" i="34"/>
  <c r="J317" i="34"/>
  <c r="K317" i="34"/>
  <c r="L317" i="34"/>
  <c r="M317" i="34"/>
  <c r="N317" i="34"/>
  <c r="O317" i="34"/>
  <c r="A318" i="34"/>
  <c r="B318" i="34"/>
  <c r="C318" i="34"/>
  <c r="D318" i="34"/>
  <c r="E318" i="34"/>
  <c r="F318" i="34"/>
  <c r="G318" i="34"/>
  <c r="H318" i="34"/>
  <c r="I318" i="34"/>
  <c r="J318" i="34"/>
  <c r="K318" i="34"/>
  <c r="L318" i="34"/>
  <c r="M318" i="34"/>
  <c r="N318" i="34"/>
  <c r="O318" i="34"/>
  <c r="A319" i="34"/>
  <c r="B319" i="34"/>
  <c r="C319" i="34"/>
  <c r="D319" i="34"/>
  <c r="E319" i="34"/>
  <c r="F319" i="34"/>
  <c r="G319" i="34"/>
  <c r="H319" i="34"/>
  <c r="I319" i="34"/>
  <c r="J319" i="34"/>
  <c r="K319" i="34"/>
  <c r="L319" i="34"/>
  <c r="M319" i="34"/>
  <c r="N319" i="34"/>
  <c r="O319" i="34"/>
  <c r="A320" i="34"/>
  <c r="B320" i="34"/>
  <c r="C320" i="34"/>
  <c r="D320" i="34"/>
  <c r="E320" i="34"/>
  <c r="F320" i="34"/>
  <c r="G320" i="34"/>
  <c r="H320" i="34"/>
  <c r="I320" i="34"/>
  <c r="J320" i="34"/>
  <c r="K320" i="34"/>
  <c r="L320" i="34"/>
  <c r="M320" i="34"/>
  <c r="N320" i="34"/>
  <c r="O320" i="34"/>
  <c r="A321" i="34"/>
  <c r="B321" i="34"/>
  <c r="C321" i="34"/>
  <c r="D321" i="34"/>
  <c r="E321" i="34"/>
  <c r="F321" i="34"/>
  <c r="G321" i="34"/>
  <c r="H321" i="34"/>
  <c r="I321" i="34"/>
  <c r="J321" i="34"/>
  <c r="K321" i="34"/>
  <c r="L321" i="34"/>
  <c r="M321" i="34"/>
  <c r="N321" i="34"/>
  <c r="O321" i="34"/>
  <c r="A322" i="34"/>
  <c r="B322" i="34"/>
  <c r="C322" i="34"/>
  <c r="D322" i="34"/>
  <c r="E322" i="34"/>
  <c r="F322" i="34"/>
  <c r="G322" i="34"/>
  <c r="H322" i="34"/>
  <c r="I322" i="34"/>
  <c r="J322" i="34"/>
  <c r="K322" i="34"/>
  <c r="L322" i="34"/>
  <c r="M322" i="34"/>
  <c r="N322" i="34"/>
  <c r="O322" i="34"/>
  <c r="A323" i="34"/>
  <c r="B323" i="34"/>
  <c r="C323" i="34"/>
  <c r="D323" i="34"/>
  <c r="E323" i="34"/>
  <c r="F323" i="34"/>
  <c r="G323" i="34"/>
  <c r="H323" i="34"/>
  <c r="I323" i="34"/>
  <c r="J323" i="34"/>
  <c r="K323" i="34"/>
  <c r="L323" i="34"/>
  <c r="M323" i="34"/>
  <c r="N323" i="34"/>
  <c r="O323" i="34"/>
  <c r="A324" i="34"/>
  <c r="B324" i="34"/>
  <c r="C324" i="34"/>
  <c r="D324" i="34"/>
  <c r="E324" i="34"/>
  <c r="F324" i="34"/>
  <c r="G324" i="34"/>
  <c r="H324" i="34"/>
  <c r="I324" i="34"/>
  <c r="J324" i="34"/>
  <c r="K324" i="34"/>
  <c r="L324" i="34"/>
  <c r="M324" i="34"/>
  <c r="N324" i="34"/>
  <c r="O324" i="34"/>
  <c r="A325" i="34"/>
  <c r="B325" i="34"/>
  <c r="C325" i="34"/>
  <c r="D325" i="34"/>
  <c r="E325" i="34"/>
  <c r="F325" i="34"/>
  <c r="G325" i="34"/>
  <c r="H325" i="34"/>
  <c r="I325" i="34"/>
  <c r="J325" i="34"/>
  <c r="K325" i="34"/>
  <c r="L325" i="34"/>
  <c r="M325" i="34"/>
  <c r="N325" i="34"/>
  <c r="O325" i="34"/>
  <c r="A326" i="34"/>
  <c r="B326" i="34"/>
  <c r="C326" i="34"/>
  <c r="D326" i="34"/>
  <c r="E326" i="34"/>
  <c r="F326" i="34"/>
  <c r="G326" i="34"/>
  <c r="H326" i="34"/>
  <c r="I326" i="34"/>
  <c r="J326" i="34"/>
  <c r="K326" i="34"/>
  <c r="L326" i="34"/>
  <c r="M326" i="34"/>
  <c r="N326" i="34"/>
  <c r="O326" i="34"/>
  <c r="A327" i="34"/>
  <c r="B327" i="34"/>
  <c r="C327" i="34"/>
  <c r="D327" i="34"/>
  <c r="E327" i="34"/>
  <c r="F327" i="34"/>
  <c r="G327" i="34"/>
  <c r="H327" i="34"/>
  <c r="I327" i="34"/>
  <c r="J327" i="34"/>
  <c r="K327" i="34"/>
  <c r="L327" i="34"/>
  <c r="M327" i="34"/>
  <c r="N327" i="34"/>
  <c r="O327" i="34"/>
  <c r="A328" i="34"/>
  <c r="B328" i="34"/>
  <c r="C328" i="34"/>
  <c r="D328" i="34"/>
  <c r="E328" i="34"/>
  <c r="F328" i="34"/>
  <c r="G328" i="34"/>
  <c r="H328" i="34"/>
  <c r="I328" i="34"/>
  <c r="J328" i="34"/>
  <c r="K328" i="34"/>
  <c r="L328" i="34"/>
  <c r="M328" i="34"/>
  <c r="N328" i="34"/>
  <c r="O328" i="34"/>
  <c r="A329" i="34"/>
  <c r="B329" i="34"/>
  <c r="C329" i="34"/>
  <c r="D329" i="34"/>
  <c r="E329" i="34"/>
  <c r="F329" i="34"/>
  <c r="G329" i="34"/>
  <c r="H329" i="34"/>
  <c r="I329" i="34"/>
  <c r="J329" i="34"/>
  <c r="K329" i="34"/>
  <c r="L329" i="34"/>
  <c r="M329" i="34"/>
  <c r="N329" i="34"/>
  <c r="O329" i="34"/>
  <c r="A330" i="34"/>
  <c r="B330" i="34"/>
  <c r="C330" i="34"/>
  <c r="D330" i="34"/>
  <c r="E330" i="34"/>
  <c r="F330" i="34"/>
  <c r="G330" i="34"/>
  <c r="H330" i="34"/>
  <c r="I330" i="34"/>
  <c r="J330" i="34"/>
  <c r="K330" i="34"/>
  <c r="L330" i="34"/>
  <c r="M330" i="34"/>
  <c r="N330" i="34"/>
  <c r="O330" i="34"/>
  <c r="A331" i="34"/>
  <c r="B331" i="34"/>
  <c r="C331" i="34"/>
  <c r="D331" i="34"/>
  <c r="E331" i="34"/>
  <c r="F331" i="34"/>
  <c r="G331" i="34"/>
  <c r="H331" i="34"/>
  <c r="I331" i="34"/>
  <c r="J331" i="34"/>
  <c r="K331" i="34"/>
  <c r="L331" i="34"/>
  <c r="M331" i="34"/>
  <c r="N331" i="34"/>
  <c r="O331" i="34"/>
  <c r="A332" i="34"/>
  <c r="B332" i="34"/>
  <c r="C332" i="34"/>
  <c r="D332" i="34"/>
  <c r="E332" i="34"/>
  <c r="F332" i="34"/>
  <c r="G332" i="34"/>
  <c r="H332" i="34"/>
  <c r="I332" i="34"/>
  <c r="J332" i="34"/>
  <c r="K332" i="34"/>
  <c r="L332" i="34"/>
  <c r="M332" i="34"/>
  <c r="N332" i="34"/>
  <c r="O332" i="34"/>
  <c r="A333" i="34"/>
  <c r="B333" i="34"/>
  <c r="C333" i="34"/>
  <c r="D333" i="34"/>
  <c r="E333" i="34"/>
  <c r="F333" i="34"/>
  <c r="G333" i="34"/>
  <c r="H333" i="34"/>
  <c r="I333" i="34"/>
  <c r="J333" i="34"/>
  <c r="K333" i="34"/>
  <c r="L333" i="34"/>
  <c r="M333" i="34"/>
  <c r="N333" i="34"/>
  <c r="O333" i="34"/>
  <c r="A334" i="34"/>
  <c r="B334" i="34"/>
  <c r="C334" i="34"/>
  <c r="D334" i="34"/>
  <c r="E334" i="34"/>
  <c r="F334" i="34"/>
  <c r="G334" i="34"/>
  <c r="H334" i="34"/>
  <c r="I334" i="34"/>
  <c r="J334" i="34"/>
  <c r="K334" i="34"/>
  <c r="L334" i="34"/>
  <c r="M334" i="34"/>
  <c r="N334" i="34"/>
  <c r="O334" i="34"/>
  <c r="A335" i="34"/>
  <c r="B335" i="34"/>
  <c r="C335" i="34"/>
  <c r="D335" i="34"/>
  <c r="E335" i="34"/>
  <c r="F335" i="34"/>
  <c r="G335" i="34"/>
  <c r="H335" i="34"/>
  <c r="I335" i="34"/>
  <c r="J335" i="34"/>
  <c r="K335" i="34"/>
  <c r="L335" i="34"/>
  <c r="M335" i="34"/>
  <c r="N335" i="34"/>
  <c r="O335" i="34"/>
  <c r="A336" i="34"/>
  <c r="B336" i="34"/>
  <c r="C336" i="34"/>
  <c r="D336" i="34"/>
  <c r="E336" i="34"/>
  <c r="F336" i="34"/>
  <c r="G336" i="34"/>
  <c r="H336" i="34"/>
  <c r="I336" i="34"/>
  <c r="J336" i="34"/>
  <c r="K336" i="34"/>
  <c r="L336" i="34"/>
  <c r="M336" i="34"/>
  <c r="N336" i="34"/>
  <c r="O336" i="34"/>
  <c r="A337" i="34"/>
  <c r="B337" i="34"/>
  <c r="C337" i="34"/>
  <c r="D337" i="34"/>
  <c r="E337" i="34"/>
  <c r="F337" i="34"/>
  <c r="G337" i="34"/>
  <c r="H337" i="34"/>
  <c r="I337" i="34"/>
  <c r="J337" i="34"/>
  <c r="K337" i="34"/>
  <c r="L337" i="34"/>
  <c r="M337" i="34"/>
  <c r="N337" i="34"/>
  <c r="O337" i="34"/>
  <c r="A338" i="34"/>
  <c r="B338" i="34"/>
  <c r="C338" i="34"/>
  <c r="D338" i="34"/>
  <c r="E338" i="34"/>
  <c r="F338" i="34"/>
  <c r="G338" i="34"/>
  <c r="H338" i="34"/>
  <c r="I338" i="34"/>
  <c r="J338" i="34"/>
  <c r="K338" i="34"/>
  <c r="L338" i="34"/>
  <c r="M338" i="34"/>
  <c r="N338" i="34"/>
  <c r="O338" i="34"/>
  <c r="A339" i="34"/>
  <c r="B339" i="34"/>
  <c r="C339" i="34"/>
  <c r="D339" i="34"/>
  <c r="E339" i="34"/>
  <c r="F339" i="34"/>
  <c r="G339" i="34"/>
  <c r="H339" i="34"/>
  <c r="I339" i="34"/>
  <c r="J339" i="34"/>
  <c r="K339" i="34"/>
  <c r="L339" i="34"/>
  <c r="M339" i="34"/>
  <c r="N339" i="34"/>
  <c r="O339" i="34"/>
  <c r="A340" i="34"/>
  <c r="B340" i="34"/>
  <c r="C340" i="34"/>
  <c r="D340" i="34"/>
  <c r="E340" i="34"/>
  <c r="F340" i="34"/>
  <c r="G340" i="34"/>
  <c r="H340" i="34"/>
  <c r="I340" i="34"/>
  <c r="J340" i="34"/>
  <c r="K340" i="34"/>
  <c r="L340" i="34"/>
  <c r="M340" i="34"/>
  <c r="N340" i="34"/>
  <c r="O340" i="34"/>
  <c r="A341" i="34"/>
  <c r="B341" i="34"/>
  <c r="C341" i="34"/>
  <c r="D341" i="34"/>
  <c r="E341" i="34"/>
  <c r="F341" i="34"/>
  <c r="G341" i="34"/>
  <c r="H341" i="34"/>
  <c r="I341" i="34"/>
  <c r="J341" i="34"/>
  <c r="K341" i="34"/>
  <c r="L341" i="34"/>
  <c r="M341" i="34"/>
  <c r="N341" i="34"/>
  <c r="O341" i="34"/>
  <c r="A342" i="34"/>
  <c r="B342" i="34"/>
  <c r="C342" i="34"/>
  <c r="D342" i="34"/>
  <c r="E342" i="34"/>
  <c r="F342" i="34"/>
  <c r="G342" i="34"/>
  <c r="H342" i="34"/>
  <c r="I342" i="34"/>
  <c r="J342" i="34"/>
  <c r="K342" i="34"/>
  <c r="L342" i="34"/>
  <c r="M342" i="34"/>
  <c r="N342" i="34"/>
  <c r="O342" i="34"/>
  <c r="A343" i="34"/>
  <c r="B343" i="34"/>
  <c r="C343" i="34"/>
  <c r="D343" i="34"/>
  <c r="E343" i="34"/>
  <c r="F343" i="34"/>
  <c r="G343" i="34"/>
  <c r="H343" i="34"/>
  <c r="I343" i="34"/>
  <c r="J343" i="34"/>
  <c r="K343" i="34"/>
  <c r="L343" i="34"/>
  <c r="M343" i="34"/>
  <c r="N343" i="34"/>
  <c r="O343" i="34"/>
  <c r="A344" i="34"/>
  <c r="B344" i="34"/>
  <c r="C344" i="34"/>
  <c r="D344" i="34"/>
  <c r="E344" i="34"/>
  <c r="F344" i="34"/>
  <c r="G344" i="34"/>
  <c r="H344" i="34"/>
  <c r="I344" i="34"/>
  <c r="J344" i="34"/>
  <c r="K344" i="34"/>
  <c r="L344" i="34"/>
  <c r="M344" i="34"/>
  <c r="N344" i="34"/>
  <c r="O344" i="34"/>
  <c r="A345" i="34"/>
  <c r="B345" i="34"/>
  <c r="C345" i="34"/>
  <c r="D345" i="34"/>
  <c r="E345" i="34"/>
  <c r="F345" i="34"/>
  <c r="G345" i="34"/>
  <c r="H345" i="34"/>
  <c r="I345" i="34"/>
  <c r="J345" i="34"/>
  <c r="K345" i="34"/>
  <c r="L345" i="34"/>
  <c r="M345" i="34"/>
  <c r="N345" i="34"/>
  <c r="O345" i="34"/>
  <c r="A346" i="34"/>
  <c r="B346" i="34"/>
  <c r="C346" i="34"/>
  <c r="D346" i="34"/>
  <c r="E346" i="34"/>
  <c r="F346" i="34"/>
  <c r="G346" i="34"/>
  <c r="H346" i="34"/>
  <c r="I346" i="34"/>
  <c r="J346" i="34"/>
  <c r="K346" i="34"/>
  <c r="L346" i="34"/>
  <c r="M346" i="34"/>
  <c r="N346" i="34"/>
  <c r="O346" i="34"/>
  <c r="A347" i="34"/>
  <c r="B347" i="34"/>
  <c r="C347" i="34"/>
  <c r="D347" i="34"/>
  <c r="E347" i="34"/>
  <c r="F347" i="34"/>
  <c r="G347" i="34"/>
  <c r="H347" i="34"/>
  <c r="I347" i="34"/>
  <c r="J347" i="34"/>
  <c r="K347" i="34"/>
  <c r="L347" i="34"/>
  <c r="M347" i="34"/>
  <c r="N347" i="34"/>
  <c r="O347" i="34"/>
  <c r="A348" i="34"/>
  <c r="B348" i="34"/>
  <c r="C348" i="34"/>
  <c r="D348" i="34"/>
  <c r="E348" i="34"/>
  <c r="F348" i="34"/>
  <c r="G348" i="34"/>
  <c r="H348" i="34"/>
  <c r="I348" i="34"/>
  <c r="J348" i="34"/>
  <c r="K348" i="34"/>
  <c r="L348" i="34"/>
  <c r="M348" i="34"/>
  <c r="N348" i="34"/>
  <c r="O348" i="34"/>
  <c r="A349" i="34"/>
  <c r="B349" i="34"/>
  <c r="C349" i="34"/>
  <c r="D349" i="34"/>
  <c r="E349" i="34"/>
  <c r="F349" i="34"/>
  <c r="G349" i="34"/>
  <c r="H349" i="34"/>
  <c r="I349" i="34"/>
  <c r="J349" i="34"/>
  <c r="K349" i="34"/>
  <c r="L349" i="34"/>
  <c r="M349" i="34"/>
  <c r="N349" i="34"/>
  <c r="O349" i="34"/>
  <c r="A350" i="34"/>
  <c r="B350" i="34"/>
  <c r="C350" i="34"/>
  <c r="D350" i="34"/>
  <c r="E350" i="34"/>
  <c r="F350" i="34"/>
  <c r="G350" i="34"/>
  <c r="H350" i="34"/>
  <c r="I350" i="34"/>
  <c r="J350" i="34"/>
  <c r="K350" i="34"/>
  <c r="L350" i="34"/>
  <c r="M350" i="34"/>
  <c r="N350" i="34"/>
  <c r="O350" i="34"/>
  <c r="A351" i="34"/>
  <c r="B351" i="34"/>
  <c r="C351" i="34"/>
  <c r="D351" i="34"/>
  <c r="E351" i="34"/>
  <c r="F351" i="34"/>
  <c r="G351" i="34"/>
  <c r="H351" i="34"/>
  <c r="I351" i="34"/>
  <c r="J351" i="34"/>
  <c r="K351" i="34"/>
  <c r="L351" i="34"/>
  <c r="M351" i="34"/>
  <c r="N351" i="34"/>
  <c r="O351" i="34"/>
  <c r="A352" i="34"/>
  <c r="B352" i="34"/>
  <c r="C352" i="34"/>
  <c r="D352" i="34"/>
  <c r="E352" i="34"/>
  <c r="F352" i="34"/>
  <c r="G352" i="34"/>
  <c r="H352" i="34"/>
  <c r="I352" i="34"/>
  <c r="J352" i="34"/>
  <c r="K352" i="34"/>
  <c r="L352" i="34"/>
  <c r="M352" i="34"/>
  <c r="N352" i="34"/>
  <c r="O352" i="34"/>
  <c r="A353" i="34"/>
  <c r="B353" i="34"/>
  <c r="C353" i="34"/>
  <c r="D353" i="34"/>
  <c r="E353" i="34"/>
  <c r="F353" i="34"/>
  <c r="G353" i="34"/>
  <c r="H353" i="34"/>
  <c r="I353" i="34"/>
  <c r="J353" i="34"/>
  <c r="K353" i="34"/>
  <c r="L353" i="34"/>
  <c r="M353" i="34"/>
  <c r="N353" i="34"/>
  <c r="O353" i="34"/>
  <c r="A354" i="34"/>
  <c r="B354" i="34"/>
  <c r="C354" i="34"/>
  <c r="D354" i="34"/>
  <c r="E354" i="34"/>
  <c r="F354" i="34"/>
  <c r="G354" i="34"/>
  <c r="H354" i="34"/>
  <c r="I354" i="34"/>
  <c r="J354" i="34"/>
  <c r="K354" i="34"/>
  <c r="L354" i="34"/>
  <c r="M354" i="34"/>
  <c r="N354" i="34"/>
  <c r="O354" i="34"/>
  <c r="A355" i="34"/>
  <c r="B355" i="34"/>
  <c r="C355" i="34"/>
  <c r="D355" i="34"/>
  <c r="E355" i="34"/>
  <c r="F355" i="34"/>
  <c r="G355" i="34"/>
  <c r="H355" i="34"/>
  <c r="I355" i="34"/>
  <c r="J355" i="34"/>
  <c r="K355" i="34"/>
  <c r="L355" i="34"/>
  <c r="M355" i="34"/>
  <c r="N355" i="34"/>
  <c r="O355" i="34"/>
  <c r="A356" i="34"/>
  <c r="B356" i="34"/>
  <c r="C356" i="34"/>
  <c r="D356" i="34"/>
  <c r="E356" i="34"/>
  <c r="F356" i="34"/>
  <c r="G356" i="34"/>
  <c r="H356" i="34"/>
  <c r="I356" i="34"/>
  <c r="J356" i="34"/>
  <c r="K356" i="34"/>
  <c r="L356" i="34"/>
  <c r="M356" i="34"/>
  <c r="N356" i="34"/>
  <c r="O356" i="34"/>
  <c r="A357" i="34"/>
  <c r="B357" i="34"/>
  <c r="C357" i="34"/>
  <c r="D357" i="34"/>
  <c r="E357" i="34"/>
  <c r="F357" i="34"/>
  <c r="G357" i="34"/>
  <c r="H357" i="34"/>
  <c r="I357" i="34"/>
  <c r="J357" i="34"/>
  <c r="K357" i="34"/>
  <c r="L357" i="34"/>
  <c r="M357" i="34"/>
  <c r="N357" i="34"/>
  <c r="O357" i="34"/>
  <c r="A358" i="34"/>
  <c r="B358" i="34"/>
  <c r="C358" i="34"/>
  <c r="D358" i="34"/>
  <c r="E358" i="34"/>
  <c r="F358" i="34"/>
  <c r="G358" i="34"/>
  <c r="H358" i="34"/>
  <c r="I358" i="34"/>
  <c r="J358" i="34"/>
  <c r="K358" i="34"/>
  <c r="L358" i="34"/>
  <c r="M358" i="34"/>
  <c r="N358" i="34"/>
  <c r="O358" i="34"/>
  <c r="A359" i="34"/>
  <c r="B359" i="34"/>
  <c r="C359" i="34"/>
  <c r="D359" i="34"/>
  <c r="E359" i="34"/>
  <c r="F359" i="34"/>
  <c r="G359" i="34"/>
  <c r="H359" i="34"/>
  <c r="I359" i="34"/>
  <c r="J359" i="34"/>
  <c r="K359" i="34"/>
  <c r="L359" i="34"/>
  <c r="M359" i="34"/>
  <c r="N359" i="34"/>
  <c r="O359" i="34"/>
  <c r="A360" i="34"/>
  <c r="B360" i="34"/>
  <c r="C360" i="34"/>
  <c r="D360" i="34"/>
  <c r="E360" i="34"/>
  <c r="F360" i="34"/>
  <c r="G360" i="34"/>
  <c r="H360" i="34"/>
  <c r="I360" i="34"/>
  <c r="J360" i="34"/>
  <c r="K360" i="34"/>
  <c r="L360" i="34"/>
  <c r="M360" i="34"/>
  <c r="N360" i="34"/>
  <c r="O360" i="34"/>
  <c r="A361" i="34"/>
  <c r="B361" i="34"/>
  <c r="C361" i="34"/>
  <c r="D361" i="34"/>
  <c r="E361" i="34"/>
  <c r="F361" i="34"/>
  <c r="G361" i="34"/>
  <c r="H361" i="34"/>
  <c r="I361" i="34"/>
  <c r="J361" i="34"/>
  <c r="K361" i="34"/>
  <c r="L361" i="34"/>
  <c r="M361" i="34"/>
  <c r="N361" i="34"/>
  <c r="O361" i="34"/>
  <c r="A362" i="34"/>
  <c r="B362" i="34"/>
  <c r="C362" i="34"/>
  <c r="D362" i="34"/>
  <c r="E362" i="34"/>
  <c r="F362" i="34"/>
  <c r="G362" i="34"/>
  <c r="H362" i="34"/>
  <c r="I362" i="34"/>
  <c r="J362" i="34"/>
  <c r="K362" i="34"/>
  <c r="L362" i="34"/>
  <c r="M362" i="34"/>
  <c r="N362" i="34"/>
  <c r="O362" i="34"/>
  <c r="A363" i="34"/>
  <c r="B363" i="34"/>
  <c r="C363" i="34"/>
  <c r="D363" i="34"/>
  <c r="E363" i="34"/>
  <c r="F363" i="34"/>
  <c r="G363" i="34"/>
  <c r="H363" i="34"/>
  <c r="I363" i="34"/>
  <c r="J363" i="34"/>
  <c r="K363" i="34"/>
  <c r="L363" i="34"/>
  <c r="M363" i="34"/>
  <c r="N363" i="34"/>
  <c r="O363" i="34"/>
  <c r="A364" i="34"/>
  <c r="B364" i="34"/>
  <c r="C364" i="34"/>
  <c r="D364" i="34"/>
  <c r="E364" i="34"/>
  <c r="F364" i="34"/>
  <c r="G364" i="34"/>
  <c r="H364" i="34"/>
  <c r="I364" i="34"/>
  <c r="J364" i="34"/>
  <c r="K364" i="34"/>
  <c r="L364" i="34"/>
  <c r="M364" i="34"/>
  <c r="N364" i="34"/>
  <c r="O364" i="34"/>
  <c r="A365" i="34"/>
  <c r="B365" i="34"/>
  <c r="C365" i="34"/>
  <c r="D365" i="34"/>
  <c r="E365" i="34"/>
  <c r="F365" i="34"/>
  <c r="G365" i="34"/>
  <c r="H365" i="34"/>
  <c r="I365" i="34"/>
  <c r="J365" i="34"/>
  <c r="K365" i="34"/>
  <c r="L365" i="34"/>
  <c r="M365" i="34"/>
  <c r="N365" i="34"/>
  <c r="O365" i="34"/>
  <c r="A366" i="34"/>
  <c r="B366" i="34"/>
  <c r="C366" i="34"/>
  <c r="D366" i="34"/>
  <c r="E366" i="34"/>
  <c r="F366" i="34"/>
  <c r="G366" i="34"/>
  <c r="H366" i="34"/>
  <c r="I366" i="34"/>
  <c r="J366" i="34"/>
  <c r="K366" i="34"/>
  <c r="L366" i="34"/>
  <c r="M366" i="34"/>
  <c r="N366" i="34"/>
  <c r="O366" i="34"/>
  <c r="A367" i="34"/>
  <c r="B367" i="34"/>
  <c r="C367" i="34"/>
  <c r="D367" i="34"/>
  <c r="E367" i="34"/>
  <c r="F367" i="34"/>
  <c r="G367" i="34"/>
  <c r="H367" i="34"/>
  <c r="I367" i="34"/>
  <c r="J367" i="34"/>
  <c r="K367" i="34"/>
  <c r="L367" i="34"/>
  <c r="M367" i="34"/>
  <c r="N367" i="34"/>
  <c r="O367" i="34"/>
  <c r="A368" i="34"/>
  <c r="B368" i="34"/>
  <c r="C368" i="34"/>
  <c r="D368" i="34"/>
  <c r="E368" i="34"/>
  <c r="F368" i="34"/>
  <c r="G368" i="34"/>
  <c r="H368" i="34"/>
  <c r="I368" i="34"/>
  <c r="J368" i="34"/>
  <c r="K368" i="34"/>
  <c r="L368" i="34"/>
  <c r="M368" i="34"/>
  <c r="N368" i="34"/>
  <c r="O368" i="34"/>
  <c r="A369" i="34"/>
  <c r="B369" i="34"/>
  <c r="C369" i="34"/>
  <c r="D369" i="34"/>
  <c r="E369" i="34"/>
  <c r="F369" i="34"/>
  <c r="G369" i="34"/>
  <c r="H369" i="34"/>
  <c r="I369" i="34"/>
  <c r="J369" i="34"/>
  <c r="K369" i="34"/>
  <c r="L369" i="34"/>
  <c r="M369" i="34"/>
  <c r="N369" i="34"/>
  <c r="O369" i="34"/>
  <c r="A370" i="34"/>
  <c r="B370" i="34"/>
  <c r="C370" i="34"/>
  <c r="D370" i="34"/>
  <c r="E370" i="34"/>
  <c r="F370" i="34"/>
  <c r="G370" i="34"/>
  <c r="H370" i="34"/>
  <c r="I370" i="34"/>
  <c r="J370" i="34"/>
  <c r="K370" i="34"/>
  <c r="L370" i="34"/>
  <c r="M370" i="34"/>
  <c r="N370" i="34"/>
  <c r="O370" i="34"/>
  <c r="A371" i="34"/>
  <c r="B371" i="34"/>
  <c r="C371" i="34"/>
  <c r="D371" i="34"/>
  <c r="E371" i="34"/>
  <c r="F371" i="34"/>
  <c r="G371" i="34"/>
  <c r="H371" i="34"/>
  <c r="I371" i="34"/>
  <c r="J371" i="34"/>
  <c r="K371" i="34"/>
  <c r="L371" i="34"/>
  <c r="M371" i="34"/>
  <c r="N371" i="34"/>
  <c r="O371" i="34"/>
  <c r="A372" i="34"/>
  <c r="B372" i="34"/>
  <c r="C372" i="34"/>
  <c r="D372" i="34"/>
  <c r="E372" i="34"/>
  <c r="F372" i="34"/>
  <c r="G372" i="34"/>
  <c r="H372" i="34"/>
  <c r="I372" i="34"/>
  <c r="J372" i="34"/>
  <c r="K372" i="34"/>
  <c r="L372" i="34"/>
  <c r="M372" i="34"/>
  <c r="N372" i="34"/>
  <c r="O372" i="34"/>
  <c r="A373" i="34"/>
  <c r="B373" i="34"/>
  <c r="C373" i="34"/>
  <c r="D373" i="34"/>
  <c r="E373" i="34"/>
  <c r="F373" i="34"/>
  <c r="G373" i="34"/>
  <c r="H373" i="34"/>
  <c r="I373" i="34"/>
  <c r="J373" i="34"/>
  <c r="K373" i="34"/>
  <c r="L373" i="34"/>
  <c r="M373" i="34"/>
  <c r="N373" i="34"/>
  <c r="O373" i="34"/>
  <c r="A374" i="34"/>
  <c r="B374" i="34"/>
  <c r="C374" i="34"/>
  <c r="D374" i="34"/>
  <c r="E374" i="34"/>
  <c r="F374" i="34"/>
  <c r="G374" i="34"/>
  <c r="H374" i="34"/>
  <c r="I374" i="34"/>
  <c r="J374" i="34"/>
  <c r="K374" i="34"/>
  <c r="L374" i="34"/>
  <c r="M374" i="34"/>
  <c r="N374" i="34"/>
  <c r="O374" i="34"/>
  <c r="A375" i="34"/>
  <c r="B375" i="34"/>
  <c r="C375" i="34"/>
  <c r="D375" i="34"/>
  <c r="E375" i="34"/>
  <c r="F375" i="34"/>
  <c r="G375" i="34"/>
  <c r="H375" i="34"/>
  <c r="I375" i="34"/>
  <c r="J375" i="34"/>
  <c r="K375" i="34"/>
  <c r="L375" i="34"/>
  <c r="M375" i="34"/>
  <c r="N375" i="34"/>
  <c r="O375" i="34"/>
  <c r="A376" i="34"/>
  <c r="B376" i="34"/>
  <c r="C376" i="34"/>
  <c r="D376" i="34"/>
  <c r="E376" i="34"/>
  <c r="F376" i="34"/>
  <c r="G376" i="34"/>
  <c r="H376" i="34"/>
  <c r="I376" i="34"/>
  <c r="J376" i="34"/>
  <c r="K376" i="34"/>
  <c r="L376" i="34"/>
  <c r="M376" i="34"/>
  <c r="N376" i="34"/>
  <c r="O376" i="34"/>
  <c r="A377" i="34"/>
  <c r="B377" i="34"/>
  <c r="C377" i="34"/>
  <c r="D377" i="34"/>
  <c r="E377" i="34"/>
  <c r="F377" i="34"/>
  <c r="G377" i="34"/>
  <c r="H377" i="34"/>
  <c r="I377" i="34"/>
  <c r="J377" i="34"/>
  <c r="K377" i="34"/>
  <c r="L377" i="34"/>
  <c r="M377" i="34"/>
  <c r="N377" i="34"/>
  <c r="O377" i="34"/>
  <c r="A378" i="34"/>
  <c r="B378" i="34"/>
  <c r="C378" i="34"/>
  <c r="D378" i="34"/>
  <c r="E378" i="34"/>
  <c r="F378" i="34"/>
  <c r="G378" i="34"/>
  <c r="H378" i="34"/>
  <c r="I378" i="34"/>
  <c r="J378" i="34"/>
  <c r="K378" i="34"/>
  <c r="L378" i="34"/>
  <c r="M378" i="34"/>
  <c r="N378" i="34"/>
  <c r="O378" i="34"/>
  <c r="A379" i="34"/>
  <c r="B379" i="34"/>
  <c r="C379" i="34"/>
  <c r="D379" i="34"/>
  <c r="E379" i="34"/>
  <c r="F379" i="34"/>
  <c r="G379" i="34"/>
  <c r="H379" i="34"/>
  <c r="I379" i="34"/>
  <c r="J379" i="34"/>
  <c r="K379" i="34"/>
  <c r="L379" i="34"/>
  <c r="M379" i="34"/>
  <c r="N379" i="34"/>
  <c r="O379" i="34"/>
  <c r="A380" i="34"/>
  <c r="B380" i="34"/>
  <c r="C380" i="34"/>
  <c r="D380" i="34"/>
  <c r="E380" i="34"/>
  <c r="F380" i="34"/>
  <c r="G380" i="34"/>
  <c r="H380" i="34"/>
  <c r="I380" i="34"/>
  <c r="J380" i="34"/>
  <c r="K380" i="34"/>
  <c r="L380" i="34"/>
  <c r="M380" i="34"/>
  <c r="N380" i="34"/>
  <c r="O380" i="34"/>
  <c r="A381" i="34"/>
  <c r="B381" i="34"/>
  <c r="C381" i="34"/>
  <c r="D381" i="34"/>
  <c r="E381" i="34"/>
  <c r="F381" i="34"/>
  <c r="G381" i="34"/>
  <c r="H381" i="34"/>
  <c r="I381" i="34"/>
  <c r="J381" i="34"/>
  <c r="K381" i="34"/>
  <c r="L381" i="34"/>
  <c r="M381" i="34"/>
  <c r="N381" i="34"/>
  <c r="O381" i="34"/>
  <c r="A382" i="34"/>
  <c r="B382" i="34"/>
  <c r="C382" i="34"/>
  <c r="D382" i="34"/>
  <c r="E382" i="34"/>
  <c r="F382" i="34"/>
  <c r="G382" i="34"/>
  <c r="H382" i="34"/>
  <c r="I382" i="34"/>
  <c r="J382" i="34"/>
  <c r="K382" i="34"/>
  <c r="L382" i="34"/>
  <c r="M382" i="34"/>
  <c r="N382" i="34"/>
  <c r="O382" i="34"/>
  <c r="A383" i="34"/>
  <c r="B383" i="34"/>
  <c r="C383" i="34"/>
  <c r="D383" i="34"/>
  <c r="E383" i="34"/>
  <c r="F383" i="34"/>
  <c r="G383" i="34"/>
  <c r="H383" i="34"/>
  <c r="I383" i="34"/>
  <c r="J383" i="34"/>
  <c r="K383" i="34"/>
  <c r="L383" i="34"/>
  <c r="M383" i="34"/>
  <c r="N383" i="34"/>
  <c r="O383" i="34"/>
  <c r="A384" i="34"/>
  <c r="B384" i="34"/>
  <c r="C384" i="34"/>
  <c r="D384" i="34"/>
  <c r="E384" i="34"/>
  <c r="F384" i="34"/>
  <c r="G384" i="34"/>
  <c r="H384" i="34"/>
  <c r="I384" i="34"/>
  <c r="J384" i="34"/>
  <c r="K384" i="34"/>
  <c r="L384" i="34"/>
  <c r="M384" i="34"/>
  <c r="N384" i="34"/>
  <c r="O384" i="34"/>
  <c r="A385" i="34"/>
  <c r="B385" i="34"/>
  <c r="C385" i="34"/>
  <c r="D385" i="34"/>
  <c r="E385" i="34"/>
  <c r="F385" i="34"/>
  <c r="G385" i="34"/>
  <c r="H385" i="34"/>
  <c r="I385" i="34"/>
  <c r="J385" i="34"/>
  <c r="K385" i="34"/>
  <c r="L385" i="34"/>
  <c r="M385" i="34"/>
  <c r="N385" i="34"/>
  <c r="O385" i="34"/>
  <c r="A386" i="34"/>
  <c r="B386" i="34"/>
  <c r="C386" i="34"/>
  <c r="D386" i="34"/>
  <c r="E386" i="34"/>
  <c r="F386" i="34"/>
  <c r="G386" i="34"/>
  <c r="H386" i="34"/>
  <c r="I386" i="34"/>
  <c r="J386" i="34"/>
  <c r="K386" i="34"/>
  <c r="L386" i="34"/>
  <c r="M386" i="34"/>
  <c r="N386" i="34"/>
  <c r="O386" i="34"/>
  <c r="A387" i="34"/>
  <c r="B387" i="34"/>
  <c r="C387" i="34"/>
  <c r="D387" i="34"/>
  <c r="E387" i="34"/>
  <c r="F387" i="34"/>
  <c r="G387" i="34"/>
  <c r="H387" i="34"/>
  <c r="I387" i="34"/>
  <c r="J387" i="34"/>
  <c r="K387" i="34"/>
  <c r="L387" i="34"/>
  <c r="M387" i="34"/>
  <c r="N387" i="34"/>
  <c r="O387" i="34"/>
  <c r="A388" i="34"/>
  <c r="B388" i="34"/>
  <c r="C388" i="34"/>
  <c r="D388" i="34"/>
  <c r="E388" i="34"/>
  <c r="F388" i="34"/>
  <c r="G388" i="34"/>
  <c r="H388" i="34"/>
  <c r="I388" i="34"/>
  <c r="J388" i="34"/>
  <c r="K388" i="34"/>
  <c r="L388" i="34"/>
  <c r="M388" i="34"/>
  <c r="N388" i="34"/>
  <c r="O388" i="34"/>
  <c r="A389" i="34"/>
  <c r="B389" i="34"/>
  <c r="C389" i="34"/>
  <c r="D389" i="34"/>
  <c r="E389" i="34"/>
  <c r="F389" i="34"/>
  <c r="G389" i="34"/>
  <c r="H389" i="34"/>
  <c r="I389" i="34"/>
  <c r="J389" i="34"/>
  <c r="K389" i="34"/>
  <c r="L389" i="34"/>
  <c r="M389" i="34"/>
  <c r="N389" i="34"/>
  <c r="O389" i="34"/>
  <c r="A390" i="34"/>
  <c r="B390" i="34"/>
  <c r="C390" i="34"/>
  <c r="D390" i="34"/>
  <c r="E390" i="34"/>
  <c r="F390" i="34"/>
  <c r="G390" i="34"/>
  <c r="H390" i="34"/>
  <c r="I390" i="34"/>
  <c r="J390" i="34"/>
  <c r="K390" i="34"/>
  <c r="L390" i="34"/>
  <c r="M390" i="34"/>
  <c r="N390" i="34"/>
  <c r="O390" i="34"/>
  <c r="A391" i="34"/>
  <c r="B391" i="34"/>
  <c r="C391" i="34"/>
  <c r="D391" i="34"/>
  <c r="E391" i="34"/>
  <c r="F391" i="34"/>
  <c r="G391" i="34"/>
  <c r="H391" i="34"/>
  <c r="I391" i="34"/>
  <c r="J391" i="34"/>
  <c r="K391" i="34"/>
  <c r="L391" i="34"/>
  <c r="M391" i="34"/>
  <c r="N391" i="34"/>
  <c r="O391" i="34"/>
  <c r="A392" i="34"/>
  <c r="B392" i="34"/>
  <c r="C392" i="34"/>
  <c r="D392" i="34"/>
  <c r="E392" i="34"/>
  <c r="F392" i="34"/>
  <c r="G392" i="34"/>
  <c r="H392" i="34"/>
  <c r="I392" i="34"/>
  <c r="J392" i="34"/>
  <c r="K392" i="34"/>
  <c r="L392" i="34"/>
  <c r="M392" i="34"/>
  <c r="N392" i="34"/>
  <c r="O392" i="34"/>
  <c r="A393" i="34"/>
  <c r="B393" i="34"/>
  <c r="C393" i="34"/>
  <c r="D393" i="34"/>
  <c r="E393" i="34"/>
  <c r="F393" i="34"/>
  <c r="G393" i="34"/>
  <c r="H393" i="34"/>
  <c r="I393" i="34"/>
  <c r="J393" i="34"/>
  <c r="K393" i="34"/>
  <c r="L393" i="34"/>
  <c r="M393" i="34"/>
  <c r="N393" i="34"/>
  <c r="O393" i="34"/>
  <c r="A394" i="34"/>
  <c r="B394" i="34"/>
  <c r="C394" i="34"/>
  <c r="D394" i="34"/>
  <c r="E394" i="34"/>
  <c r="F394" i="34"/>
  <c r="G394" i="34"/>
  <c r="H394" i="34"/>
  <c r="I394" i="34"/>
  <c r="J394" i="34"/>
  <c r="K394" i="34"/>
  <c r="L394" i="34"/>
  <c r="M394" i="34"/>
  <c r="N394" i="34"/>
  <c r="O394" i="34"/>
  <c r="A395" i="34"/>
  <c r="B395" i="34"/>
  <c r="C395" i="34"/>
  <c r="D395" i="34"/>
  <c r="E395" i="34"/>
  <c r="F395" i="34"/>
  <c r="G395" i="34"/>
  <c r="H395" i="34"/>
  <c r="I395" i="34"/>
  <c r="J395" i="34"/>
  <c r="K395" i="34"/>
  <c r="L395" i="34"/>
  <c r="M395" i="34"/>
  <c r="N395" i="34"/>
  <c r="O395" i="34"/>
  <c r="A396" i="34"/>
  <c r="B396" i="34"/>
  <c r="C396" i="34"/>
  <c r="D396" i="34"/>
  <c r="E396" i="34"/>
  <c r="F396" i="34"/>
  <c r="G396" i="34"/>
  <c r="H396" i="34"/>
  <c r="I396" i="34"/>
  <c r="J396" i="34"/>
  <c r="K396" i="34"/>
  <c r="L396" i="34"/>
  <c r="M396" i="34"/>
  <c r="N396" i="34"/>
  <c r="O396" i="34"/>
  <c r="A397" i="34"/>
  <c r="B397" i="34"/>
  <c r="C397" i="34"/>
  <c r="D397" i="34"/>
  <c r="E397" i="34"/>
  <c r="F397" i="34"/>
  <c r="G397" i="34"/>
  <c r="H397" i="34"/>
  <c r="I397" i="34"/>
  <c r="J397" i="34"/>
  <c r="K397" i="34"/>
  <c r="L397" i="34"/>
  <c r="M397" i="34"/>
  <c r="N397" i="34"/>
  <c r="O397" i="34"/>
  <c r="A398" i="34"/>
  <c r="B398" i="34"/>
  <c r="C398" i="34"/>
  <c r="D398" i="34"/>
  <c r="E398" i="34"/>
  <c r="F398" i="34"/>
  <c r="G398" i="34"/>
  <c r="H398" i="34"/>
  <c r="I398" i="34"/>
  <c r="J398" i="34"/>
  <c r="K398" i="34"/>
  <c r="L398" i="34"/>
  <c r="M398" i="34"/>
  <c r="N398" i="34"/>
  <c r="O398" i="34"/>
  <c r="A399" i="34"/>
  <c r="B399" i="34"/>
  <c r="C399" i="34"/>
  <c r="D399" i="34"/>
  <c r="E399" i="34"/>
  <c r="F399" i="34"/>
  <c r="G399" i="34"/>
  <c r="H399" i="34"/>
  <c r="I399" i="34"/>
  <c r="J399" i="34"/>
  <c r="K399" i="34"/>
  <c r="L399" i="34"/>
  <c r="M399" i="34"/>
  <c r="N399" i="34"/>
  <c r="O399" i="34"/>
  <c r="A400" i="34"/>
  <c r="B400" i="34"/>
  <c r="C400" i="34"/>
  <c r="D400" i="34"/>
  <c r="E400" i="34"/>
  <c r="F400" i="34"/>
  <c r="G400" i="34"/>
  <c r="H400" i="34"/>
  <c r="I400" i="34"/>
  <c r="J400" i="34"/>
  <c r="K400" i="34"/>
  <c r="L400" i="34"/>
  <c r="M400" i="34"/>
  <c r="N400" i="34"/>
  <c r="O400" i="34"/>
  <c r="A401" i="34"/>
  <c r="B401" i="34"/>
  <c r="C401" i="34"/>
  <c r="D401" i="34"/>
  <c r="E401" i="34"/>
  <c r="F401" i="34"/>
  <c r="G401" i="34"/>
  <c r="H401" i="34"/>
  <c r="I401" i="34"/>
  <c r="J401" i="34"/>
  <c r="K401" i="34"/>
  <c r="L401" i="34"/>
  <c r="M401" i="34"/>
  <c r="N401" i="34"/>
  <c r="O401" i="34"/>
  <c r="A402" i="34"/>
  <c r="B402" i="34"/>
  <c r="C402" i="34"/>
  <c r="D402" i="34"/>
  <c r="E402" i="34"/>
  <c r="F402" i="34"/>
  <c r="G402" i="34"/>
  <c r="H402" i="34"/>
  <c r="I402" i="34"/>
  <c r="J402" i="34"/>
  <c r="K402" i="34"/>
  <c r="L402" i="34"/>
  <c r="M402" i="34"/>
  <c r="N402" i="34"/>
  <c r="O402" i="34"/>
  <c r="A403" i="34"/>
  <c r="B403" i="34"/>
  <c r="C403" i="34"/>
  <c r="D403" i="34"/>
  <c r="E403" i="34"/>
  <c r="F403" i="34"/>
  <c r="G403" i="34"/>
  <c r="H403" i="34"/>
  <c r="I403" i="34"/>
  <c r="J403" i="34"/>
  <c r="K403" i="34"/>
  <c r="L403" i="34"/>
  <c r="M403" i="34"/>
  <c r="N403" i="34"/>
  <c r="O403" i="34"/>
  <c r="A404" i="34"/>
  <c r="B404" i="34"/>
  <c r="C404" i="34"/>
  <c r="D404" i="34"/>
  <c r="E404" i="34"/>
  <c r="F404" i="34"/>
  <c r="G404" i="34"/>
  <c r="H404" i="34"/>
  <c r="I404" i="34"/>
  <c r="J404" i="34"/>
  <c r="K404" i="34"/>
  <c r="L404" i="34"/>
  <c r="M404" i="34"/>
  <c r="N404" i="34"/>
  <c r="O404" i="34"/>
  <c r="A405" i="34"/>
  <c r="B405" i="34"/>
  <c r="C405" i="34"/>
  <c r="D405" i="34"/>
  <c r="E405" i="34"/>
  <c r="F405" i="34"/>
  <c r="G405" i="34"/>
  <c r="H405" i="34"/>
  <c r="I405" i="34"/>
  <c r="J405" i="34"/>
  <c r="K405" i="34"/>
  <c r="L405" i="34"/>
  <c r="M405" i="34"/>
  <c r="N405" i="34"/>
  <c r="O405" i="34"/>
  <c r="A406" i="34"/>
  <c r="B406" i="34"/>
  <c r="C406" i="34"/>
  <c r="D406" i="34"/>
  <c r="E406" i="34"/>
  <c r="F406" i="34"/>
  <c r="G406" i="34"/>
  <c r="H406" i="34"/>
  <c r="I406" i="34"/>
  <c r="J406" i="34"/>
  <c r="K406" i="34"/>
  <c r="L406" i="34"/>
  <c r="M406" i="34"/>
  <c r="N406" i="34"/>
  <c r="O406" i="34"/>
  <c r="A407" i="34"/>
  <c r="B407" i="34"/>
  <c r="C407" i="34"/>
  <c r="D407" i="34"/>
  <c r="E407" i="34"/>
  <c r="F407" i="34"/>
  <c r="G407" i="34"/>
  <c r="H407" i="34"/>
  <c r="I407" i="34"/>
  <c r="J407" i="34"/>
  <c r="K407" i="34"/>
  <c r="L407" i="34"/>
  <c r="M407" i="34"/>
  <c r="N407" i="34"/>
  <c r="O407" i="34"/>
  <c r="A408" i="34"/>
  <c r="B408" i="34"/>
  <c r="C408" i="34"/>
  <c r="D408" i="34"/>
  <c r="E408" i="34"/>
  <c r="F408" i="34"/>
  <c r="G408" i="34"/>
  <c r="H408" i="34"/>
  <c r="I408" i="34"/>
  <c r="J408" i="34"/>
  <c r="K408" i="34"/>
  <c r="L408" i="34"/>
  <c r="M408" i="34"/>
  <c r="N408" i="34"/>
  <c r="O408" i="34"/>
  <c r="A409" i="34"/>
  <c r="B409" i="34"/>
  <c r="C409" i="34"/>
  <c r="D409" i="34"/>
  <c r="E409" i="34"/>
  <c r="F409" i="34"/>
  <c r="G409" i="34"/>
  <c r="H409" i="34"/>
  <c r="I409" i="34"/>
  <c r="J409" i="34"/>
  <c r="K409" i="34"/>
  <c r="L409" i="34"/>
  <c r="M409" i="34"/>
  <c r="N409" i="34"/>
  <c r="O409" i="34"/>
  <c r="A410" i="34"/>
  <c r="B410" i="34"/>
  <c r="C410" i="34"/>
  <c r="D410" i="34"/>
  <c r="E410" i="34"/>
  <c r="F410" i="34"/>
  <c r="G410" i="34"/>
  <c r="H410" i="34"/>
  <c r="I410" i="34"/>
  <c r="J410" i="34"/>
  <c r="K410" i="34"/>
  <c r="L410" i="34"/>
  <c r="M410" i="34"/>
  <c r="N410" i="34"/>
  <c r="O410" i="34"/>
  <c r="A411" i="34"/>
  <c r="B411" i="34"/>
  <c r="C411" i="34"/>
  <c r="D411" i="34"/>
  <c r="E411" i="34"/>
  <c r="F411" i="34"/>
  <c r="G411" i="34"/>
  <c r="H411" i="34"/>
  <c r="I411" i="34"/>
  <c r="J411" i="34"/>
  <c r="K411" i="34"/>
  <c r="L411" i="34"/>
  <c r="M411" i="34"/>
  <c r="N411" i="34"/>
  <c r="O411" i="34"/>
  <c r="A412" i="34"/>
  <c r="B412" i="34"/>
  <c r="C412" i="34"/>
  <c r="D412" i="34"/>
  <c r="E412" i="34"/>
  <c r="F412" i="34"/>
  <c r="G412" i="34"/>
  <c r="H412" i="34"/>
  <c r="I412" i="34"/>
  <c r="J412" i="34"/>
  <c r="K412" i="34"/>
  <c r="L412" i="34"/>
  <c r="M412" i="34"/>
  <c r="N412" i="34"/>
  <c r="O412" i="34"/>
  <c r="A413" i="34"/>
  <c r="B413" i="34"/>
  <c r="C413" i="34"/>
  <c r="D413" i="34"/>
  <c r="E413" i="34"/>
  <c r="F413" i="34"/>
  <c r="G413" i="34"/>
  <c r="H413" i="34"/>
  <c r="I413" i="34"/>
  <c r="J413" i="34"/>
  <c r="K413" i="34"/>
  <c r="L413" i="34"/>
  <c r="M413" i="34"/>
  <c r="N413" i="34"/>
  <c r="O413" i="34"/>
  <c r="A414" i="34"/>
  <c r="B414" i="34"/>
  <c r="C414" i="34"/>
  <c r="D414" i="34"/>
  <c r="E414" i="34"/>
  <c r="F414" i="34"/>
  <c r="G414" i="34"/>
  <c r="H414" i="34"/>
  <c r="I414" i="34"/>
  <c r="J414" i="34"/>
  <c r="K414" i="34"/>
  <c r="L414" i="34"/>
  <c r="M414" i="34"/>
  <c r="N414" i="34"/>
  <c r="O414" i="34"/>
  <c r="A415" i="34"/>
  <c r="B415" i="34"/>
  <c r="C415" i="34"/>
  <c r="D415" i="34"/>
  <c r="E415" i="34"/>
  <c r="F415" i="34"/>
  <c r="G415" i="34"/>
  <c r="H415" i="34"/>
  <c r="I415" i="34"/>
  <c r="J415" i="34"/>
  <c r="K415" i="34"/>
  <c r="L415" i="34"/>
  <c r="M415" i="34"/>
  <c r="N415" i="34"/>
  <c r="O415" i="34"/>
  <c r="A416" i="34"/>
  <c r="B416" i="34"/>
  <c r="C416" i="34"/>
  <c r="D416" i="34"/>
  <c r="E416" i="34"/>
  <c r="F416" i="34"/>
  <c r="G416" i="34"/>
  <c r="H416" i="34"/>
  <c r="I416" i="34"/>
  <c r="J416" i="34"/>
  <c r="K416" i="34"/>
  <c r="L416" i="34"/>
  <c r="M416" i="34"/>
  <c r="N416" i="34"/>
  <c r="O416" i="34"/>
  <c r="A417" i="34"/>
  <c r="B417" i="34"/>
  <c r="C417" i="34"/>
  <c r="D417" i="34"/>
  <c r="E417" i="34"/>
  <c r="F417" i="34"/>
  <c r="G417" i="34"/>
  <c r="H417" i="34"/>
  <c r="I417" i="34"/>
  <c r="J417" i="34"/>
  <c r="K417" i="34"/>
  <c r="L417" i="34"/>
  <c r="M417" i="34"/>
  <c r="N417" i="34"/>
  <c r="O417" i="34"/>
  <c r="A418" i="34"/>
  <c r="B418" i="34"/>
  <c r="C418" i="34"/>
  <c r="D418" i="34"/>
  <c r="E418" i="34"/>
  <c r="F418" i="34"/>
  <c r="G418" i="34"/>
  <c r="H418" i="34"/>
  <c r="I418" i="34"/>
  <c r="J418" i="34"/>
  <c r="K418" i="34"/>
  <c r="L418" i="34"/>
  <c r="M418" i="34"/>
  <c r="N418" i="34"/>
  <c r="O418" i="34"/>
  <c r="A419" i="34"/>
  <c r="B419" i="34"/>
  <c r="C419" i="34"/>
  <c r="D419" i="34"/>
  <c r="E419" i="34"/>
  <c r="F419" i="34"/>
  <c r="G419" i="34"/>
  <c r="H419" i="34"/>
  <c r="I419" i="34"/>
  <c r="J419" i="34"/>
  <c r="K419" i="34"/>
  <c r="L419" i="34"/>
  <c r="M419" i="34"/>
  <c r="N419" i="34"/>
  <c r="O419" i="34"/>
  <c r="A420" i="34"/>
  <c r="B420" i="34"/>
  <c r="C420" i="34"/>
  <c r="D420" i="34"/>
  <c r="E420" i="34"/>
  <c r="F420" i="34"/>
  <c r="G420" i="34"/>
  <c r="H420" i="34"/>
  <c r="I420" i="34"/>
  <c r="J420" i="34"/>
  <c r="K420" i="34"/>
  <c r="L420" i="34"/>
  <c r="M420" i="34"/>
  <c r="N420" i="34"/>
  <c r="O420" i="34"/>
  <c r="A421" i="34"/>
  <c r="B421" i="34"/>
  <c r="C421" i="34"/>
  <c r="D421" i="34"/>
  <c r="E421" i="34"/>
  <c r="F421" i="34"/>
  <c r="G421" i="34"/>
  <c r="H421" i="34"/>
  <c r="I421" i="34"/>
  <c r="J421" i="34"/>
  <c r="K421" i="34"/>
  <c r="L421" i="34"/>
  <c r="M421" i="34"/>
  <c r="N421" i="34"/>
  <c r="O421" i="34"/>
  <c r="A422" i="34"/>
  <c r="B422" i="34"/>
  <c r="C422" i="34"/>
  <c r="D422" i="34"/>
  <c r="E422" i="34"/>
  <c r="F422" i="34"/>
  <c r="G422" i="34"/>
  <c r="H422" i="34"/>
  <c r="I422" i="34"/>
  <c r="J422" i="34"/>
  <c r="K422" i="34"/>
  <c r="L422" i="34"/>
  <c r="M422" i="34"/>
  <c r="N422" i="34"/>
  <c r="O422" i="34"/>
  <c r="A423" i="34"/>
  <c r="B423" i="34"/>
  <c r="C423" i="34"/>
  <c r="D423" i="34"/>
  <c r="E423" i="34"/>
  <c r="F423" i="34"/>
  <c r="G423" i="34"/>
  <c r="H423" i="34"/>
  <c r="I423" i="34"/>
  <c r="J423" i="34"/>
  <c r="K423" i="34"/>
  <c r="L423" i="34"/>
  <c r="M423" i="34"/>
  <c r="N423" i="34"/>
  <c r="O423" i="34"/>
  <c r="A424" i="34"/>
  <c r="B424" i="34"/>
  <c r="C424" i="34"/>
  <c r="D424" i="34"/>
  <c r="E424" i="34"/>
  <c r="F424" i="34"/>
  <c r="G424" i="34"/>
  <c r="H424" i="34"/>
  <c r="I424" i="34"/>
  <c r="J424" i="34"/>
  <c r="K424" i="34"/>
  <c r="L424" i="34"/>
  <c r="M424" i="34"/>
  <c r="N424" i="34"/>
  <c r="O424" i="34"/>
  <c r="A425" i="34"/>
  <c r="B425" i="34"/>
  <c r="C425" i="34"/>
  <c r="D425" i="34"/>
  <c r="E425" i="34"/>
  <c r="F425" i="34"/>
  <c r="G425" i="34"/>
  <c r="H425" i="34"/>
  <c r="I425" i="34"/>
  <c r="J425" i="34"/>
  <c r="K425" i="34"/>
  <c r="L425" i="34"/>
  <c r="M425" i="34"/>
  <c r="N425" i="34"/>
  <c r="O425" i="34"/>
  <c r="A426" i="34"/>
  <c r="B426" i="34"/>
  <c r="C426" i="34"/>
  <c r="D426" i="34"/>
  <c r="E426" i="34"/>
  <c r="F426" i="34"/>
  <c r="G426" i="34"/>
  <c r="H426" i="34"/>
  <c r="I426" i="34"/>
  <c r="J426" i="34"/>
  <c r="K426" i="34"/>
  <c r="L426" i="34"/>
  <c r="M426" i="34"/>
  <c r="N426" i="34"/>
  <c r="O426" i="34"/>
  <c r="A427" i="34"/>
  <c r="B427" i="34"/>
  <c r="C427" i="34"/>
  <c r="D427" i="34"/>
  <c r="E427" i="34"/>
  <c r="F427" i="34"/>
  <c r="G427" i="34"/>
  <c r="H427" i="34"/>
  <c r="I427" i="34"/>
  <c r="J427" i="34"/>
  <c r="K427" i="34"/>
  <c r="L427" i="34"/>
  <c r="M427" i="34"/>
  <c r="N427" i="34"/>
  <c r="O427" i="34"/>
  <c r="A428" i="34"/>
  <c r="B428" i="34"/>
  <c r="C428" i="34"/>
  <c r="D428" i="34"/>
  <c r="E428" i="34"/>
  <c r="F428" i="34"/>
  <c r="G428" i="34"/>
  <c r="H428" i="34"/>
  <c r="I428" i="34"/>
  <c r="J428" i="34"/>
  <c r="K428" i="34"/>
  <c r="L428" i="34"/>
  <c r="M428" i="34"/>
  <c r="N428" i="34"/>
  <c r="O428" i="34"/>
  <c r="A429" i="34"/>
  <c r="B429" i="34"/>
  <c r="C429" i="34"/>
  <c r="D429" i="34"/>
  <c r="E429" i="34"/>
  <c r="F429" i="34"/>
  <c r="G429" i="34"/>
  <c r="H429" i="34"/>
  <c r="I429" i="34"/>
  <c r="J429" i="34"/>
  <c r="K429" i="34"/>
  <c r="L429" i="34"/>
  <c r="M429" i="34"/>
  <c r="N429" i="34"/>
  <c r="O429" i="34"/>
  <c r="A430" i="34"/>
  <c r="B430" i="34"/>
  <c r="C430" i="34"/>
  <c r="D430" i="34"/>
  <c r="E430" i="34"/>
  <c r="F430" i="34"/>
  <c r="G430" i="34"/>
  <c r="H430" i="34"/>
  <c r="I430" i="34"/>
  <c r="J430" i="34"/>
  <c r="K430" i="34"/>
  <c r="L430" i="34"/>
  <c r="M430" i="34"/>
  <c r="N430" i="34"/>
  <c r="O430" i="34"/>
  <c r="A431" i="34"/>
  <c r="B431" i="34"/>
  <c r="C431" i="34"/>
  <c r="D431" i="34"/>
  <c r="E431" i="34"/>
  <c r="F431" i="34"/>
  <c r="G431" i="34"/>
  <c r="H431" i="34"/>
  <c r="I431" i="34"/>
  <c r="J431" i="34"/>
  <c r="K431" i="34"/>
  <c r="L431" i="34"/>
  <c r="M431" i="34"/>
  <c r="N431" i="34"/>
  <c r="O431" i="34"/>
  <c r="A432" i="34"/>
  <c r="B432" i="34"/>
  <c r="C432" i="34"/>
  <c r="D432" i="34"/>
  <c r="E432" i="34"/>
  <c r="F432" i="34"/>
  <c r="G432" i="34"/>
  <c r="H432" i="34"/>
  <c r="I432" i="34"/>
  <c r="J432" i="34"/>
  <c r="K432" i="34"/>
  <c r="L432" i="34"/>
  <c r="M432" i="34"/>
  <c r="N432" i="34"/>
  <c r="O432" i="34"/>
  <c r="A433" i="34"/>
  <c r="B433" i="34"/>
  <c r="C433" i="34"/>
  <c r="D433" i="34"/>
  <c r="E433" i="34"/>
  <c r="F433" i="34"/>
  <c r="G433" i="34"/>
  <c r="H433" i="34"/>
  <c r="I433" i="34"/>
  <c r="J433" i="34"/>
  <c r="K433" i="34"/>
  <c r="L433" i="34"/>
  <c r="M433" i="34"/>
  <c r="N433" i="34"/>
  <c r="O433" i="34"/>
  <c r="A434" i="34"/>
  <c r="B434" i="34"/>
  <c r="C434" i="34"/>
  <c r="D434" i="34"/>
  <c r="E434" i="34"/>
  <c r="F434" i="34"/>
  <c r="G434" i="34"/>
  <c r="H434" i="34"/>
  <c r="I434" i="34"/>
  <c r="J434" i="34"/>
  <c r="K434" i="34"/>
  <c r="L434" i="34"/>
  <c r="M434" i="34"/>
  <c r="N434" i="34"/>
  <c r="O434" i="34"/>
  <c r="A435" i="34"/>
  <c r="B435" i="34"/>
  <c r="C435" i="34"/>
  <c r="D435" i="34"/>
  <c r="E435" i="34"/>
  <c r="F435" i="34"/>
  <c r="G435" i="34"/>
  <c r="H435" i="34"/>
  <c r="I435" i="34"/>
  <c r="J435" i="34"/>
  <c r="K435" i="34"/>
  <c r="L435" i="34"/>
  <c r="M435" i="34"/>
  <c r="N435" i="34"/>
  <c r="O435" i="34"/>
  <c r="A436" i="34"/>
  <c r="B436" i="34"/>
  <c r="C436" i="34"/>
  <c r="D436" i="34"/>
  <c r="E436" i="34"/>
  <c r="F436" i="34"/>
  <c r="G436" i="34"/>
  <c r="H436" i="34"/>
  <c r="I436" i="34"/>
  <c r="J436" i="34"/>
  <c r="K436" i="34"/>
  <c r="L436" i="34"/>
  <c r="M436" i="34"/>
  <c r="N436" i="34"/>
  <c r="O436" i="34"/>
  <c r="A437" i="34"/>
  <c r="B437" i="34"/>
  <c r="C437" i="34"/>
  <c r="D437" i="34"/>
  <c r="E437" i="34"/>
  <c r="F437" i="34"/>
  <c r="G437" i="34"/>
  <c r="H437" i="34"/>
  <c r="I437" i="34"/>
  <c r="J437" i="34"/>
  <c r="K437" i="34"/>
  <c r="L437" i="34"/>
  <c r="M437" i="34"/>
  <c r="N437" i="34"/>
  <c r="O437" i="34"/>
  <c r="A438" i="34"/>
  <c r="B438" i="34"/>
  <c r="C438" i="34"/>
  <c r="D438" i="34"/>
  <c r="E438" i="34"/>
  <c r="F438" i="34"/>
  <c r="G438" i="34"/>
  <c r="H438" i="34"/>
  <c r="I438" i="34"/>
  <c r="J438" i="34"/>
  <c r="K438" i="34"/>
  <c r="L438" i="34"/>
  <c r="M438" i="34"/>
  <c r="N438" i="34"/>
  <c r="O438" i="34"/>
  <c r="A439" i="34"/>
  <c r="B439" i="34"/>
  <c r="C439" i="34"/>
  <c r="D439" i="34"/>
  <c r="E439" i="34"/>
  <c r="F439" i="34"/>
  <c r="G439" i="34"/>
  <c r="H439" i="34"/>
  <c r="I439" i="34"/>
  <c r="J439" i="34"/>
  <c r="K439" i="34"/>
  <c r="L439" i="34"/>
  <c r="M439" i="34"/>
  <c r="N439" i="34"/>
  <c r="O439" i="34"/>
  <c r="A440" i="34"/>
  <c r="B440" i="34"/>
  <c r="C440" i="34"/>
  <c r="D440" i="34"/>
  <c r="E440" i="34"/>
  <c r="F440" i="34"/>
  <c r="G440" i="34"/>
  <c r="H440" i="34"/>
  <c r="I440" i="34"/>
  <c r="J440" i="34"/>
  <c r="K440" i="34"/>
  <c r="L440" i="34"/>
  <c r="M440" i="34"/>
  <c r="N440" i="34"/>
  <c r="O440" i="34"/>
  <c r="A441" i="34"/>
  <c r="B441" i="34"/>
  <c r="C441" i="34"/>
  <c r="D441" i="34"/>
  <c r="E441" i="34"/>
  <c r="F441" i="34"/>
  <c r="G441" i="34"/>
  <c r="H441" i="34"/>
  <c r="I441" i="34"/>
  <c r="J441" i="34"/>
  <c r="K441" i="34"/>
  <c r="L441" i="34"/>
  <c r="M441" i="34"/>
  <c r="N441" i="34"/>
  <c r="O441" i="34"/>
  <c r="A442" i="34"/>
  <c r="B442" i="34"/>
  <c r="C442" i="34"/>
  <c r="D442" i="34"/>
  <c r="E442" i="34"/>
  <c r="F442" i="34"/>
  <c r="G442" i="34"/>
  <c r="H442" i="34"/>
  <c r="I442" i="34"/>
  <c r="J442" i="34"/>
  <c r="K442" i="34"/>
  <c r="L442" i="34"/>
  <c r="M442" i="34"/>
  <c r="N442" i="34"/>
  <c r="O442" i="34"/>
  <c r="A443" i="34"/>
  <c r="B443" i="34"/>
  <c r="C443" i="34"/>
  <c r="D443" i="34"/>
  <c r="E443" i="34"/>
  <c r="F443" i="34"/>
  <c r="G443" i="34"/>
  <c r="H443" i="34"/>
  <c r="I443" i="34"/>
  <c r="J443" i="34"/>
  <c r="K443" i="34"/>
  <c r="L443" i="34"/>
  <c r="M443" i="34"/>
  <c r="N443" i="34"/>
  <c r="O443" i="34"/>
  <c r="A444" i="34"/>
  <c r="B444" i="34"/>
  <c r="C444" i="34"/>
  <c r="D444" i="34"/>
  <c r="E444" i="34"/>
  <c r="F444" i="34"/>
  <c r="G444" i="34"/>
  <c r="H444" i="34"/>
  <c r="I444" i="34"/>
  <c r="J444" i="34"/>
  <c r="K444" i="34"/>
  <c r="L444" i="34"/>
  <c r="M444" i="34"/>
  <c r="N444" i="34"/>
  <c r="O444" i="34"/>
  <c r="A445" i="34"/>
  <c r="B445" i="34"/>
  <c r="C445" i="34"/>
  <c r="D445" i="34"/>
  <c r="E445" i="34"/>
  <c r="F445" i="34"/>
  <c r="G445" i="34"/>
  <c r="H445" i="34"/>
  <c r="I445" i="34"/>
  <c r="J445" i="34"/>
  <c r="K445" i="34"/>
  <c r="L445" i="34"/>
  <c r="M445" i="34"/>
  <c r="N445" i="34"/>
  <c r="O445" i="34"/>
  <c r="A446" i="34"/>
  <c r="B446" i="34"/>
  <c r="C446" i="34"/>
  <c r="D446" i="34"/>
  <c r="E446" i="34"/>
  <c r="F446" i="34"/>
  <c r="G446" i="34"/>
  <c r="H446" i="34"/>
  <c r="I446" i="34"/>
  <c r="J446" i="34"/>
  <c r="K446" i="34"/>
  <c r="L446" i="34"/>
  <c r="M446" i="34"/>
  <c r="N446" i="34"/>
  <c r="O446" i="34"/>
  <c r="A447" i="34"/>
  <c r="B447" i="34"/>
  <c r="C447" i="34"/>
  <c r="D447" i="34"/>
  <c r="E447" i="34"/>
  <c r="F447" i="34"/>
  <c r="G447" i="34"/>
  <c r="H447" i="34"/>
  <c r="I447" i="34"/>
  <c r="J447" i="34"/>
  <c r="K447" i="34"/>
  <c r="L447" i="34"/>
  <c r="M447" i="34"/>
  <c r="N447" i="34"/>
  <c r="O447" i="34"/>
  <c r="A448" i="34"/>
  <c r="B448" i="34"/>
  <c r="C448" i="34"/>
  <c r="D448" i="34"/>
  <c r="E448" i="34"/>
  <c r="F448" i="34"/>
  <c r="G448" i="34"/>
  <c r="H448" i="34"/>
  <c r="I448" i="34"/>
  <c r="J448" i="34"/>
  <c r="K448" i="34"/>
  <c r="L448" i="34"/>
  <c r="M448" i="34"/>
  <c r="N448" i="34"/>
  <c r="O448" i="34"/>
  <c r="A449" i="34"/>
  <c r="B449" i="34"/>
  <c r="C449" i="34"/>
  <c r="D449" i="34"/>
  <c r="E449" i="34"/>
  <c r="F449" i="34"/>
  <c r="G449" i="34"/>
  <c r="H449" i="34"/>
  <c r="I449" i="34"/>
  <c r="J449" i="34"/>
  <c r="K449" i="34"/>
  <c r="L449" i="34"/>
  <c r="M449" i="34"/>
  <c r="N449" i="34"/>
  <c r="O449" i="34"/>
  <c r="A450" i="34"/>
  <c r="B450" i="34"/>
  <c r="C450" i="34"/>
  <c r="D450" i="34"/>
  <c r="E450" i="34"/>
  <c r="F450" i="34"/>
  <c r="G450" i="34"/>
  <c r="H450" i="34"/>
  <c r="I450" i="34"/>
  <c r="J450" i="34"/>
  <c r="K450" i="34"/>
  <c r="L450" i="34"/>
  <c r="M450" i="34"/>
  <c r="N450" i="34"/>
  <c r="O450" i="34"/>
  <c r="A451" i="34"/>
  <c r="B451" i="34"/>
  <c r="C451" i="34"/>
  <c r="D451" i="34"/>
  <c r="E451" i="34"/>
  <c r="F451" i="34"/>
  <c r="G451" i="34"/>
  <c r="H451" i="34"/>
  <c r="I451" i="34"/>
  <c r="J451" i="34"/>
  <c r="K451" i="34"/>
  <c r="L451" i="34"/>
  <c r="M451" i="34"/>
  <c r="N451" i="34"/>
  <c r="O451" i="34"/>
  <c r="A452" i="34"/>
  <c r="B452" i="34"/>
  <c r="C452" i="34"/>
  <c r="D452" i="34"/>
  <c r="E452" i="34"/>
  <c r="F452" i="34"/>
  <c r="G452" i="34"/>
  <c r="H452" i="34"/>
  <c r="I452" i="34"/>
  <c r="J452" i="34"/>
  <c r="K452" i="34"/>
  <c r="L452" i="34"/>
  <c r="M452" i="34"/>
  <c r="N452" i="34"/>
  <c r="O452" i="34"/>
  <c r="A453" i="34"/>
  <c r="B453" i="34"/>
  <c r="C453" i="34"/>
  <c r="D453" i="34"/>
  <c r="E453" i="34"/>
  <c r="F453" i="34"/>
  <c r="G453" i="34"/>
  <c r="H453" i="34"/>
  <c r="I453" i="34"/>
  <c r="J453" i="34"/>
  <c r="K453" i="34"/>
  <c r="L453" i="34"/>
  <c r="M453" i="34"/>
  <c r="N453" i="34"/>
  <c r="O453" i="34"/>
  <c r="A454" i="34"/>
  <c r="B454" i="34"/>
  <c r="C454" i="34"/>
  <c r="D454" i="34"/>
  <c r="E454" i="34"/>
  <c r="F454" i="34"/>
  <c r="G454" i="34"/>
  <c r="H454" i="34"/>
  <c r="I454" i="34"/>
  <c r="J454" i="34"/>
  <c r="K454" i="34"/>
  <c r="L454" i="34"/>
  <c r="M454" i="34"/>
  <c r="N454" i="34"/>
  <c r="O454" i="34"/>
  <c r="A455" i="34"/>
  <c r="B455" i="34"/>
  <c r="C455" i="34"/>
  <c r="D455" i="34"/>
  <c r="E455" i="34"/>
  <c r="F455" i="34"/>
  <c r="G455" i="34"/>
  <c r="H455" i="34"/>
  <c r="I455" i="34"/>
  <c r="J455" i="34"/>
  <c r="K455" i="34"/>
  <c r="L455" i="34"/>
  <c r="M455" i="34"/>
  <c r="N455" i="34"/>
  <c r="O455" i="34"/>
  <c r="A456" i="34"/>
  <c r="B456" i="34"/>
  <c r="C456" i="34"/>
  <c r="D456" i="34"/>
  <c r="E456" i="34"/>
  <c r="F456" i="34"/>
  <c r="G456" i="34"/>
  <c r="H456" i="34"/>
  <c r="I456" i="34"/>
  <c r="J456" i="34"/>
  <c r="K456" i="34"/>
  <c r="L456" i="34"/>
  <c r="M456" i="34"/>
  <c r="N456" i="34"/>
  <c r="O456" i="34"/>
  <c r="A457" i="34"/>
  <c r="B457" i="34"/>
  <c r="C457" i="34"/>
  <c r="D457" i="34"/>
  <c r="E457" i="34"/>
  <c r="F457" i="34"/>
  <c r="G457" i="34"/>
  <c r="H457" i="34"/>
  <c r="I457" i="34"/>
  <c r="J457" i="34"/>
  <c r="K457" i="34"/>
  <c r="L457" i="34"/>
  <c r="M457" i="34"/>
  <c r="N457" i="34"/>
  <c r="O457" i="34"/>
  <c r="A458" i="34"/>
  <c r="B458" i="34"/>
  <c r="C458" i="34"/>
  <c r="D458" i="34"/>
  <c r="E458" i="34"/>
  <c r="F458" i="34"/>
  <c r="G458" i="34"/>
  <c r="H458" i="34"/>
  <c r="I458" i="34"/>
  <c r="J458" i="34"/>
  <c r="K458" i="34"/>
  <c r="L458" i="34"/>
  <c r="M458" i="34"/>
  <c r="N458" i="34"/>
  <c r="O458" i="34"/>
  <c r="A459" i="34"/>
  <c r="B459" i="34"/>
  <c r="C459" i="34"/>
  <c r="D459" i="34"/>
  <c r="E459" i="34"/>
  <c r="F459" i="34"/>
  <c r="G459" i="34"/>
  <c r="H459" i="34"/>
  <c r="I459" i="34"/>
  <c r="J459" i="34"/>
  <c r="K459" i="34"/>
  <c r="L459" i="34"/>
  <c r="M459" i="34"/>
  <c r="N459" i="34"/>
  <c r="O459" i="34"/>
  <c r="A460" i="34"/>
  <c r="B460" i="34"/>
  <c r="C460" i="34"/>
  <c r="D460" i="34"/>
  <c r="E460" i="34"/>
  <c r="F460" i="34"/>
  <c r="G460" i="34"/>
  <c r="H460" i="34"/>
  <c r="I460" i="34"/>
  <c r="J460" i="34"/>
  <c r="K460" i="34"/>
  <c r="L460" i="34"/>
  <c r="M460" i="34"/>
  <c r="N460" i="34"/>
  <c r="O460" i="34"/>
  <c r="A461" i="34"/>
  <c r="B461" i="34"/>
  <c r="C461" i="34"/>
  <c r="D461" i="34"/>
  <c r="E461" i="34"/>
  <c r="F461" i="34"/>
  <c r="G461" i="34"/>
  <c r="H461" i="34"/>
  <c r="I461" i="34"/>
  <c r="J461" i="34"/>
  <c r="K461" i="34"/>
  <c r="L461" i="34"/>
  <c r="M461" i="34"/>
  <c r="N461" i="34"/>
  <c r="O461" i="34"/>
  <c r="A462" i="34"/>
  <c r="B462" i="34"/>
  <c r="C462" i="34"/>
  <c r="D462" i="34"/>
  <c r="E462" i="34"/>
  <c r="F462" i="34"/>
  <c r="G462" i="34"/>
  <c r="H462" i="34"/>
  <c r="I462" i="34"/>
  <c r="J462" i="34"/>
  <c r="K462" i="34"/>
  <c r="L462" i="34"/>
  <c r="M462" i="34"/>
  <c r="N462" i="34"/>
  <c r="O462" i="34"/>
  <c r="A463" i="34"/>
  <c r="B463" i="34"/>
  <c r="C463" i="34"/>
  <c r="D463" i="34"/>
  <c r="E463" i="34"/>
  <c r="F463" i="34"/>
  <c r="G463" i="34"/>
  <c r="H463" i="34"/>
  <c r="I463" i="34"/>
  <c r="J463" i="34"/>
  <c r="K463" i="34"/>
  <c r="L463" i="34"/>
  <c r="M463" i="34"/>
  <c r="N463" i="34"/>
  <c r="O463" i="34"/>
  <c r="A464" i="34"/>
  <c r="B464" i="34"/>
  <c r="C464" i="34"/>
  <c r="D464" i="34"/>
  <c r="E464" i="34"/>
  <c r="F464" i="34"/>
  <c r="G464" i="34"/>
  <c r="H464" i="34"/>
  <c r="I464" i="34"/>
  <c r="J464" i="34"/>
  <c r="K464" i="34"/>
  <c r="L464" i="34"/>
  <c r="M464" i="34"/>
  <c r="N464" i="34"/>
  <c r="O464" i="34"/>
  <c r="A465" i="34"/>
  <c r="B465" i="34"/>
  <c r="C465" i="34"/>
  <c r="D465" i="34"/>
  <c r="E465" i="34"/>
  <c r="F465" i="34"/>
  <c r="G465" i="34"/>
  <c r="H465" i="34"/>
  <c r="I465" i="34"/>
  <c r="J465" i="34"/>
  <c r="K465" i="34"/>
  <c r="L465" i="34"/>
  <c r="M465" i="34"/>
  <c r="N465" i="34"/>
  <c r="O465" i="34"/>
  <c r="A466" i="34"/>
  <c r="B466" i="34"/>
  <c r="C466" i="34"/>
  <c r="D466" i="34"/>
  <c r="E466" i="34"/>
  <c r="F466" i="34"/>
  <c r="G466" i="34"/>
  <c r="H466" i="34"/>
  <c r="I466" i="34"/>
  <c r="J466" i="34"/>
  <c r="K466" i="34"/>
  <c r="L466" i="34"/>
  <c r="M466" i="34"/>
  <c r="N466" i="34"/>
  <c r="O466" i="34"/>
  <c r="A467" i="34"/>
  <c r="B467" i="34"/>
  <c r="C467" i="34"/>
  <c r="D467" i="34"/>
  <c r="E467" i="34"/>
  <c r="F467" i="34"/>
  <c r="G467" i="34"/>
  <c r="H467" i="34"/>
  <c r="I467" i="34"/>
  <c r="J467" i="34"/>
  <c r="K467" i="34"/>
  <c r="L467" i="34"/>
  <c r="M467" i="34"/>
  <c r="N467" i="34"/>
  <c r="O467" i="34"/>
  <c r="A468" i="34"/>
  <c r="B468" i="34"/>
  <c r="C468" i="34"/>
  <c r="D468" i="34"/>
  <c r="E468" i="34"/>
  <c r="F468" i="34"/>
  <c r="G468" i="34"/>
  <c r="H468" i="34"/>
  <c r="I468" i="34"/>
  <c r="J468" i="34"/>
  <c r="K468" i="34"/>
  <c r="L468" i="34"/>
  <c r="M468" i="34"/>
  <c r="N468" i="34"/>
  <c r="O468" i="34"/>
  <c r="A469" i="34"/>
  <c r="B469" i="34"/>
  <c r="C469" i="34"/>
  <c r="D469" i="34"/>
  <c r="E469" i="34"/>
  <c r="F469" i="34"/>
  <c r="G469" i="34"/>
  <c r="H469" i="34"/>
  <c r="I469" i="34"/>
  <c r="J469" i="34"/>
  <c r="K469" i="34"/>
  <c r="L469" i="34"/>
  <c r="M469" i="34"/>
  <c r="N469" i="34"/>
  <c r="O469" i="34"/>
  <c r="A470" i="34"/>
  <c r="B470" i="34"/>
  <c r="C470" i="34"/>
  <c r="D470" i="34"/>
  <c r="E470" i="34"/>
  <c r="F470" i="34"/>
  <c r="G470" i="34"/>
  <c r="H470" i="34"/>
  <c r="I470" i="34"/>
  <c r="J470" i="34"/>
  <c r="K470" i="34"/>
  <c r="L470" i="34"/>
  <c r="M470" i="34"/>
  <c r="N470" i="34"/>
  <c r="O470" i="34"/>
  <c r="A471" i="34"/>
  <c r="B471" i="34"/>
  <c r="C471" i="34"/>
  <c r="D471" i="34"/>
  <c r="E471" i="34"/>
  <c r="F471" i="34"/>
  <c r="G471" i="34"/>
  <c r="H471" i="34"/>
  <c r="I471" i="34"/>
  <c r="J471" i="34"/>
  <c r="K471" i="34"/>
  <c r="L471" i="34"/>
  <c r="M471" i="34"/>
  <c r="N471" i="34"/>
  <c r="O471" i="34"/>
  <c r="A472" i="34"/>
  <c r="B472" i="34"/>
  <c r="C472" i="34"/>
  <c r="D472" i="34"/>
  <c r="E472" i="34"/>
  <c r="F472" i="34"/>
  <c r="G472" i="34"/>
  <c r="H472" i="34"/>
  <c r="I472" i="34"/>
  <c r="J472" i="34"/>
  <c r="K472" i="34"/>
  <c r="L472" i="34"/>
  <c r="M472" i="34"/>
  <c r="N472" i="34"/>
  <c r="O472" i="34"/>
  <c r="A473" i="34"/>
  <c r="B473" i="34"/>
  <c r="C473" i="34"/>
  <c r="D473" i="34"/>
  <c r="E473" i="34"/>
  <c r="F473" i="34"/>
  <c r="G473" i="34"/>
  <c r="H473" i="34"/>
  <c r="I473" i="34"/>
  <c r="J473" i="34"/>
  <c r="K473" i="34"/>
  <c r="L473" i="34"/>
  <c r="M473" i="34"/>
  <c r="N473" i="34"/>
  <c r="O473" i="34"/>
  <c r="A474" i="34"/>
  <c r="B474" i="34"/>
  <c r="C474" i="34"/>
  <c r="D474" i="34"/>
  <c r="E474" i="34"/>
  <c r="F474" i="34"/>
  <c r="G474" i="34"/>
  <c r="H474" i="34"/>
  <c r="I474" i="34"/>
  <c r="J474" i="34"/>
  <c r="K474" i="34"/>
  <c r="L474" i="34"/>
  <c r="M474" i="34"/>
  <c r="N474" i="34"/>
  <c r="O474" i="34"/>
  <c r="A475" i="34"/>
  <c r="B475" i="34"/>
  <c r="C475" i="34"/>
  <c r="D475" i="34"/>
  <c r="E475" i="34"/>
  <c r="F475" i="34"/>
  <c r="G475" i="34"/>
  <c r="H475" i="34"/>
  <c r="I475" i="34"/>
  <c r="J475" i="34"/>
  <c r="K475" i="34"/>
  <c r="L475" i="34"/>
  <c r="M475" i="34"/>
  <c r="N475" i="34"/>
  <c r="O475" i="34"/>
  <c r="A476" i="34"/>
  <c r="B476" i="34"/>
  <c r="C476" i="34"/>
  <c r="D476" i="34"/>
  <c r="E476" i="34"/>
  <c r="F476" i="34"/>
  <c r="G476" i="34"/>
  <c r="H476" i="34"/>
  <c r="I476" i="34"/>
  <c r="J476" i="34"/>
  <c r="K476" i="34"/>
  <c r="L476" i="34"/>
  <c r="M476" i="34"/>
  <c r="N476" i="34"/>
  <c r="O476" i="34"/>
  <c r="A477" i="34"/>
  <c r="B477" i="34"/>
  <c r="C477" i="34"/>
  <c r="D477" i="34"/>
  <c r="E477" i="34"/>
  <c r="F477" i="34"/>
  <c r="G477" i="34"/>
  <c r="H477" i="34"/>
  <c r="I477" i="34"/>
  <c r="J477" i="34"/>
  <c r="K477" i="34"/>
  <c r="L477" i="34"/>
  <c r="M477" i="34"/>
  <c r="N477" i="34"/>
  <c r="O477" i="34"/>
  <c r="A478" i="34"/>
  <c r="B478" i="34"/>
  <c r="C478" i="34"/>
  <c r="D478" i="34"/>
  <c r="E478" i="34"/>
  <c r="F478" i="34"/>
  <c r="G478" i="34"/>
  <c r="H478" i="34"/>
  <c r="I478" i="34"/>
  <c r="J478" i="34"/>
  <c r="K478" i="34"/>
  <c r="L478" i="34"/>
  <c r="M478" i="34"/>
  <c r="N478" i="34"/>
  <c r="O478" i="34"/>
  <c r="A479" i="34"/>
  <c r="B479" i="34"/>
  <c r="C479" i="34"/>
  <c r="D479" i="34"/>
  <c r="E479" i="34"/>
  <c r="F479" i="34"/>
  <c r="G479" i="34"/>
  <c r="H479" i="34"/>
  <c r="I479" i="34"/>
  <c r="J479" i="34"/>
  <c r="K479" i="34"/>
  <c r="L479" i="34"/>
  <c r="M479" i="34"/>
  <c r="N479" i="34"/>
  <c r="O479" i="34"/>
  <c r="A480" i="34"/>
  <c r="B480" i="34"/>
  <c r="C480" i="34"/>
  <c r="D480" i="34"/>
  <c r="E480" i="34"/>
  <c r="F480" i="34"/>
  <c r="G480" i="34"/>
  <c r="H480" i="34"/>
  <c r="I480" i="34"/>
  <c r="J480" i="34"/>
  <c r="K480" i="34"/>
  <c r="L480" i="34"/>
  <c r="M480" i="34"/>
  <c r="N480" i="34"/>
  <c r="O480" i="34"/>
  <c r="A481" i="34"/>
  <c r="B481" i="34"/>
  <c r="C481" i="34"/>
  <c r="D481" i="34"/>
  <c r="E481" i="34"/>
  <c r="F481" i="34"/>
  <c r="G481" i="34"/>
  <c r="H481" i="34"/>
  <c r="I481" i="34"/>
  <c r="J481" i="34"/>
  <c r="K481" i="34"/>
  <c r="L481" i="34"/>
  <c r="M481" i="34"/>
  <c r="N481" i="34"/>
  <c r="O481" i="34"/>
  <c r="A482" i="34"/>
  <c r="B482" i="34"/>
  <c r="C482" i="34"/>
  <c r="D482" i="34"/>
  <c r="E482" i="34"/>
  <c r="F482" i="34"/>
  <c r="G482" i="34"/>
  <c r="H482" i="34"/>
  <c r="I482" i="34"/>
  <c r="J482" i="34"/>
  <c r="K482" i="34"/>
  <c r="L482" i="34"/>
  <c r="M482" i="34"/>
  <c r="N482" i="34"/>
  <c r="O482" i="34"/>
  <c r="A483" i="34"/>
  <c r="B483" i="34"/>
  <c r="C483" i="34"/>
  <c r="D483" i="34"/>
  <c r="E483" i="34"/>
  <c r="F483" i="34"/>
  <c r="G483" i="34"/>
  <c r="H483" i="34"/>
  <c r="I483" i="34"/>
  <c r="J483" i="34"/>
  <c r="K483" i="34"/>
  <c r="L483" i="34"/>
  <c r="M483" i="34"/>
  <c r="N483" i="34"/>
  <c r="O483" i="34"/>
  <c r="A484" i="34"/>
  <c r="B484" i="34"/>
  <c r="C484" i="34"/>
  <c r="D484" i="34"/>
  <c r="E484" i="34"/>
  <c r="F484" i="34"/>
  <c r="G484" i="34"/>
  <c r="H484" i="34"/>
  <c r="I484" i="34"/>
  <c r="J484" i="34"/>
  <c r="K484" i="34"/>
  <c r="L484" i="34"/>
  <c r="M484" i="34"/>
  <c r="N484" i="34"/>
  <c r="O484" i="34"/>
  <c r="A485" i="34"/>
  <c r="B485" i="34"/>
  <c r="C485" i="34"/>
  <c r="D485" i="34"/>
  <c r="E485" i="34"/>
  <c r="F485" i="34"/>
  <c r="G485" i="34"/>
  <c r="H485" i="34"/>
  <c r="I485" i="34"/>
  <c r="J485" i="34"/>
  <c r="K485" i="34"/>
  <c r="L485" i="34"/>
  <c r="M485" i="34"/>
  <c r="N485" i="34"/>
  <c r="O485" i="34"/>
  <c r="A486" i="34"/>
  <c r="B486" i="34"/>
  <c r="C486" i="34"/>
  <c r="D486" i="34"/>
  <c r="E486" i="34"/>
  <c r="F486" i="34"/>
  <c r="G486" i="34"/>
  <c r="H486" i="34"/>
  <c r="I486" i="34"/>
  <c r="J486" i="34"/>
  <c r="K486" i="34"/>
  <c r="L486" i="34"/>
  <c r="M486" i="34"/>
  <c r="N486" i="34"/>
  <c r="O486" i="34"/>
  <c r="A487" i="34"/>
  <c r="B487" i="34"/>
  <c r="C487" i="34"/>
  <c r="D487" i="34"/>
  <c r="E487" i="34"/>
  <c r="F487" i="34"/>
  <c r="G487" i="34"/>
  <c r="H487" i="34"/>
  <c r="I487" i="34"/>
  <c r="J487" i="34"/>
  <c r="K487" i="34"/>
  <c r="L487" i="34"/>
  <c r="M487" i="34"/>
  <c r="N487" i="34"/>
  <c r="O487" i="34"/>
  <c r="A488" i="34"/>
  <c r="B488" i="34"/>
  <c r="C488" i="34"/>
  <c r="D488" i="34"/>
  <c r="E488" i="34"/>
  <c r="F488" i="34"/>
  <c r="G488" i="34"/>
  <c r="H488" i="34"/>
  <c r="I488" i="34"/>
  <c r="J488" i="34"/>
  <c r="K488" i="34"/>
  <c r="L488" i="34"/>
  <c r="M488" i="34"/>
  <c r="N488" i="34"/>
  <c r="O488" i="34"/>
  <c r="A489" i="34"/>
  <c r="B489" i="34"/>
  <c r="C489" i="34"/>
  <c r="D489" i="34"/>
  <c r="E489" i="34"/>
  <c r="F489" i="34"/>
  <c r="G489" i="34"/>
  <c r="H489" i="34"/>
  <c r="I489" i="34"/>
  <c r="J489" i="34"/>
  <c r="K489" i="34"/>
  <c r="L489" i="34"/>
  <c r="M489" i="34"/>
  <c r="N489" i="34"/>
  <c r="O489" i="34"/>
  <c r="A490" i="34"/>
  <c r="B490" i="34"/>
  <c r="C490" i="34"/>
  <c r="D490" i="34"/>
  <c r="E490" i="34"/>
  <c r="F490" i="34"/>
  <c r="G490" i="34"/>
  <c r="H490" i="34"/>
  <c r="I490" i="34"/>
  <c r="J490" i="34"/>
  <c r="K490" i="34"/>
  <c r="L490" i="34"/>
  <c r="M490" i="34"/>
  <c r="N490" i="34"/>
  <c r="O490" i="34"/>
  <c r="A491" i="34"/>
  <c r="B491" i="34"/>
  <c r="C491" i="34"/>
  <c r="D491" i="34"/>
  <c r="E491" i="34"/>
  <c r="F491" i="34"/>
  <c r="G491" i="34"/>
  <c r="H491" i="34"/>
  <c r="I491" i="34"/>
  <c r="J491" i="34"/>
  <c r="K491" i="34"/>
  <c r="L491" i="34"/>
  <c r="M491" i="34"/>
  <c r="N491" i="34"/>
  <c r="O491" i="34"/>
  <c r="A492" i="34"/>
  <c r="B492" i="34"/>
  <c r="C492" i="34"/>
  <c r="D492" i="34"/>
  <c r="E492" i="34"/>
  <c r="F492" i="34"/>
  <c r="G492" i="34"/>
  <c r="H492" i="34"/>
  <c r="I492" i="34"/>
  <c r="J492" i="34"/>
  <c r="K492" i="34"/>
  <c r="L492" i="34"/>
  <c r="M492" i="34"/>
  <c r="N492" i="34"/>
  <c r="O492" i="34"/>
  <c r="A493" i="34"/>
  <c r="B493" i="34"/>
  <c r="C493" i="34"/>
  <c r="D493" i="34"/>
  <c r="E493" i="34"/>
  <c r="F493" i="34"/>
  <c r="G493" i="34"/>
  <c r="H493" i="34"/>
  <c r="I493" i="34"/>
  <c r="J493" i="34"/>
  <c r="K493" i="34"/>
  <c r="L493" i="34"/>
  <c r="M493" i="34"/>
  <c r="N493" i="34"/>
  <c r="O493" i="34"/>
  <c r="A494" i="34"/>
  <c r="B494" i="34"/>
  <c r="C494" i="34"/>
  <c r="D494" i="34"/>
  <c r="E494" i="34"/>
  <c r="F494" i="34"/>
  <c r="G494" i="34"/>
  <c r="H494" i="34"/>
  <c r="I494" i="34"/>
  <c r="J494" i="34"/>
  <c r="K494" i="34"/>
  <c r="L494" i="34"/>
  <c r="M494" i="34"/>
  <c r="N494" i="34"/>
  <c r="O494" i="34"/>
  <c r="A495" i="34"/>
  <c r="B495" i="34"/>
  <c r="C495" i="34"/>
  <c r="D495" i="34"/>
  <c r="E495" i="34"/>
  <c r="F495" i="34"/>
  <c r="G495" i="34"/>
  <c r="H495" i="34"/>
  <c r="I495" i="34"/>
  <c r="J495" i="34"/>
  <c r="K495" i="34"/>
  <c r="L495" i="34"/>
  <c r="M495" i="34"/>
  <c r="N495" i="34"/>
  <c r="O495" i="34"/>
  <c r="A496" i="34"/>
  <c r="B496" i="34"/>
  <c r="C496" i="34"/>
  <c r="D496" i="34"/>
  <c r="E496" i="34"/>
  <c r="F496" i="34"/>
  <c r="G496" i="34"/>
  <c r="H496" i="34"/>
  <c r="I496" i="34"/>
  <c r="J496" i="34"/>
  <c r="K496" i="34"/>
  <c r="L496" i="34"/>
  <c r="M496" i="34"/>
  <c r="N496" i="34"/>
  <c r="O496" i="34"/>
  <c r="A497" i="34"/>
  <c r="B497" i="34"/>
  <c r="C497" i="34"/>
  <c r="D497" i="34"/>
  <c r="E497" i="34"/>
  <c r="F497" i="34"/>
  <c r="G497" i="34"/>
  <c r="H497" i="34"/>
  <c r="I497" i="34"/>
  <c r="J497" i="34"/>
  <c r="K497" i="34"/>
  <c r="L497" i="34"/>
  <c r="M497" i="34"/>
  <c r="N497" i="34"/>
  <c r="O497" i="34"/>
  <c r="A498" i="34"/>
  <c r="B498" i="34"/>
  <c r="C498" i="34"/>
  <c r="D498" i="34"/>
  <c r="E498" i="34"/>
  <c r="F498" i="34"/>
  <c r="G498" i="34"/>
  <c r="H498" i="34"/>
  <c r="I498" i="34"/>
  <c r="J498" i="34"/>
  <c r="K498" i="34"/>
  <c r="L498" i="34"/>
  <c r="M498" i="34"/>
  <c r="N498" i="34"/>
  <c r="O498" i="34"/>
  <c r="A499" i="34"/>
  <c r="B499" i="34"/>
  <c r="C499" i="34"/>
  <c r="D499" i="34"/>
  <c r="E499" i="34"/>
  <c r="F499" i="34"/>
  <c r="G499" i="34"/>
  <c r="H499" i="34"/>
  <c r="I499" i="34"/>
  <c r="J499" i="34"/>
  <c r="K499" i="34"/>
  <c r="L499" i="34"/>
  <c r="M499" i="34"/>
  <c r="N499" i="34"/>
  <c r="O499" i="34"/>
  <c r="A500" i="34"/>
  <c r="B500" i="34"/>
  <c r="C500" i="34"/>
  <c r="D500" i="34"/>
  <c r="E500" i="34"/>
  <c r="F500" i="34"/>
  <c r="G500" i="34"/>
  <c r="H500" i="34"/>
  <c r="I500" i="34"/>
  <c r="J500" i="34"/>
  <c r="K500" i="34"/>
  <c r="L500" i="34"/>
  <c r="M500" i="34"/>
  <c r="N500" i="34"/>
  <c r="O500" i="34"/>
  <c r="A501" i="34"/>
  <c r="B501" i="34"/>
  <c r="C501" i="34"/>
  <c r="D501" i="34"/>
  <c r="E501" i="34"/>
  <c r="F501" i="34"/>
  <c r="G501" i="34"/>
  <c r="H501" i="34"/>
  <c r="I501" i="34"/>
  <c r="J501" i="34"/>
  <c r="K501" i="34"/>
  <c r="L501" i="34"/>
  <c r="M501" i="34"/>
  <c r="N501" i="34"/>
  <c r="O501" i="34"/>
  <c r="A502" i="34"/>
  <c r="B502" i="34"/>
  <c r="C502" i="34"/>
  <c r="D502" i="34"/>
  <c r="E502" i="34"/>
  <c r="F502" i="34"/>
  <c r="G502" i="34"/>
  <c r="H502" i="34"/>
  <c r="I502" i="34"/>
  <c r="J502" i="34"/>
  <c r="K502" i="34"/>
  <c r="L502" i="34"/>
  <c r="M502" i="34"/>
  <c r="N502" i="34"/>
  <c r="O502" i="34"/>
  <c r="A503" i="34"/>
  <c r="B503" i="34"/>
  <c r="C503" i="34"/>
  <c r="D503" i="34"/>
  <c r="E503" i="34"/>
  <c r="F503" i="34"/>
  <c r="G503" i="34"/>
  <c r="H503" i="34"/>
  <c r="I503" i="34"/>
  <c r="J503" i="34"/>
  <c r="K503" i="34"/>
  <c r="L503" i="34"/>
  <c r="M503" i="34"/>
  <c r="N503" i="34"/>
  <c r="O503" i="34"/>
  <c r="A504" i="34"/>
  <c r="B504" i="34"/>
  <c r="C504" i="34"/>
  <c r="D504" i="34"/>
  <c r="E504" i="34"/>
  <c r="F504" i="34"/>
  <c r="G504" i="34"/>
  <c r="H504" i="34"/>
  <c r="I504" i="34"/>
  <c r="J504" i="34"/>
  <c r="K504" i="34"/>
  <c r="L504" i="34"/>
  <c r="M504" i="34"/>
  <c r="N504" i="34"/>
  <c r="O504" i="34"/>
  <c r="A505" i="34"/>
  <c r="B505" i="34"/>
  <c r="C505" i="34"/>
  <c r="D505" i="34"/>
  <c r="E505" i="34"/>
  <c r="F505" i="34"/>
  <c r="G505" i="34"/>
  <c r="H505" i="34"/>
  <c r="I505" i="34"/>
  <c r="J505" i="34"/>
  <c r="K505" i="34"/>
  <c r="L505" i="34"/>
  <c r="M505" i="34"/>
  <c r="N505" i="34"/>
  <c r="O505" i="34"/>
  <c r="A506" i="34"/>
  <c r="B506" i="34"/>
  <c r="C506" i="34"/>
  <c r="D506" i="34"/>
  <c r="E506" i="34"/>
  <c r="F506" i="34"/>
  <c r="G506" i="34"/>
  <c r="H506" i="34"/>
  <c r="I506" i="34"/>
  <c r="J506" i="34"/>
  <c r="K506" i="34"/>
  <c r="L506" i="34"/>
  <c r="M506" i="34"/>
  <c r="N506" i="34"/>
  <c r="O506" i="34"/>
  <c r="A507" i="34"/>
  <c r="B507" i="34"/>
  <c r="C507" i="34"/>
  <c r="D507" i="34"/>
  <c r="E507" i="34"/>
  <c r="F507" i="34"/>
  <c r="G507" i="34"/>
  <c r="H507" i="34"/>
  <c r="I507" i="34"/>
  <c r="J507" i="34"/>
  <c r="K507" i="34"/>
  <c r="L507" i="34"/>
  <c r="M507" i="34"/>
  <c r="N507" i="34"/>
  <c r="O507" i="34"/>
  <c r="A508" i="34"/>
  <c r="B508" i="34"/>
  <c r="C508" i="34"/>
  <c r="D508" i="34"/>
  <c r="E508" i="34"/>
  <c r="F508" i="34"/>
  <c r="G508" i="34"/>
  <c r="H508" i="34"/>
  <c r="I508" i="34"/>
  <c r="J508" i="34"/>
  <c r="K508" i="34"/>
  <c r="L508" i="34"/>
  <c r="M508" i="34"/>
  <c r="N508" i="34"/>
  <c r="O508" i="34"/>
  <c r="A509" i="34"/>
  <c r="B509" i="34"/>
  <c r="C509" i="34"/>
  <c r="D509" i="34"/>
  <c r="E509" i="34"/>
  <c r="F509" i="34"/>
  <c r="G509" i="34"/>
  <c r="H509" i="34"/>
  <c r="I509" i="34"/>
  <c r="J509" i="34"/>
  <c r="K509" i="34"/>
  <c r="L509" i="34"/>
  <c r="M509" i="34"/>
  <c r="N509" i="34"/>
  <c r="O509" i="34"/>
  <c r="A510" i="34"/>
  <c r="B510" i="34"/>
  <c r="C510" i="34"/>
  <c r="D510" i="34"/>
  <c r="E510" i="34"/>
  <c r="F510" i="34"/>
  <c r="G510" i="34"/>
  <c r="H510" i="34"/>
  <c r="I510" i="34"/>
  <c r="J510" i="34"/>
  <c r="K510" i="34"/>
  <c r="L510" i="34"/>
  <c r="M510" i="34"/>
  <c r="N510" i="34"/>
  <c r="O510" i="34"/>
  <c r="A511" i="34"/>
  <c r="B511" i="34"/>
  <c r="C511" i="34"/>
  <c r="D511" i="34"/>
  <c r="E511" i="34"/>
  <c r="F511" i="34"/>
  <c r="G511" i="34"/>
  <c r="H511" i="34"/>
  <c r="I511" i="34"/>
  <c r="J511" i="34"/>
  <c r="K511" i="34"/>
  <c r="L511" i="34"/>
  <c r="M511" i="34"/>
  <c r="N511" i="34"/>
  <c r="O511" i="34"/>
  <c r="A512" i="34"/>
  <c r="B512" i="34"/>
  <c r="C512" i="34"/>
  <c r="D512" i="34"/>
  <c r="E512" i="34"/>
  <c r="F512" i="34"/>
  <c r="G512" i="34"/>
  <c r="H512" i="34"/>
  <c r="I512" i="34"/>
  <c r="J512" i="34"/>
  <c r="K512" i="34"/>
  <c r="L512" i="34"/>
  <c r="M512" i="34"/>
  <c r="N512" i="34"/>
  <c r="O512" i="34"/>
  <c r="A513" i="34"/>
  <c r="B513" i="34"/>
  <c r="C513" i="34"/>
  <c r="D513" i="34"/>
  <c r="E513" i="34"/>
  <c r="F513" i="34"/>
  <c r="G513" i="34"/>
  <c r="H513" i="34"/>
  <c r="I513" i="34"/>
  <c r="J513" i="34"/>
  <c r="K513" i="34"/>
  <c r="L513" i="34"/>
  <c r="M513" i="34"/>
  <c r="N513" i="34"/>
  <c r="O513" i="34"/>
  <c r="A514" i="34"/>
  <c r="B514" i="34"/>
  <c r="C514" i="34"/>
  <c r="D514" i="34"/>
  <c r="E514" i="34"/>
  <c r="F514" i="34"/>
  <c r="G514" i="34"/>
  <c r="H514" i="34"/>
  <c r="I514" i="34"/>
  <c r="J514" i="34"/>
  <c r="K514" i="34"/>
  <c r="L514" i="34"/>
  <c r="M514" i="34"/>
  <c r="N514" i="34"/>
  <c r="O514" i="34"/>
  <c r="A515" i="34"/>
  <c r="B515" i="34"/>
  <c r="C515" i="34"/>
  <c r="D515" i="34"/>
  <c r="E515" i="34"/>
  <c r="F515" i="34"/>
  <c r="G515" i="34"/>
  <c r="H515" i="34"/>
  <c r="I515" i="34"/>
  <c r="J515" i="34"/>
  <c r="K515" i="34"/>
  <c r="L515" i="34"/>
  <c r="M515" i="34"/>
  <c r="N515" i="34"/>
  <c r="O515" i="34"/>
  <c r="A516" i="34"/>
  <c r="B516" i="34"/>
  <c r="C516" i="34"/>
  <c r="D516" i="34"/>
  <c r="E516" i="34"/>
  <c r="F516" i="34"/>
  <c r="G516" i="34"/>
  <c r="H516" i="34"/>
  <c r="I516" i="34"/>
  <c r="J516" i="34"/>
  <c r="K516" i="34"/>
  <c r="L516" i="34"/>
  <c r="M516" i="34"/>
  <c r="N516" i="34"/>
  <c r="O516" i="34"/>
  <c r="A517" i="34"/>
  <c r="B517" i="34"/>
  <c r="C517" i="34"/>
  <c r="D517" i="34"/>
  <c r="E517" i="34"/>
  <c r="F517" i="34"/>
  <c r="G517" i="34"/>
  <c r="H517" i="34"/>
  <c r="I517" i="34"/>
  <c r="J517" i="34"/>
  <c r="K517" i="34"/>
  <c r="L517" i="34"/>
  <c r="M517" i="34"/>
  <c r="N517" i="34"/>
  <c r="O517" i="34"/>
  <c r="A518" i="34"/>
  <c r="B518" i="34"/>
  <c r="C518" i="34"/>
  <c r="D518" i="34"/>
  <c r="E518" i="34"/>
  <c r="F518" i="34"/>
  <c r="G518" i="34"/>
  <c r="H518" i="34"/>
  <c r="I518" i="34"/>
  <c r="J518" i="34"/>
  <c r="K518" i="34"/>
  <c r="L518" i="34"/>
  <c r="M518" i="34"/>
  <c r="N518" i="34"/>
  <c r="O518" i="34"/>
  <c r="A519" i="34"/>
  <c r="B519" i="34"/>
  <c r="C519" i="34"/>
  <c r="D519" i="34"/>
  <c r="E519" i="34"/>
  <c r="F519" i="34"/>
  <c r="G519" i="34"/>
  <c r="H519" i="34"/>
  <c r="I519" i="34"/>
  <c r="J519" i="34"/>
  <c r="K519" i="34"/>
  <c r="L519" i="34"/>
  <c r="M519" i="34"/>
  <c r="N519" i="34"/>
  <c r="O519" i="34"/>
  <c r="A520" i="34"/>
  <c r="B520" i="34"/>
  <c r="C520" i="34"/>
  <c r="D520" i="34"/>
  <c r="E520" i="34"/>
  <c r="F520" i="34"/>
  <c r="G520" i="34"/>
  <c r="H520" i="34"/>
  <c r="I520" i="34"/>
  <c r="J520" i="34"/>
  <c r="K520" i="34"/>
  <c r="L520" i="34"/>
  <c r="M520" i="34"/>
  <c r="N520" i="34"/>
  <c r="O520" i="34"/>
  <c r="A521" i="34"/>
  <c r="B521" i="34"/>
  <c r="C521" i="34"/>
  <c r="D521" i="34"/>
  <c r="E521" i="34"/>
  <c r="F521" i="34"/>
  <c r="G521" i="34"/>
  <c r="H521" i="34"/>
  <c r="I521" i="34"/>
  <c r="J521" i="34"/>
  <c r="K521" i="34"/>
  <c r="L521" i="34"/>
  <c r="M521" i="34"/>
  <c r="N521" i="34"/>
  <c r="O521" i="34"/>
  <c r="A522" i="34"/>
  <c r="B522" i="34"/>
  <c r="C522" i="34"/>
  <c r="D522" i="34"/>
  <c r="E522" i="34"/>
  <c r="F522" i="34"/>
  <c r="G522" i="34"/>
  <c r="H522" i="34"/>
  <c r="I522" i="34"/>
  <c r="J522" i="34"/>
  <c r="K522" i="34"/>
  <c r="L522" i="34"/>
  <c r="M522" i="34"/>
  <c r="N522" i="34"/>
  <c r="O522" i="34"/>
  <c r="A523" i="34"/>
  <c r="B523" i="34"/>
  <c r="C523" i="34"/>
  <c r="D523" i="34"/>
  <c r="E523" i="34"/>
  <c r="F523" i="34"/>
  <c r="G523" i="34"/>
  <c r="H523" i="34"/>
  <c r="I523" i="34"/>
  <c r="J523" i="34"/>
  <c r="K523" i="34"/>
  <c r="L523" i="34"/>
  <c r="M523" i="34"/>
  <c r="N523" i="34"/>
  <c r="O523" i="34"/>
  <c r="A524" i="34"/>
  <c r="B524" i="34"/>
  <c r="C524" i="34"/>
  <c r="D524" i="34"/>
  <c r="E524" i="34"/>
  <c r="F524" i="34"/>
  <c r="G524" i="34"/>
  <c r="H524" i="34"/>
  <c r="I524" i="34"/>
  <c r="J524" i="34"/>
  <c r="K524" i="34"/>
  <c r="L524" i="34"/>
  <c r="M524" i="34"/>
  <c r="N524" i="34"/>
  <c r="O524" i="34"/>
  <c r="A525" i="34"/>
  <c r="B525" i="34"/>
  <c r="C525" i="34"/>
  <c r="D525" i="34"/>
  <c r="E525" i="34"/>
  <c r="F525" i="34"/>
  <c r="G525" i="34"/>
  <c r="H525" i="34"/>
  <c r="I525" i="34"/>
  <c r="J525" i="34"/>
  <c r="K525" i="34"/>
  <c r="L525" i="34"/>
  <c r="M525" i="34"/>
  <c r="N525" i="34"/>
  <c r="O525" i="34"/>
  <c r="A526" i="34"/>
  <c r="B526" i="34"/>
  <c r="C526" i="34"/>
  <c r="D526" i="34"/>
  <c r="E526" i="34"/>
  <c r="F526" i="34"/>
  <c r="G526" i="34"/>
  <c r="H526" i="34"/>
  <c r="I526" i="34"/>
  <c r="J526" i="34"/>
  <c r="K526" i="34"/>
  <c r="L526" i="34"/>
  <c r="M526" i="34"/>
  <c r="N526" i="34"/>
  <c r="O526" i="34"/>
  <c r="A527" i="34"/>
  <c r="B527" i="34"/>
  <c r="C527" i="34"/>
  <c r="D527" i="34"/>
  <c r="E527" i="34"/>
  <c r="F527" i="34"/>
  <c r="G527" i="34"/>
  <c r="H527" i="34"/>
  <c r="I527" i="34"/>
  <c r="J527" i="34"/>
  <c r="K527" i="34"/>
  <c r="L527" i="34"/>
  <c r="M527" i="34"/>
  <c r="N527" i="34"/>
  <c r="O527" i="34"/>
  <c r="A528" i="34"/>
  <c r="B528" i="34"/>
  <c r="C528" i="34"/>
  <c r="D528" i="34"/>
  <c r="E528" i="34"/>
  <c r="F528" i="34"/>
  <c r="G528" i="34"/>
  <c r="H528" i="34"/>
  <c r="I528" i="34"/>
  <c r="J528" i="34"/>
  <c r="K528" i="34"/>
  <c r="L528" i="34"/>
  <c r="M528" i="34"/>
  <c r="N528" i="34"/>
  <c r="O528" i="34"/>
  <c r="A529" i="34"/>
  <c r="B529" i="34"/>
  <c r="C529" i="34"/>
  <c r="D529" i="34"/>
  <c r="E529" i="34"/>
  <c r="F529" i="34"/>
  <c r="G529" i="34"/>
  <c r="H529" i="34"/>
  <c r="I529" i="34"/>
  <c r="J529" i="34"/>
  <c r="K529" i="34"/>
  <c r="L529" i="34"/>
  <c r="M529" i="34"/>
  <c r="N529" i="34"/>
  <c r="O529" i="34"/>
  <c r="A530" i="34"/>
  <c r="B530" i="34"/>
  <c r="C530" i="34"/>
  <c r="D530" i="34"/>
  <c r="E530" i="34"/>
  <c r="F530" i="34"/>
  <c r="G530" i="34"/>
  <c r="H530" i="34"/>
  <c r="I530" i="34"/>
  <c r="J530" i="34"/>
  <c r="K530" i="34"/>
  <c r="L530" i="34"/>
  <c r="M530" i="34"/>
  <c r="N530" i="34"/>
  <c r="O530" i="34"/>
  <c r="A531" i="34"/>
  <c r="B531" i="34"/>
  <c r="C531" i="34"/>
  <c r="D531" i="34"/>
  <c r="E531" i="34"/>
  <c r="F531" i="34"/>
  <c r="G531" i="34"/>
  <c r="H531" i="34"/>
  <c r="I531" i="34"/>
  <c r="J531" i="34"/>
  <c r="K531" i="34"/>
  <c r="L531" i="34"/>
  <c r="M531" i="34"/>
  <c r="N531" i="34"/>
  <c r="O531" i="34"/>
  <c r="A532" i="34"/>
  <c r="B532" i="34"/>
  <c r="C532" i="34"/>
  <c r="D532" i="34"/>
  <c r="E532" i="34"/>
  <c r="F532" i="34"/>
  <c r="G532" i="34"/>
  <c r="H532" i="34"/>
  <c r="I532" i="34"/>
  <c r="J532" i="34"/>
  <c r="K532" i="34"/>
  <c r="L532" i="34"/>
  <c r="M532" i="34"/>
  <c r="N532" i="34"/>
  <c r="O532" i="34"/>
  <c r="A533" i="34"/>
  <c r="B533" i="34"/>
  <c r="C533" i="34"/>
  <c r="D533" i="34"/>
  <c r="E533" i="34"/>
  <c r="F533" i="34"/>
  <c r="G533" i="34"/>
  <c r="H533" i="34"/>
  <c r="I533" i="34"/>
  <c r="J533" i="34"/>
  <c r="K533" i="34"/>
  <c r="L533" i="34"/>
  <c r="M533" i="34"/>
  <c r="N533" i="34"/>
  <c r="O533" i="34"/>
  <c r="A534" i="34"/>
  <c r="B534" i="34"/>
  <c r="C534" i="34"/>
  <c r="D534" i="34"/>
  <c r="E534" i="34"/>
  <c r="F534" i="34"/>
  <c r="G534" i="34"/>
  <c r="H534" i="34"/>
  <c r="I534" i="34"/>
  <c r="J534" i="34"/>
  <c r="K534" i="34"/>
  <c r="L534" i="34"/>
  <c r="M534" i="34"/>
  <c r="N534" i="34"/>
  <c r="O534" i="34"/>
  <c r="A535" i="34"/>
  <c r="B535" i="34"/>
  <c r="C535" i="34"/>
  <c r="D535" i="34"/>
  <c r="E535" i="34"/>
  <c r="F535" i="34"/>
  <c r="G535" i="34"/>
  <c r="H535" i="34"/>
  <c r="I535" i="34"/>
  <c r="J535" i="34"/>
  <c r="K535" i="34"/>
  <c r="L535" i="34"/>
  <c r="M535" i="34"/>
  <c r="N535" i="34"/>
  <c r="O535" i="34"/>
  <c r="A536" i="34"/>
  <c r="B536" i="34"/>
  <c r="C536" i="34"/>
  <c r="D536" i="34"/>
  <c r="E536" i="34"/>
  <c r="F536" i="34"/>
  <c r="G536" i="34"/>
  <c r="H536" i="34"/>
  <c r="I536" i="34"/>
  <c r="J536" i="34"/>
  <c r="K536" i="34"/>
  <c r="L536" i="34"/>
  <c r="M536" i="34"/>
  <c r="N536" i="34"/>
  <c r="O536" i="34"/>
  <c r="A537" i="34"/>
  <c r="B537" i="34"/>
  <c r="C537" i="34"/>
  <c r="D537" i="34"/>
  <c r="E537" i="34"/>
  <c r="F537" i="34"/>
  <c r="G537" i="34"/>
  <c r="H537" i="34"/>
  <c r="I537" i="34"/>
  <c r="J537" i="34"/>
  <c r="K537" i="34"/>
  <c r="L537" i="34"/>
  <c r="M537" i="34"/>
  <c r="N537" i="34"/>
  <c r="O537" i="34"/>
  <c r="A538" i="34"/>
  <c r="B538" i="34"/>
  <c r="C538" i="34"/>
  <c r="D538" i="34"/>
  <c r="E538" i="34"/>
  <c r="F538" i="34"/>
  <c r="G538" i="34"/>
  <c r="H538" i="34"/>
  <c r="I538" i="34"/>
  <c r="J538" i="34"/>
  <c r="K538" i="34"/>
  <c r="L538" i="34"/>
  <c r="M538" i="34"/>
  <c r="N538" i="34"/>
  <c r="O538" i="34"/>
  <c r="A539" i="34"/>
  <c r="B539" i="34"/>
  <c r="C539" i="34"/>
  <c r="D539" i="34"/>
  <c r="E539" i="34"/>
  <c r="F539" i="34"/>
  <c r="G539" i="34"/>
  <c r="H539" i="34"/>
  <c r="I539" i="34"/>
  <c r="J539" i="34"/>
  <c r="K539" i="34"/>
  <c r="L539" i="34"/>
  <c r="M539" i="34"/>
  <c r="N539" i="34"/>
  <c r="O539" i="34"/>
  <c r="A540" i="34"/>
  <c r="B540" i="34"/>
  <c r="C540" i="34"/>
  <c r="D540" i="34"/>
  <c r="E540" i="34"/>
  <c r="F540" i="34"/>
  <c r="G540" i="34"/>
  <c r="H540" i="34"/>
  <c r="I540" i="34"/>
  <c r="J540" i="34"/>
  <c r="K540" i="34"/>
  <c r="L540" i="34"/>
  <c r="M540" i="34"/>
  <c r="N540" i="34"/>
  <c r="O540" i="34"/>
  <c r="A541" i="34"/>
  <c r="B541" i="34"/>
  <c r="C541" i="34"/>
  <c r="D541" i="34"/>
  <c r="E541" i="34"/>
  <c r="F541" i="34"/>
  <c r="G541" i="34"/>
  <c r="H541" i="34"/>
  <c r="I541" i="34"/>
  <c r="J541" i="34"/>
  <c r="K541" i="34"/>
  <c r="L541" i="34"/>
  <c r="M541" i="34"/>
  <c r="N541" i="34"/>
  <c r="O541" i="34"/>
  <c r="A542" i="34"/>
  <c r="B542" i="34"/>
  <c r="C542" i="34"/>
  <c r="D542" i="34"/>
  <c r="E542" i="34"/>
  <c r="F542" i="34"/>
  <c r="G542" i="34"/>
  <c r="H542" i="34"/>
  <c r="I542" i="34"/>
  <c r="J542" i="34"/>
  <c r="K542" i="34"/>
  <c r="L542" i="34"/>
  <c r="M542" i="34"/>
  <c r="N542" i="34"/>
  <c r="O542" i="34"/>
  <c r="A543" i="34"/>
  <c r="B543" i="34"/>
  <c r="C543" i="34"/>
  <c r="D543" i="34"/>
  <c r="E543" i="34"/>
  <c r="F543" i="34"/>
  <c r="G543" i="34"/>
  <c r="H543" i="34"/>
  <c r="I543" i="34"/>
  <c r="J543" i="34"/>
  <c r="K543" i="34"/>
  <c r="L543" i="34"/>
  <c r="M543" i="34"/>
  <c r="N543" i="34"/>
  <c r="O543" i="34"/>
  <c r="A544" i="34"/>
  <c r="B544" i="34"/>
  <c r="C544" i="34"/>
  <c r="D544" i="34"/>
  <c r="E544" i="34"/>
  <c r="F544" i="34"/>
  <c r="G544" i="34"/>
  <c r="H544" i="34"/>
  <c r="I544" i="34"/>
  <c r="J544" i="34"/>
  <c r="K544" i="34"/>
  <c r="L544" i="34"/>
  <c r="M544" i="34"/>
  <c r="N544" i="34"/>
  <c r="O544" i="34"/>
  <c r="A545" i="34"/>
  <c r="B545" i="34"/>
  <c r="C545" i="34"/>
  <c r="D545" i="34"/>
  <c r="E545" i="34"/>
  <c r="F545" i="34"/>
  <c r="G545" i="34"/>
  <c r="H545" i="34"/>
  <c r="I545" i="34"/>
  <c r="J545" i="34"/>
  <c r="K545" i="34"/>
  <c r="L545" i="34"/>
  <c r="M545" i="34"/>
  <c r="N545" i="34"/>
  <c r="O545" i="34"/>
  <c r="A546" i="34"/>
  <c r="B546" i="34"/>
  <c r="C546" i="34"/>
  <c r="D546" i="34"/>
  <c r="E546" i="34"/>
  <c r="F546" i="34"/>
  <c r="G546" i="34"/>
  <c r="H546" i="34"/>
  <c r="I546" i="34"/>
  <c r="J546" i="34"/>
  <c r="K546" i="34"/>
  <c r="L546" i="34"/>
  <c r="M546" i="34"/>
  <c r="N546" i="34"/>
  <c r="O546" i="34"/>
  <c r="A547" i="34"/>
  <c r="B547" i="34"/>
  <c r="C547" i="34"/>
  <c r="D547" i="34"/>
  <c r="E547" i="34"/>
  <c r="F547" i="34"/>
  <c r="G547" i="34"/>
  <c r="H547" i="34"/>
  <c r="I547" i="34"/>
  <c r="J547" i="34"/>
  <c r="K547" i="34"/>
  <c r="L547" i="34"/>
  <c r="M547" i="34"/>
  <c r="N547" i="34"/>
  <c r="O547" i="34"/>
  <c r="A548" i="34"/>
  <c r="B548" i="34"/>
  <c r="C548" i="34"/>
  <c r="D548" i="34"/>
  <c r="E548" i="34"/>
  <c r="F548" i="34"/>
  <c r="G548" i="34"/>
  <c r="H548" i="34"/>
  <c r="I548" i="34"/>
  <c r="J548" i="34"/>
  <c r="K548" i="34"/>
  <c r="L548" i="34"/>
  <c r="M548" i="34"/>
  <c r="N548" i="34"/>
  <c r="O548" i="34"/>
  <c r="A549" i="34"/>
  <c r="B549" i="34"/>
  <c r="C549" i="34"/>
  <c r="D549" i="34"/>
  <c r="E549" i="34"/>
  <c r="F549" i="34"/>
  <c r="G549" i="34"/>
  <c r="H549" i="34"/>
  <c r="I549" i="34"/>
  <c r="J549" i="34"/>
  <c r="K549" i="34"/>
  <c r="L549" i="34"/>
  <c r="M549" i="34"/>
  <c r="N549" i="34"/>
  <c r="O549" i="34"/>
  <c r="A550" i="34"/>
  <c r="B550" i="34"/>
  <c r="C550" i="34"/>
  <c r="D550" i="34"/>
  <c r="E550" i="34"/>
  <c r="F550" i="34"/>
  <c r="G550" i="34"/>
  <c r="H550" i="34"/>
  <c r="I550" i="34"/>
  <c r="J550" i="34"/>
  <c r="K550" i="34"/>
  <c r="L550" i="34"/>
  <c r="M550" i="34"/>
  <c r="N550" i="34"/>
  <c r="O550" i="34"/>
  <c r="A551" i="34"/>
  <c r="B551" i="34"/>
  <c r="C551" i="34"/>
  <c r="D551" i="34"/>
  <c r="E551" i="34"/>
  <c r="F551" i="34"/>
  <c r="G551" i="34"/>
  <c r="H551" i="34"/>
  <c r="I551" i="34"/>
  <c r="J551" i="34"/>
  <c r="K551" i="34"/>
  <c r="L551" i="34"/>
  <c r="M551" i="34"/>
  <c r="N551" i="34"/>
  <c r="O551" i="34"/>
  <c r="A552" i="34"/>
  <c r="B552" i="34"/>
  <c r="C552" i="34"/>
  <c r="D552" i="34"/>
  <c r="E552" i="34"/>
  <c r="F552" i="34"/>
  <c r="G552" i="34"/>
  <c r="H552" i="34"/>
  <c r="I552" i="34"/>
  <c r="J552" i="34"/>
  <c r="K552" i="34"/>
  <c r="L552" i="34"/>
  <c r="M552" i="34"/>
  <c r="N552" i="34"/>
  <c r="O552" i="34"/>
  <c r="A553" i="34"/>
  <c r="B553" i="34"/>
  <c r="C553" i="34"/>
  <c r="D553" i="34"/>
  <c r="E553" i="34"/>
  <c r="F553" i="34"/>
  <c r="G553" i="34"/>
  <c r="H553" i="34"/>
  <c r="I553" i="34"/>
  <c r="J553" i="34"/>
  <c r="K553" i="34"/>
  <c r="L553" i="34"/>
  <c r="M553" i="34"/>
  <c r="N553" i="34"/>
  <c r="O553" i="34"/>
  <c r="A554" i="34"/>
  <c r="B554" i="34"/>
  <c r="C554" i="34"/>
  <c r="D554" i="34"/>
  <c r="E554" i="34"/>
  <c r="F554" i="34"/>
  <c r="G554" i="34"/>
  <c r="H554" i="34"/>
  <c r="I554" i="34"/>
  <c r="J554" i="34"/>
  <c r="K554" i="34"/>
  <c r="L554" i="34"/>
  <c r="M554" i="34"/>
  <c r="N554" i="34"/>
  <c r="O554" i="34"/>
  <c r="A555" i="34"/>
  <c r="B555" i="34"/>
  <c r="C555" i="34"/>
  <c r="D555" i="34"/>
  <c r="E555" i="34"/>
  <c r="F555" i="34"/>
  <c r="G555" i="34"/>
  <c r="H555" i="34"/>
  <c r="I555" i="34"/>
  <c r="J555" i="34"/>
  <c r="K555" i="34"/>
  <c r="L555" i="34"/>
  <c r="M555" i="34"/>
  <c r="N555" i="34"/>
  <c r="O555" i="34"/>
  <c r="A556" i="34"/>
  <c r="B556" i="34"/>
  <c r="C556" i="34"/>
  <c r="D556" i="34"/>
  <c r="E556" i="34"/>
  <c r="F556" i="34"/>
  <c r="G556" i="34"/>
  <c r="H556" i="34"/>
  <c r="I556" i="34"/>
  <c r="J556" i="34"/>
  <c r="K556" i="34"/>
  <c r="L556" i="34"/>
  <c r="M556" i="34"/>
  <c r="N556" i="34"/>
  <c r="O556" i="34"/>
  <c r="A557" i="34"/>
  <c r="B557" i="34"/>
  <c r="C557" i="34"/>
  <c r="D557" i="34"/>
  <c r="E557" i="34"/>
  <c r="F557" i="34"/>
  <c r="G557" i="34"/>
  <c r="H557" i="34"/>
  <c r="I557" i="34"/>
  <c r="J557" i="34"/>
  <c r="K557" i="34"/>
  <c r="L557" i="34"/>
  <c r="M557" i="34"/>
  <c r="N557" i="34"/>
  <c r="O557" i="34"/>
  <c r="A558" i="34"/>
  <c r="B558" i="34"/>
  <c r="C558" i="34"/>
  <c r="D558" i="34"/>
  <c r="E558" i="34"/>
  <c r="F558" i="34"/>
  <c r="G558" i="34"/>
  <c r="H558" i="34"/>
  <c r="I558" i="34"/>
  <c r="J558" i="34"/>
  <c r="K558" i="34"/>
  <c r="L558" i="34"/>
  <c r="M558" i="34"/>
  <c r="N558" i="34"/>
  <c r="O558" i="34"/>
  <c r="A559" i="34"/>
  <c r="B559" i="34"/>
  <c r="C559" i="34"/>
  <c r="D559" i="34"/>
  <c r="E559" i="34"/>
  <c r="F559" i="34"/>
  <c r="G559" i="34"/>
  <c r="H559" i="34"/>
  <c r="I559" i="34"/>
  <c r="J559" i="34"/>
  <c r="K559" i="34"/>
  <c r="L559" i="34"/>
  <c r="M559" i="34"/>
  <c r="N559" i="34"/>
  <c r="O559" i="34"/>
  <c r="A560" i="34"/>
  <c r="B560" i="34"/>
  <c r="C560" i="34"/>
  <c r="D560" i="34"/>
  <c r="E560" i="34"/>
  <c r="F560" i="34"/>
  <c r="G560" i="34"/>
  <c r="H560" i="34"/>
  <c r="I560" i="34"/>
  <c r="J560" i="34"/>
  <c r="K560" i="34"/>
  <c r="L560" i="34"/>
  <c r="M560" i="34"/>
  <c r="N560" i="34"/>
  <c r="O560" i="34"/>
  <c r="A561" i="34"/>
  <c r="B561" i="34"/>
  <c r="C561" i="34"/>
  <c r="D561" i="34"/>
  <c r="E561" i="34"/>
  <c r="F561" i="34"/>
  <c r="G561" i="34"/>
  <c r="H561" i="34"/>
  <c r="I561" i="34"/>
  <c r="J561" i="34"/>
  <c r="K561" i="34"/>
  <c r="L561" i="34"/>
  <c r="M561" i="34"/>
  <c r="N561" i="34"/>
  <c r="O561" i="34"/>
  <c r="A562" i="34"/>
  <c r="B562" i="34"/>
  <c r="C562" i="34"/>
  <c r="D562" i="34"/>
  <c r="E562" i="34"/>
  <c r="F562" i="34"/>
  <c r="G562" i="34"/>
  <c r="H562" i="34"/>
  <c r="I562" i="34"/>
  <c r="J562" i="34"/>
  <c r="K562" i="34"/>
  <c r="L562" i="34"/>
  <c r="M562" i="34"/>
  <c r="N562" i="34"/>
  <c r="O562" i="34"/>
  <c r="A563" i="34"/>
  <c r="B563" i="34"/>
  <c r="C563" i="34"/>
  <c r="D563" i="34"/>
  <c r="E563" i="34"/>
  <c r="F563" i="34"/>
  <c r="G563" i="34"/>
  <c r="H563" i="34"/>
  <c r="I563" i="34"/>
  <c r="J563" i="34"/>
  <c r="K563" i="34"/>
  <c r="L563" i="34"/>
  <c r="M563" i="34"/>
  <c r="N563" i="34"/>
  <c r="O563" i="34"/>
  <c r="A564" i="34"/>
  <c r="B564" i="34"/>
  <c r="C564" i="34"/>
  <c r="D564" i="34"/>
  <c r="E564" i="34"/>
  <c r="F564" i="34"/>
  <c r="G564" i="34"/>
  <c r="H564" i="34"/>
  <c r="I564" i="34"/>
  <c r="J564" i="34"/>
  <c r="K564" i="34"/>
  <c r="L564" i="34"/>
  <c r="M564" i="34"/>
  <c r="N564" i="34"/>
  <c r="O564" i="34"/>
  <c r="A565" i="34"/>
  <c r="B565" i="34"/>
  <c r="C565" i="34"/>
  <c r="D565" i="34"/>
  <c r="E565" i="34"/>
  <c r="F565" i="34"/>
  <c r="G565" i="34"/>
  <c r="H565" i="34"/>
  <c r="I565" i="34"/>
  <c r="J565" i="34"/>
  <c r="K565" i="34"/>
  <c r="L565" i="34"/>
  <c r="M565" i="34"/>
  <c r="N565" i="34"/>
  <c r="O565" i="34"/>
  <c r="A566" i="34"/>
  <c r="B566" i="34"/>
  <c r="C566" i="34"/>
  <c r="D566" i="34"/>
  <c r="E566" i="34"/>
  <c r="F566" i="34"/>
  <c r="G566" i="34"/>
  <c r="H566" i="34"/>
  <c r="I566" i="34"/>
  <c r="J566" i="34"/>
  <c r="K566" i="34"/>
  <c r="L566" i="34"/>
  <c r="M566" i="34"/>
  <c r="N566" i="34"/>
  <c r="O566" i="34"/>
  <c r="A567" i="34"/>
  <c r="B567" i="34"/>
  <c r="C567" i="34"/>
  <c r="D567" i="34"/>
  <c r="E567" i="34"/>
  <c r="F567" i="34"/>
  <c r="G567" i="34"/>
  <c r="H567" i="34"/>
  <c r="I567" i="34"/>
  <c r="J567" i="34"/>
  <c r="K567" i="34"/>
  <c r="L567" i="34"/>
  <c r="M567" i="34"/>
  <c r="N567" i="34"/>
  <c r="O567" i="34"/>
  <c r="A568" i="34"/>
  <c r="B568" i="34"/>
  <c r="C568" i="34"/>
  <c r="D568" i="34"/>
  <c r="E568" i="34"/>
  <c r="F568" i="34"/>
  <c r="G568" i="34"/>
  <c r="H568" i="34"/>
  <c r="I568" i="34"/>
  <c r="J568" i="34"/>
  <c r="K568" i="34"/>
  <c r="L568" i="34"/>
  <c r="M568" i="34"/>
  <c r="N568" i="34"/>
  <c r="O568" i="34"/>
  <c r="A569" i="34"/>
  <c r="B569" i="34"/>
  <c r="C569" i="34"/>
  <c r="D569" i="34"/>
  <c r="E569" i="34"/>
  <c r="F569" i="34"/>
  <c r="G569" i="34"/>
  <c r="H569" i="34"/>
  <c r="I569" i="34"/>
  <c r="J569" i="34"/>
  <c r="K569" i="34"/>
  <c r="L569" i="34"/>
  <c r="M569" i="34"/>
  <c r="N569" i="34"/>
  <c r="O569" i="34"/>
  <c r="A570" i="34"/>
  <c r="B570" i="34"/>
  <c r="C570" i="34"/>
  <c r="D570" i="34"/>
  <c r="E570" i="34"/>
  <c r="F570" i="34"/>
  <c r="G570" i="34"/>
  <c r="H570" i="34"/>
  <c r="I570" i="34"/>
  <c r="J570" i="34"/>
  <c r="K570" i="34"/>
  <c r="L570" i="34"/>
  <c r="M570" i="34"/>
  <c r="N570" i="34"/>
  <c r="O570" i="34"/>
  <c r="A571" i="34"/>
  <c r="B571" i="34"/>
  <c r="C571" i="34"/>
  <c r="D571" i="34"/>
  <c r="E571" i="34"/>
  <c r="F571" i="34"/>
  <c r="G571" i="34"/>
  <c r="H571" i="34"/>
  <c r="I571" i="34"/>
  <c r="J571" i="34"/>
  <c r="K571" i="34"/>
  <c r="L571" i="34"/>
  <c r="M571" i="34"/>
  <c r="N571" i="34"/>
  <c r="O571" i="34"/>
  <c r="A572" i="34"/>
  <c r="B572" i="34"/>
  <c r="C572" i="34"/>
  <c r="D572" i="34"/>
  <c r="E572" i="34"/>
  <c r="F572" i="34"/>
  <c r="G572" i="34"/>
  <c r="H572" i="34"/>
  <c r="I572" i="34"/>
  <c r="J572" i="34"/>
  <c r="K572" i="34"/>
  <c r="L572" i="34"/>
  <c r="M572" i="34"/>
  <c r="N572" i="34"/>
  <c r="O572" i="34"/>
  <c r="A573" i="34"/>
  <c r="B573" i="34"/>
  <c r="C573" i="34"/>
  <c r="D573" i="34"/>
  <c r="E573" i="34"/>
  <c r="F573" i="34"/>
  <c r="G573" i="34"/>
  <c r="H573" i="34"/>
  <c r="I573" i="34"/>
  <c r="J573" i="34"/>
  <c r="K573" i="34"/>
  <c r="L573" i="34"/>
  <c r="M573" i="34"/>
  <c r="N573" i="34"/>
  <c r="O573" i="34"/>
  <c r="A574" i="34"/>
  <c r="B574" i="34"/>
  <c r="C574" i="34"/>
  <c r="D574" i="34"/>
  <c r="E574" i="34"/>
  <c r="F574" i="34"/>
  <c r="G574" i="34"/>
  <c r="H574" i="34"/>
  <c r="I574" i="34"/>
  <c r="J574" i="34"/>
  <c r="K574" i="34"/>
  <c r="L574" i="34"/>
  <c r="M574" i="34"/>
  <c r="N574" i="34"/>
  <c r="O574" i="34"/>
  <c r="A575" i="34"/>
  <c r="B575" i="34"/>
  <c r="C575" i="34"/>
  <c r="D575" i="34"/>
  <c r="E575" i="34"/>
  <c r="F575" i="34"/>
  <c r="G575" i="34"/>
  <c r="H575" i="34"/>
  <c r="I575" i="34"/>
  <c r="J575" i="34"/>
  <c r="K575" i="34"/>
  <c r="L575" i="34"/>
  <c r="M575" i="34"/>
  <c r="N575" i="34"/>
  <c r="O575" i="34"/>
  <c r="A576" i="34"/>
  <c r="B576" i="34"/>
  <c r="C576" i="34"/>
  <c r="D576" i="34"/>
  <c r="E576" i="34"/>
  <c r="F576" i="34"/>
  <c r="G576" i="34"/>
  <c r="H576" i="34"/>
  <c r="I576" i="34"/>
  <c r="J576" i="34"/>
  <c r="K576" i="34"/>
  <c r="L576" i="34"/>
  <c r="M576" i="34"/>
  <c r="N576" i="34"/>
  <c r="O576" i="34"/>
  <c r="A577" i="34"/>
  <c r="B577" i="34"/>
  <c r="C577" i="34"/>
  <c r="D577" i="34"/>
  <c r="E577" i="34"/>
  <c r="F577" i="34"/>
  <c r="G577" i="34"/>
  <c r="H577" i="34"/>
  <c r="I577" i="34"/>
  <c r="J577" i="34"/>
  <c r="K577" i="34"/>
  <c r="L577" i="34"/>
  <c r="M577" i="34"/>
  <c r="N577" i="34"/>
  <c r="O577" i="34"/>
  <c r="A578" i="34"/>
  <c r="B578" i="34"/>
  <c r="C578" i="34"/>
  <c r="D578" i="34"/>
  <c r="E578" i="34"/>
  <c r="F578" i="34"/>
  <c r="G578" i="34"/>
  <c r="H578" i="34"/>
  <c r="I578" i="34"/>
  <c r="J578" i="34"/>
  <c r="K578" i="34"/>
  <c r="L578" i="34"/>
  <c r="M578" i="34"/>
  <c r="N578" i="34"/>
  <c r="O578" i="34"/>
  <c r="A579" i="34"/>
  <c r="B579" i="34"/>
  <c r="C579" i="34"/>
  <c r="D579" i="34"/>
  <c r="E579" i="34"/>
  <c r="F579" i="34"/>
  <c r="G579" i="34"/>
  <c r="H579" i="34"/>
  <c r="I579" i="34"/>
  <c r="J579" i="34"/>
  <c r="K579" i="34"/>
  <c r="L579" i="34"/>
  <c r="M579" i="34"/>
  <c r="N579" i="34"/>
  <c r="O579" i="34"/>
  <c r="A580" i="34"/>
  <c r="B580" i="34"/>
  <c r="C580" i="34"/>
  <c r="D580" i="34"/>
  <c r="E580" i="34"/>
  <c r="F580" i="34"/>
  <c r="G580" i="34"/>
  <c r="H580" i="34"/>
  <c r="I580" i="34"/>
  <c r="J580" i="34"/>
  <c r="K580" i="34"/>
  <c r="L580" i="34"/>
  <c r="M580" i="34"/>
  <c r="N580" i="34"/>
  <c r="O580" i="34"/>
  <c r="A581" i="34"/>
  <c r="B581" i="34"/>
  <c r="C581" i="34"/>
  <c r="D581" i="34"/>
  <c r="E581" i="34"/>
  <c r="F581" i="34"/>
  <c r="G581" i="34"/>
  <c r="H581" i="34"/>
  <c r="I581" i="34"/>
  <c r="J581" i="34"/>
  <c r="K581" i="34"/>
  <c r="L581" i="34"/>
  <c r="M581" i="34"/>
  <c r="N581" i="34"/>
  <c r="O581" i="34"/>
  <c r="A582" i="34"/>
  <c r="B582" i="34"/>
  <c r="C582" i="34"/>
  <c r="D582" i="34"/>
  <c r="E582" i="34"/>
  <c r="F582" i="34"/>
  <c r="G582" i="34"/>
  <c r="H582" i="34"/>
  <c r="I582" i="34"/>
  <c r="J582" i="34"/>
  <c r="K582" i="34"/>
  <c r="L582" i="34"/>
  <c r="M582" i="34"/>
  <c r="N582" i="34"/>
  <c r="O582" i="34"/>
  <c r="A583" i="34"/>
  <c r="B583" i="34"/>
  <c r="C583" i="34"/>
  <c r="D583" i="34"/>
  <c r="E583" i="34"/>
  <c r="F583" i="34"/>
  <c r="G583" i="34"/>
  <c r="H583" i="34"/>
  <c r="I583" i="34"/>
  <c r="J583" i="34"/>
  <c r="K583" i="34"/>
  <c r="L583" i="34"/>
  <c r="M583" i="34"/>
  <c r="N583" i="34"/>
  <c r="O583" i="34"/>
  <c r="A584" i="34"/>
  <c r="B584" i="34"/>
  <c r="C584" i="34"/>
  <c r="D584" i="34"/>
  <c r="E584" i="34"/>
  <c r="F584" i="34"/>
  <c r="G584" i="34"/>
  <c r="H584" i="34"/>
  <c r="I584" i="34"/>
  <c r="J584" i="34"/>
  <c r="K584" i="34"/>
  <c r="L584" i="34"/>
  <c r="M584" i="34"/>
  <c r="N584" i="34"/>
  <c r="O584" i="34"/>
  <c r="A585" i="34"/>
  <c r="B585" i="34"/>
  <c r="C585" i="34"/>
  <c r="D585" i="34"/>
  <c r="E585" i="34"/>
  <c r="F585" i="34"/>
  <c r="G585" i="34"/>
  <c r="H585" i="34"/>
  <c r="I585" i="34"/>
  <c r="J585" i="34"/>
  <c r="K585" i="34"/>
  <c r="L585" i="34"/>
  <c r="M585" i="34"/>
  <c r="N585" i="34"/>
  <c r="O585" i="34"/>
  <c r="A586" i="34"/>
  <c r="B586" i="34"/>
  <c r="C586" i="34"/>
  <c r="D586" i="34"/>
  <c r="E586" i="34"/>
  <c r="F586" i="34"/>
  <c r="G586" i="34"/>
  <c r="H586" i="34"/>
  <c r="I586" i="34"/>
  <c r="J586" i="34"/>
  <c r="K586" i="34"/>
  <c r="L586" i="34"/>
  <c r="M586" i="34"/>
  <c r="N586" i="34"/>
  <c r="O586" i="34"/>
  <c r="A587" i="34"/>
  <c r="B587" i="34"/>
  <c r="C587" i="34"/>
  <c r="D587" i="34"/>
  <c r="E587" i="34"/>
  <c r="F587" i="34"/>
  <c r="G587" i="34"/>
  <c r="H587" i="34"/>
  <c r="I587" i="34"/>
  <c r="J587" i="34"/>
  <c r="K587" i="34"/>
  <c r="L587" i="34"/>
  <c r="M587" i="34"/>
  <c r="N587" i="34"/>
  <c r="O587" i="34"/>
  <c r="A588" i="34"/>
  <c r="B588" i="34"/>
  <c r="C588" i="34"/>
  <c r="D588" i="34"/>
  <c r="E588" i="34"/>
  <c r="F588" i="34"/>
  <c r="G588" i="34"/>
  <c r="H588" i="34"/>
  <c r="I588" i="34"/>
  <c r="J588" i="34"/>
  <c r="K588" i="34"/>
  <c r="L588" i="34"/>
  <c r="M588" i="34"/>
  <c r="N588" i="34"/>
  <c r="O588" i="34"/>
  <c r="A589" i="34"/>
  <c r="B589" i="34"/>
  <c r="C589" i="34"/>
  <c r="D589" i="34"/>
  <c r="E589" i="34"/>
  <c r="F589" i="34"/>
  <c r="G589" i="34"/>
  <c r="H589" i="34"/>
  <c r="I589" i="34"/>
  <c r="J589" i="34"/>
  <c r="K589" i="34"/>
  <c r="L589" i="34"/>
  <c r="M589" i="34"/>
  <c r="N589" i="34"/>
  <c r="O589" i="34"/>
  <c r="A590" i="34"/>
  <c r="B590" i="34"/>
  <c r="C590" i="34"/>
  <c r="D590" i="34"/>
  <c r="E590" i="34"/>
  <c r="F590" i="34"/>
  <c r="G590" i="34"/>
  <c r="H590" i="34"/>
  <c r="I590" i="34"/>
  <c r="J590" i="34"/>
  <c r="K590" i="34"/>
  <c r="L590" i="34"/>
  <c r="M590" i="34"/>
  <c r="N590" i="34"/>
  <c r="O590" i="34"/>
  <c r="A591" i="34"/>
  <c r="B591" i="34"/>
  <c r="C591" i="34"/>
  <c r="D591" i="34"/>
  <c r="E591" i="34"/>
  <c r="F591" i="34"/>
  <c r="G591" i="34"/>
  <c r="H591" i="34"/>
  <c r="I591" i="34"/>
  <c r="J591" i="34"/>
  <c r="K591" i="34"/>
  <c r="L591" i="34"/>
  <c r="M591" i="34"/>
  <c r="N591" i="34"/>
  <c r="O591" i="34"/>
  <c r="A592" i="34"/>
  <c r="B592" i="34"/>
  <c r="C592" i="34"/>
  <c r="D592" i="34"/>
  <c r="E592" i="34"/>
  <c r="F592" i="34"/>
  <c r="G592" i="34"/>
  <c r="H592" i="34"/>
  <c r="I592" i="34"/>
  <c r="J592" i="34"/>
  <c r="K592" i="34"/>
  <c r="L592" i="34"/>
  <c r="M592" i="34"/>
  <c r="N592" i="34"/>
  <c r="O592" i="34"/>
  <c r="A593" i="34"/>
  <c r="B593" i="34"/>
  <c r="C593" i="34"/>
  <c r="D593" i="34"/>
  <c r="E593" i="34"/>
  <c r="F593" i="34"/>
  <c r="G593" i="34"/>
  <c r="H593" i="34"/>
  <c r="I593" i="34"/>
  <c r="J593" i="34"/>
  <c r="K593" i="34"/>
  <c r="L593" i="34"/>
  <c r="M593" i="34"/>
  <c r="N593" i="34"/>
  <c r="O593" i="34"/>
  <c r="A594" i="34"/>
  <c r="B594" i="34"/>
  <c r="C594" i="34"/>
  <c r="D594" i="34"/>
  <c r="E594" i="34"/>
  <c r="F594" i="34"/>
  <c r="G594" i="34"/>
  <c r="H594" i="34"/>
  <c r="I594" i="34"/>
  <c r="J594" i="34"/>
  <c r="K594" i="34"/>
  <c r="L594" i="34"/>
  <c r="M594" i="34"/>
  <c r="N594" i="34"/>
  <c r="O594" i="34"/>
  <c r="A595" i="34"/>
  <c r="B595" i="34"/>
  <c r="C595" i="34"/>
  <c r="D595" i="34"/>
  <c r="E595" i="34"/>
  <c r="F595" i="34"/>
  <c r="G595" i="34"/>
  <c r="H595" i="34"/>
  <c r="I595" i="34"/>
  <c r="J595" i="34"/>
  <c r="K595" i="34"/>
  <c r="L595" i="34"/>
  <c r="M595" i="34"/>
  <c r="N595" i="34"/>
  <c r="O595" i="34"/>
  <c r="A596" i="34"/>
  <c r="B596" i="34"/>
  <c r="C596" i="34"/>
  <c r="D596" i="34"/>
  <c r="E596" i="34"/>
  <c r="F596" i="34"/>
  <c r="G596" i="34"/>
  <c r="H596" i="34"/>
  <c r="I596" i="34"/>
  <c r="J596" i="34"/>
  <c r="K596" i="34"/>
  <c r="L596" i="34"/>
  <c r="M596" i="34"/>
  <c r="N596" i="34"/>
  <c r="O596" i="34"/>
  <c r="A597" i="34"/>
  <c r="B597" i="34"/>
  <c r="C597" i="34"/>
  <c r="D597" i="34"/>
  <c r="E597" i="34"/>
  <c r="F597" i="34"/>
  <c r="G597" i="34"/>
  <c r="H597" i="34"/>
  <c r="I597" i="34"/>
  <c r="J597" i="34"/>
  <c r="K597" i="34"/>
  <c r="L597" i="34"/>
  <c r="M597" i="34"/>
  <c r="N597" i="34"/>
  <c r="O597" i="34"/>
  <c r="A598" i="34"/>
  <c r="B598" i="34"/>
  <c r="C598" i="34"/>
  <c r="D598" i="34"/>
  <c r="E598" i="34"/>
  <c r="F598" i="34"/>
  <c r="G598" i="34"/>
  <c r="H598" i="34"/>
  <c r="I598" i="34"/>
  <c r="J598" i="34"/>
  <c r="K598" i="34"/>
  <c r="L598" i="34"/>
  <c r="M598" i="34"/>
  <c r="N598" i="34"/>
  <c r="O598" i="34"/>
  <c r="A599" i="34"/>
  <c r="B599" i="34"/>
  <c r="C599" i="34"/>
  <c r="D599" i="34"/>
  <c r="E599" i="34"/>
  <c r="F599" i="34"/>
  <c r="G599" i="34"/>
  <c r="H599" i="34"/>
  <c r="I599" i="34"/>
  <c r="J599" i="34"/>
  <c r="K599" i="34"/>
  <c r="L599" i="34"/>
  <c r="M599" i="34"/>
  <c r="N599" i="34"/>
  <c r="O599" i="34"/>
  <c r="A600" i="34"/>
  <c r="B600" i="34"/>
  <c r="C600" i="34"/>
  <c r="D600" i="34"/>
  <c r="E600" i="34"/>
  <c r="F600" i="34"/>
  <c r="G600" i="34"/>
  <c r="H600" i="34"/>
  <c r="I600" i="34"/>
  <c r="J600" i="34"/>
  <c r="K600" i="34"/>
  <c r="L600" i="34"/>
  <c r="M600" i="34"/>
  <c r="N600" i="34"/>
  <c r="O600" i="34"/>
  <c r="A601" i="34"/>
  <c r="B601" i="34"/>
  <c r="C601" i="34"/>
  <c r="D601" i="34"/>
  <c r="E601" i="34"/>
  <c r="F601" i="34"/>
  <c r="G601" i="34"/>
  <c r="H601" i="34"/>
  <c r="I601" i="34"/>
  <c r="J601" i="34"/>
  <c r="K601" i="34"/>
  <c r="L601" i="34"/>
  <c r="M601" i="34"/>
  <c r="N601" i="34"/>
  <c r="O601" i="34"/>
  <c r="A602" i="34"/>
  <c r="B602" i="34"/>
  <c r="C602" i="34"/>
  <c r="D602" i="34"/>
  <c r="E602" i="34"/>
  <c r="F602" i="34"/>
  <c r="G602" i="34"/>
  <c r="H602" i="34"/>
  <c r="I602" i="34"/>
  <c r="J602" i="34"/>
  <c r="K602" i="34"/>
  <c r="L602" i="34"/>
  <c r="M602" i="34"/>
  <c r="N602" i="34"/>
  <c r="O602" i="34"/>
  <c r="A603" i="34"/>
  <c r="B603" i="34"/>
  <c r="C603" i="34"/>
  <c r="D603" i="34"/>
  <c r="E603" i="34"/>
  <c r="F603" i="34"/>
  <c r="G603" i="34"/>
  <c r="H603" i="34"/>
  <c r="I603" i="34"/>
  <c r="J603" i="34"/>
  <c r="K603" i="34"/>
  <c r="L603" i="34"/>
  <c r="M603" i="34"/>
  <c r="N603" i="34"/>
  <c r="O603" i="34"/>
  <c r="A604" i="34"/>
  <c r="B604" i="34"/>
  <c r="C604" i="34"/>
  <c r="D604" i="34"/>
  <c r="E604" i="34"/>
  <c r="F604" i="34"/>
  <c r="G604" i="34"/>
  <c r="H604" i="34"/>
  <c r="I604" i="34"/>
  <c r="J604" i="34"/>
  <c r="K604" i="34"/>
  <c r="L604" i="34"/>
  <c r="M604" i="34"/>
  <c r="N604" i="34"/>
  <c r="O604" i="34"/>
  <c r="A605" i="34"/>
  <c r="B605" i="34"/>
  <c r="C605" i="34"/>
  <c r="D605" i="34"/>
  <c r="E605" i="34"/>
  <c r="F605" i="34"/>
  <c r="G605" i="34"/>
  <c r="H605" i="34"/>
  <c r="I605" i="34"/>
  <c r="J605" i="34"/>
  <c r="K605" i="34"/>
  <c r="L605" i="34"/>
  <c r="M605" i="34"/>
  <c r="N605" i="34"/>
  <c r="O605" i="34"/>
  <c r="A606" i="34"/>
  <c r="B606" i="34"/>
  <c r="C606" i="34"/>
  <c r="D606" i="34"/>
  <c r="E606" i="34"/>
  <c r="F606" i="34"/>
  <c r="G606" i="34"/>
  <c r="H606" i="34"/>
  <c r="I606" i="34"/>
  <c r="J606" i="34"/>
  <c r="K606" i="34"/>
  <c r="L606" i="34"/>
  <c r="M606" i="34"/>
  <c r="N606" i="34"/>
  <c r="O606" i="34"/>
  <c r="A607" i="34"/>
  <c r="B607" i="34"/>
  <c r="C607" i="34"/>
  <c r="D607" i="34"/>
  <c r="E607" i="34"/>
  <c r="F607" i="34"/>
  <c r="G607" i="34"/>
  <c r="H607" i="34"/>
  <c r="I607" i="34"/>
  <c r="J607" i="34"/>
  <c r="K607" i="34"/>
  <c r="L607" i="34"/>
  <c r="M607" i="34"/>
  <c r="N607" i="34"/>
  <c r="O607" i="34"/>
  <c r="A608" i="34"/>
  <c r="B608" i="34"/>
  <c r="C608" i="34"/>
  <c r="D608" i="34"/>
  <c r="E608" i="34"/>
  <c r="F608" i="34"/>
  <c r="G608" i="34"/>
  <c r="H608" i="34"/>
  <c r="I608" i="34"/>
  <c r="J608" i="34"/>
  <c r="K608" i="34"/>
  <c r="L608" i="34"/>
  <c r="M608" i="34"/>
  <c r="N608" i="34"/>
  <c r="O608" i="34"/>
  <c r="A609" i="34"/>
  <c r="B609" i="34"/>
  <c r="C609" i="34"/>
  <c r="D609" i="34"/>
  <c r="E609" i="34"/>
  <c r="F609" i="34"/>
  <c r="G609" i="34"/>
  <c r="H609" i="34"/>
  <c r="I609" i="34"/>
  <c r="J609" i="34"/>
  <c r="K609" i="34"/>
  <c r="L609" i="34"/>
  <c r="M609" i="34"/>
  <c r="N609" i="34"/>
  <c r="O609" i="34"/>
  <c r="A610" i="34"/>
  <c r="B610" i="34"/>
  <c r="C610" i="34"/>
  <c r="D610" i="34"/>
  <c r="E610" i="34"/>
  <c r="F610" i="34"/>
  <c r="G610" i="34"/>
  <c r="H610" i="34"/>
  <c r="I610" i="34"/>
  <c r="J610" i="34"/>
  <c r="K610" i="34"/>
  <c r="L610" i="34"/>
  <c r="M610" i="34"/>
  <c r="N610" i="34"/>
  <c r="O610" i="34"/>
  <c r="A611" i="34"/>
  <c r="B611" i="34"/>
  <c r="C611" i="34"/>
  <c r="D611" i="34"/>
  <c r="E611" i="34"/>
  <c r="F611" i="34"/>
  <c r="G611" i="34"/>
  <c r="H611" i="34"/>
  <c r="I611" i="34"/>
  <c r="J611" i="34"/>
  <c r="K611" i="34"/>
  <c r="L611" i="34"/>
  <c r="M611" i="34"/>
  <c r="N611" i="34"/>
  <c r="O611" i="34"/>
  <c r="A612" i="34"/>
  <c r="B612" i="34"/>
  <c r="C612" i="34"/>
  <c r="D612" i="34"/>
  <c r="E612" i="34"/>
  <c r="F612" i="34"/>
  <c r="G612" i="34"/>
  <c r="H612" i="34"/>
  <c r="I612" i="34"/>
  <c r="J612" i="34"/>
  <c r="K612" i="34"/>
  <c r="L612" i="34"/>
  <c r="M612" i="34"/>
  <c r="N612" i="34"/>
  <c r="O612" i="34"/>
  <c r="A613" i="34"/>
  <c r="B613" i="34"/>
  <c r="C613" i="34"/>
  <c r="D613" i="34"/>
  <c r="E613" i="34"/>
  <c r="F613" i="34"/>
  <c r="G613" i="34"/>
  <c r="H613" i="34"/>
  <c r="I613" i="34"/>
  <c r="J613" i="34"/>
  <c r="K613" i="34"/>
  <c r="L613" i="34"/>
  <c r="M613" i="34"/>
  <c r="N613" i="34"/>
  <c r="O613" i="34"/>
  <c r="A614" i="34"/>
  <c r="B614" i="34"/>
  <c r="C614" i="34"/>
  <c r="D614" i="34"/>
  <c r="E614" i="34"/>
  <c r="F614" i="34"/>
  <c r="G614" i="34"/>
  <c r="H614" i="34"/>
  <c r="I614" i="34"/>
  <c r="J614" i="34"/>
  <c r="K614" i="34"/>
  <c r="L614" i="34"/>
  <c r="M614" i="34"/>
  <c r="N614" i="34"/>
  <c r="O614" i="34"/>
  <c r="A615" i="34"/>
  <c r="B615" i="34"/>
  <c r="C615" i="34"/>
  <c r="D615" i="34"/>
  <c r="E615" i="34"/>
  <c r="F615" i="34"/>
  <c r="G615" i="34"/>
  <c r="H615" i="34"/>
  <c r="I615" i="34"/>
  <c r="J615" i="34"/>
  <c r="K615" i="34"/>
  <c r="L615" i="34"/>
  <c r="M615" i="34"/>
  <c r="N615" i="34"/>
  <c r="O615" i="34"/>
  <c r="A616" i="34"/>
  <c r="B616" i="34"/>
  <c r="C616" i="34"/>
  <c r="D616" i="34"/>
  <c r="E616" i="34"/>
  <c r="F616" i="34"/>
  <c r="G616" i="34"/>
  <c r="H616" i="34"/>
  <c r="I616" i="34"/>
  <c r="J616" i="34"/>
  <c r="K616" i="34"/>
  <c r="L616" i="34"/>
  <c r="M616" i="34"/>
  <c r="N616" i="34"/>
  <c r="O616" i="34"/>
  <c r="A617" i="34"/>
  <c r="B617" i="34"/>
  <c r="C617" i="34"/>
  <c r="D617" i="34"/>
  <c r="E617" i="34"/>
  <c r="F617" i="34"/>
  <c r="G617" i="34"/>
  <c r="H617" i="34"/>
  <c r="I617" i="34"/>
  <c r="J617" i="34"/>
  <c r="K617" i="34"/>
  <c r="L617" i="34"/>
  <c r="M617" i="34"/>
  <c r="N617" i="34"/>
  <c r="O617" i="34"/>
  <c r="A618" i="34"/>
  <c r="B618" i="34"/>
  <c r="C618" i="34"/>
  <c r="D618" i="34"/>
  <c r="E618" i="34"/>
  <c r="F618" i="34"/>
  <c r="G618" i="34"/>
  <c r="H618" i="34"/>
  <c r="I618" i="34"/>
  <c r="J618" i="34"/>
  <c r="K618" i="34"/>
  <c r="L618" i="34"/>
  <c r="M618" i="34"/>
  <c r="N618" i="34"/>
  <c r="O618" i="34"/>
  <c r="A619" i="34"/>
  <c r="B619" i="34"/>
  <c r="C619" i="34"/>
  <c r="D619" i="34"/>
  <c r="E619" i="34"/>
  <c r="F619" i="34"/>
  <c r="G619" i="34"/>
  <c r="H619" i="34"/>
  <c r="I619" i="34"/>
  <c r="J619" i="34"/>
  <c r="K619" i="34"/>
  <c r="L619" i="34"/>
  <c r="M619" i="34"/>
  <c r="N619" i="34"/>
  <c r="O619" i="34"/>
  <c r="A620" i="34"/>
  <c r="B620" i="34"/>
  <c r="C620" i="34"/>
  <c r="D620" i="34"/>
  <c r="E620" i="34"/>
  <c r="F620" i="34"/>
  <c r="G620" i="34"/>
  <c r="H620" i="34"/>
  <c r="I620" i="34"/>
  <c r="J620" i="34"/>
  <c r="K620" i="34"/>
  <c r="L620" i="34"/>
  <c r="M620" i="34"/>
  <c r="N620" i="34"/>
  <c r="O620" i="34"/>
  <c r="A621" i="34"/>
  <c r="B621" i="34"/>
  <c r="C621" i="34"/>
  <c r="D621" i="34"/>
  <c r="E621" i="34"/>
  <c r="F621" i="34"/>
  <c r="G621" i="34"/>
  <c r="H621" i="34"/>
  <c r="I621" i="34"/>
  <c r="J621" i="34"/>
  <c r="K621" i="34"/>
  <c r="L621" i="34"/>
  <c r="M621" i="34"/>
  <c r="N621" i="34"/>
  <c r="O621" i="34"/>
  <c r="A622" i="34"/>
  <c r="B622" i="34"/>
  <c r="C622" i="34"/>
  <c r="D622" i="34"/>
  <c r="E622" i="34"/>
  <c r="F622" i="34"/>
  <c r="G622" i="34"/>
  <c r="H622" i="34"/>
  <c r="I622" i="34"/>
  <c r="J622" i="34"/>
  <c r="K622" i="34"/>
  <c r="L622" i="34"/>
  <c r="M622" i="34"/>
  <c r="N622" i="34"/>
  <c r="O622" i="34"/>
  <c r="A623" i="34"/>
  <c r="B623" i="34"/>
  <c r="C623" i="34"/>
  <c r="D623" i="34"/>
  <c r="E623" i="34"/>
  <c r="F623" i="34"/>
  <c r="G623" i="34"/>
  <c r="H623" i="34"/>
  <c r="I623" i="34"/>
  <c r="J623" i="34"/>
  <c r="K623" i="34"/>
  <c r="L623" i="34"/>
  <c r="M623" i="34"/>
  <c r="N623" i="34"/>
  <c r="O623" i="34"/>
  <c r="A624" i="34"/>
  <c r="B624" i="34"/>
  <c r="C624" i="34"/>
  <c r="D624" i="34"/>
  <c r="E624" i="34"/>
  <c r="F624" i="34"/>
  <c r="G624" i="34"/>
  <c r="H624" i="34"/>
  <c r="I624" i="34"/>
  <c r="J624" i="34"/>
  <c r="K624" i="34"/>
  <c r="L624" i="34"/>
  <c r="M624" i="34"/>
  <c r="N624" i="34"/>
  <c r="O624" i="34"/>
  <c r="A625" i="34"/>
  <c r="B625" i="34"/>
  <c r="C625" i="34"/>
  <c r="D625" i="34"/>
  <c r="E625" i="34"/>
  <c r="F625" i="34"/>
  <c r="G625" i="34"/>
  <c r="H625" i="34"/>
  <c r="I625" i="34"/>
  <c r="J625" i="34"/>
  <c r="K625" i="34"/>
  <c r="L625" i="34"/>
  <c r="M625" i="34"/>
  <c r="N625" i="34"/>
  <c r="O625" i="34"/>
  <c r="A626" i="34"/>
  <c r="B626" i="34"/>
  <c r="C626" i="34"/>
  <c r="D626" i="34"/>
  <c r="E626" i="34"/>
  <c r="F626" i="34"/>
  <c r="G626" i="34"/>
  <c r="H626" i="34"/>
  <c r="I626" i="34"/>
  <c r="J626" i="34"/>
  <c r="K626" i="34"/>
  <c r="L626" i="34"/>
  <c r="M626" i="34"/>
  <c r="N626" i="34"/>
  <c r="O626" i="34"/>
  <c r="A627" i="34"/>
  <c r="B627" i="34"/>
  <c r="C627" i="34"/>
  <c r="D627" i="34"/>
  <c r="E627" i="34"/>
  <c r="F627" i="34"/>
  <c r="G627" i="34"/>
  <c r="H627" i="34"/>
  <c r="I627" i="34"/>
  <c r="J627" i="34"/>
  <c r="K627" i="34"/>
  <c r="L627" i="34"/>
  <c r="M627" i="34"/>
  <c r="N627" i="34"/>
  <c r="O627" i="34"/>
  <c r="A628" i="34"/>
  <c r="B628" i="34"/>
  <c r="C628" i="34"/>
  <c r="D628" i="34"/>
  <c r="E628" i="34"/>
  <c r="F628" i="34"/>
  <c r="G628" i="34"/>
  <c r="H628" i="34"/>
  <c r="I628" i="34"/>
  <c r="J628" i="34"/>
  <c r="K628" i="34"/>
  <c r="L628" i="34"/>
  <c r="M628" i="34"/>
  <c r="N628" i="34"/>
  <c r="O628" i="34"/>
  <c r="A629" i="34"/>
  <c r="B629" i="34"/>
  <c r="C629" i="34"/>
  <c r="D629" i="34"/>
  <c r="E629" i="34"/>
  <c r="F629" i="34"/>
  <c r="G629" i="34"/>
  <c r="H629" i="34"/>
  <c r="I629" i="34"/>
  <c r="J629" i="34"/>
  <c r="K629" i="34"/>
  <c r="L629" i="34"/>
  <c r="M629" i="34"/>
  <c r="N629" i="34"/>
  <c r="O629" i="34"/>
  <c r="A630" i="34"/>
  <c r="B630" i="34"/>
  <c r="C630" i="34"/>
  <c r="D630" i="34"/>
  <c r="E630" i="34"/>
  <c r="F630" i="34"/>
  <c r="G630" i="34"/>
  <c r="H630" i="34"/>
  <c r="I630" i="34"/>
  <c r="J630" i="34"/>
  <c r="K630" i="34"/>
  <c r="L630" i="34"/>
  <c r="M630" i="34"/>
  <c r="N630" i="34"/>
  <c r="O630" i="34"/>
  <c r="A631" i="34"/>
  <c r="B631" i="34"/>
  <c r="C631" i="34"/>
  <c r="D631" i="34"/>
  <c r="E631" i="34"/>
  <c r="F631" i="34"/>
  <c r="G631" i="34"/>
  <c r="H631" i="34"/>
  <c r="I631" i="34"/>
  <c r="J631" i="34"/>
  <c r="K631" i="34"/>
  <c r="L631" i="34"/>
  <c r="M631" i="34"/>
  <c r="N631" i="34"/>
  <c r="O631" i="34"/>
  <c r="A632" i="34"/>
  <c r="B632" i="34"/>
  <c r="C632" i="34"/>
  <c r="D632" i="34"/>
  <c r="E632" i="34"/>
  <c r="F632" i="34"/>
  <c r="G632" i="34"/>
  <c r="H632" i="34"/>
  <c r="I632" i="34"/>
  <c r="J632" i="34"/>
  <c r="K632" i="34"/>
  <c r="L632" i="34"/>
  <c r="M632" i="34"/>
  <c r="N632" i="34"/>
  <c r="O632" i="34"/>
  <c r="A633" i="34"/>
  <c r="B633" i="34"/>
  <c r="C633" i="34"/>
  <c r="D633" i="34"/>
  <c r="E633" i="34"/>
  <c r="F633" i="34"/>
  <c r="G633" i="34"/>
  <c r="H633" i="34"/>
  <c r="I633" i="34"/>
  <c r="J633" i="34"/>
  <c r="K633" i="34"/>
  <c r="L633" i="34"/>
  <c r="M633" i="34"/>
  <c r="N633" i="34"/>
  <c r="O633" i="34"/>
  <c r="A634" i="34"/>
  <c r="B634" i="34"/>
  <c r="C634" i="34"/>
  <c r="D634" i="34"/>
  <c r="E634" i="34"/>
  <c r="F634" i="34"/>
  <c r="G634" i="34"/>
  <c r="H634" i="34"/>
  <c r="I634" i="34"/>
  <c r="J634" i="34"/>
  <c r="K634" i="34"/>
  <c r="L634" i="34"/>
  <c r="M634" i="34"/>
  <c r="N634" i="34"/>
  <c r="O634" i="34"/>
  <c r="A635" i="34"/>
  <c r="B635" i="34"/>
  <c r="C635" i="34"/>
  <c r="D635" i="34"/>
  <c r="E635" i="34"/>
  <c r="F635" i="34"/>
  <c r="G635" i="34"/>
  <c r="H635" i="34"/>
  <c r="I635" i="34"/>
  <c r="J635" i="34"/>
  <c r="K635" i="34"/>
  <c r="L635" i="34"/>
  <c r="M635" i="34"/>
  <c r="N635" i="34"/>
  <c r="O635" i="34"/>
  <c r="A636" i="34"/>
  <c r="B636" i="34"/>
  <c r="C636" i="34"/>
  <c r="D636" i="34"/>
  <c r="E636" i="34"/>
  <c r="F636" i="34"/>
  <c r="G636" i="34"/>
  <c r="H636" i="34"/>
  <c r="I636" i="34"/>
  <c r="J636" i="34"/>
  <c r="K636" i="34"/>
  <c r="L636" i="34"/>
  <c r="M636" i="34"/>
  <c r="N636" i="34"/>
  <c r="O636" i="34"/>
  <c r="A637" i="34"/>
  <c r="B637" i="34"/>
  <c r="C637" i="34"/>
  <c r="D637" i="34"/>
  <c r="E637" i="34"/>
  <c r="F637" i="34"/>
  <c r="G637" i="34"/>
  <c r="H637" i="34"/>
  <c r="I637" i="34"/>
  <c r="J637" i="34"/>
  <c r="K637" i="34"/>
  <c r="L637" i="34"/>
  <c r="M637" i="34"/>
  <c r="N637" i="34"/>
  <c r="O637" i="34"/>
  <c r="A638" i="34"/>
  <c r="B638" i="34"/>
  <c r="C638" i="34"/>
  <c r="D638" i="34"/>
  <c r="E638" i="34"/>
  <c r="F638" i="34"/>
  <c r="G638" i="34"/>
  <c r="H638" i="34"/>
  <c r="I638" i="34"/>
  <c r="J638" i="34"/>
  <c r="K638" i="34"/>
  <c r="L638" i="34"/>
  <c r="M638" i="34"/>
  <c r="N638" i="34"/>
  <c r="O638" i="34"/>
  <c r="A639" i="34"/>
  <c r="B639" i="34"/>
  <c r="C639" i="34"/>
  <c r="D639" i="34"/>
  <c r="E639" i="34"/>
  <c r="F639" i="34"/>
  <c r="G639" i="34"/>
  <c r="H639" i="34"/>
  <c r="I639" i="34"/>
  <c r="J639" i="34"/>
  <c r="K639" i="34"/>
  <c r="L639" i="34"/>
  <c r="M639" i="34"/>
  <c r="N639" i="34"/>
  <c r="O639" i="34"/>
  <c r="A640" i="34"/>
  <c r="B640" i="34"/>
  <c r="C640" i="34"/>
  <c r="D640" i="34"/>
  <c r="E640" i="34"/>
  <c r="F640" i="34"/>
  <c r="G640" i="34"/>
  <c r="H640" i="34"/>
  <c r="I640" i="34"/>
  <c r="J640" i="34"/>
  <c r="K640" i="34"/>
  <c r="L640" i="34"/>
  <c r="M640" i="34"/>
  <c r="N640" i="34"/>
  <c r="O640" i="34"/>
  <c r="A641" i="34"/>
  <c r="B641" i="34"/>
  <c r="C641" i="34"/>
  <c r="D641" i="34"/>
  <c r="E641" i="34"/>
  <c r="F641" i="34"/>
  <c r="G641" i="34"/>
  <c r="H641" i="34"/>
  <c r="I641" i="34"/>
  <c r="J641" i="34"/>
  <c r="K641" i="34"/>
  <c r="L641" i="34"/>
  <c r="M641" i="34"/>
  <c r="N641" i="34"/>
  <c r="O641" i="34"/>
  <c r="A642" i="34"/>
  <c r="B642" i="34"/>
  <c r="C642" i="34"/>
  <c r="D642" i="34"/>
  <c r="E642" i="34"/>
  <c r="F642" i="34"/>
  <c r="G642" i="34"/>
  <c r="H642" i="34"/>
  <c r="I642" i="34"/>
  <c r="J642" i="34"/>
  <c r="K642" i="34"/>
  <c r="L642" i="34"/>
  <c r="M642" i="34"/>
  <c r="N642" i="34"/>
  <c r="O642" i="34"/>
  <c r="A643" i="34"/>
  <c r="B643" i="34"/>
  <c r="C643" i="34"/>
  <c r="D643" i="34"/>
  <c r="E643" i="34"/>
  <c r="F643" i="34"/>
  <c r="G643" i="34"/>
  <c r="H643" i="34"/>
  <c r="I643" i="34"/>
  <c r="J643" i="34"/>
  <c r="K643" i="34"/>
  <c r="L643" i="34"/>
  <c r="M643" i="34"/>
  <c r="N643" i="34"/>
  <c r="O643" i="34"/>
  <c r="A644" i="34"/>
  <c r="B644" i="34"/>
  <c r="C644" i="34"/>
  <c r="D644" i="34"/>
  <c r="E644" i="34"/>
  <c r="F644" i="34"/>
  <c r="G644" i="34"/>
  <c r="H644" i="34"/>
  <c r="I644" i="34"/>
  <c r="J644" i="34"/>
  <c r="K644" i="34"/>
  <c r="L644" i="34"/>
  <c r="M644" i="34"/>
  <c r="N644" i="34"/>
  <c r="O644" i="34"/>
  <c r="A645" i="34"/>
  <c r="B645" i="34"/>
  <c r="C645" i="34"/>
  <c r="D645" i="34"/>
  <c r="E645" i="34"/>
  <c r="F645" i="34"/>
  <c r="G645" i="34"/>
  <c r="H645" i="34"/>
  <c r="I645" i="34"/>
  <c r="J645" i="34"/>
  <c r="K645" i="34"/>
  <c r="L645" i="34"/>
  <c r="M645" i="34"/>
  <c r="N645" i="34"/>
  <c r="O645" i="34"/>
  <c r="A646" i="34"/>
  <c r="B646" i="34"/>
  <c r="C646" i="34"/>
  <c r="D646" i="34"/>
  <c r="E646" i="34"/>
  <c r="F646" i="34"/>
  <c r="G646" i="34"/>
  <c r="H646" i="34"/>
  <c r="I646" i="34"/>
  <c r="J646" i="34"/>
  <c r="K646" i="34"/>
  <c r="L646" i="34"/>
  <c r="M646" i="34"/>
  <c r="N646" i="34"/>
  <c r="O646" i="34"/>
  <c r="A647" i="34"/>
  <c r="B647" i="34"/>
  <c r="C647" i="34"/>
  <c r="D647" i="34"/>
  <c r="E647" i="34"/>
  <c r="F647" i="34"/>
  <c r="G647" i="34"/>
  <c r="H647" i="34"/>
  <c r="I647" i="34"/>
  <c r="J647" i="34"/>
  <c r="K647" i="34"/>
  <c r="L647" i="34"/>
  <c r="M647" i="34"/>
  <c r="N647" i="34"/>
  <c r="O647" i="34"/>
  <c r="A648" i="34"/>
  <c r="B648" i="34"/>
  <c r="C648" i="34"/>
  <c r="D648" i="34"/>
  <c r="E648" i="34"/>
  <c r="F648" i="34"/>
  <c r="G648" i="34"/>
  <c r="H648" i="34"/>
  <c r="I648" i="34"/>
  <c r="J648" i="34"/>
  <c r="K648" i="34"/>
  <c r="L648" i="34"/>
  <c r="M648" i="34"/>
  <c r="N648" i="34"/>
  <c r="O648" i="34"/>
  <c r="A649" i="34"/>
  <c r="B649" i="34"/>
  <c r="C649" i="34"/>
  <c r="D649" i="34"/>
  <c r="E649" i="34"/>
  <c r="F649" i="34"/>
  <c r="G649" i="34"/>
  <c r="H649" i="34"/>
  <c r="I649" i="34"/>
  <c r="J649" i="34"/>
  <c r="K649" i="34"/>
  <c r="L649" i="34"/>
  <c r="M649" i="34"/>
  <c r="N649" i="34"/>
  <c r="O649" i="34"/>
  <c r="A650" i="34"/>
  <c r="B650" i="34"/>
  <c r="C650" i="34"/>
  <c r="D650" i="34"/>
  <c r="E650" i="34"/>
  <c r="F650" i="34"/>
  <c r="G650" i="34"/>
  <c r="H650" i="34"/>
  <c r="I650" i="34"/>
  <c r="J650" i="34"/>
  <c r="K650" i="34"/>
  <c r="L650" i="34"/>
  <c r="M650" i="34"/>
  <c r="N650" i="34"/>
  <c r="O650" i="34"/>
  <c r="A651" i="34"/>
  <c r="B651" i="34"/>
  <c r="C651" i="34"/>
  <c r="D651" i="34"/>
  <c r="E651" i="34"/>
  <c r="F651" i="34"/>
  <c r="G651" i="34"/>
  <c r="H651" i="34"/>
  <c r="I651" i="34"/>
  <c r="J651" i="34"/>
  <c r="K651" i="34"/>
  <c r="L651" i="34"/>
  <c r="M651" i="34"/>
  <c r="N651" i="34"/>
  <c r="O651" i="34"/>
  <c r="A652" i="34"/>
  <c r="B652" i="34"/>
  <c r="C652" i="34"/>
  <c r="D652" i="34"/>
  <c r="E652" i="34"/>
  <c r="F652" i="34"/>
  <c r="G652" i="34"/>
  <c r="H652" i="34"/>
  <c r="I652" i="34"/>
  <c r="J652" i="34"/>
  <c r="K652" i="34"/>
  <c r="L652" i="34"/>
  <c r="M652" i="34"/>
  <c r="N652" i="34"/>
  <c r="O652" i="34"/>
  <c r="A653" i="34"/>
  <c r="B653" i="34"/>
  <c r="C653" i="34"/>
  <c r="D653" i="34"/>
  <c r="E653" i="34"/>
  <c r="F653" i="34"/>
  <c r="G653" i="34"/>
  <c r="H653" i="34"/>
  <c r="I653" i="34"/>
  <c r="J653" i="34"/>
  <c r="K653" i="34"/>
  <c r="L653" i="34"/>
  <c r="M653" i="34"/>
  <c r="N653" i="34"/>
  <c r="O653" i="34"/>
  <c r="A654" i="34"/>
  <c r="B654" i="34"/>
  <c r="C654" i="34"/>
  <c r="D654" i="34"/>
  <c r="E654" i="34"/>
  <c r="F654" i="34"/>
  <c r="G654" i="34"/>
  <c r="H654" i="34"/>
  <c r="I654" i="34"/>
  <c r="J654" i="34"/>
  <c r="K654" i="34"/>
  <c r="L654" i="34"/>
  <c r="M654" i="34"/>
  <c r="N654" i="34"/>
  <c r="O654" i="34"/>
  <c r="A655" i="34"/>
  <c r="B655" i="34"/>
  <c r="C655" i="34"/>
  <c r="D655" i="34"/>
  <c r="E655" i="34"/>
  <c r="F655" i="34"/>
  <c r="G655" i="34"/>
  <c r="H655" i="34"/>
  <c r="I655" i="34"/>
  <c r="J655" i="34"/>
  <c r="K655" i="34"/>
  <c r="L655" i="34"/>
  <c r="M655" i="34"/>
  <c r="N655" i="34"/>
  <c r="O655" i="34"/>
  <c r="A656" i="34"/>
  <c r="B656" i="34"/>
  <c r="C656" i="34"/>
  <c r="D656" i="34"/>
  <c r="E656" i="34"/>
  <c r="F656" i="34"/>
  <c r="G656" i="34"/>
  <c r="H656" i="34"/>
  <c r="I656" i="34"/>
  <c r="J656" i="34"/>
  <c r="K656" i="34"/>
  <c r="L656" i="34"/>
  <c r="M656" i="34"/>
  <c r="N656" i="34"/>
  <c r="O656" i="34"/>
  <c r="A657" i="34"/>
  <c r="B657" i="34"/>
  <c r="C657" i="34"/>
  <c r="D657" i="34"/>
  <c r="E657" i="34"/>
  <c r="F657" i="34"/>
  <c r="G657" i="34"/>
  <c r="H657" i="34"/>
  <c r="I657" i="34"/>
  <c r="J657" i="34"/>
  <c r="K657" i="34"/>
  <c r="L657" i="34"/>
  <c r="M657" i="34"/>
  <c r="N657" i="34"/>
  <c r="O657" i="34"/>
  <c r="A658" i="34"/>
  <c r="B658" i="34"/>
  <c r="C658" i="34"/>
  <c r="D658" i="34"/>
  <c r="E658" i="34"/>
  <c r="F658" i="34"/>
  <c r="G658" i="34"/>
  <c r="H658" i="34"/>
  <c r="I658" i="34"/>
  <c r="J658" i="34"/>
  <c r="K658" i="34"/>
  <c r="L658" i="34"/>
  <c r="M658" i="34"/>
  <c r="N658" i="34"/>
  <c r="O658" i="34"/>
  <c r="A659" i="34"/>
  <c r="B659" i="34"/>
  <c r="C659" i="34"/>
  <c r="D659" i="34"/>
  <c r="E659" i="34"/>
  <c r="F659" i="34"/>
  <c r="G659" i="34"/>
  <c r="H659" i="34"/>
  <c r="I659" i="34"/>
  <c r="J659" i="34"/>
  <c r="K659" i="34"/>
  <c r="L659" i="34"/>
  <c r="M659" i="34"/>
  <c r="N659" i="34"/>
  <c r="O659" i="34"/>
  <c r="A660" i="34"/>
  <c r="B660" i="34"/>
  <c r="C660" i="34"/>
  <c r="D660" i="34"/>
  <c r="E660" i="34"/>
  <c r="F660" i="34"/>
  <c r="G660" i="34"/>
  <c r="H660" i="34"/>
  <c r="I660" i="34"/>
  <c r="J660" i="34"/>
  <c r="K660" i="34"/>
  <c r="L660" i="34"/>
  <c r="M660" i="34"/>
  <c r="N660" i="34"/>
  <c r="O660" i="34"/>
  <c r="A661" i="34"/>
  <c r="B661" i="34"/>
  <c r="C661" i="34"/>
  <c r="D661" i="34"/>
  <c r="E661" i="34"/>
  <c r="F661" i="34"/>
  <c r="G661" i="34"/>
  <c r="H661" i="34"/>
  <c r="I661" i="34"/>
  <c r="J661" i="34"/>
  <c r="K661" i="34"/>
  <c r="L661" i="34"/>
  <c r="M661" i="34"/>
  <c r="N661" i="34"/>
  <c r="O661" i="34"/>
  <c r="A662" i="34"/>
  <c r="B662" i="34"/>
  <c r="C662" i="34"/>
  <c r="D662" i="34"/>
  <c r="E662" i="34"/>
  <c r="F662" i="34"/>
  <c r="G662" i="34"/>
  <c r="H662" i="34"/>
  <c r="I662" i="34"/>
  <c r="J662" i="34"/>
  <c r="K662" i="34"/>
  <c r="L662" i="34"/>
  <c r="M662" i="34"/>
  <c r="N662" i="34"/>
  <c r="O662" i="34"/>
  <c r="A663" i="34"/>
  <c r="B663" i="34"/>
  <c r="C663" i="34"/>
  <c r="D663" i="34"/>
  <c r="E663" i="34"/>
  <c r="F663" i="34"/>
  <c r="G663" i="34"/>
  <c r="H663" i="34"/>
  <c r="I663" i="34"/>
  <c r="J663" i="34"/>
  <c r="K663" i="34"/>
  <c r="L663" i="34"/>
  <c r="M663" i="34"/>
  <c r="N663" i="34"/>
  <c r="O663" i="34"/>
  <c r="A664" i="34"/>
  <c r="B664" i="34"/>
  <c r="C664" i="34"/>
  <c r="D664" i="34"/>
  <c r="E664" i="34"/>
  <c r="F664" i="34"/>
  <c r="G664" i="34"/>
  <c r="H664" i="34"/>
  <c r="I664" i="34"/>
  <c r="J664" i="34"/>
  <c r="K664" i="34"/>
  <c r="L664" i="34"/>
  <c r="M664" i="34"/>
  <c r="N664" i="34"/>
  <c r="O664" i="34"/>
  <c r="A665" i="34"/>
  <c r="B665" i="34"/>
  <c r="C665" i="34"/>
  <c r="D665" i="34"/>
  <c r="E665" i="34"/>
  <c r="F665" i="34"/>
  <c r="G665" i="34"/>
  <c r="H665" i="34"/>
  <c r="I665" i="34"/>
  <c r="J665" i="34"/>
  <c r="K665" i="34"/>
  <c r="L665" i="34"/>
  <c r="M665" i="34"/>
  <c r="N665" i="34"/>
  <c r="O665" i="34"/>
  <c r="A666" i="34"/>
  <c r="B666" i="34"/>
  <c r="C666" i="34"/>
  <c r="D666" i="34"/>
  <c r="E666" i="34"/>
  <c r="F666" i="34"/>
  <c r="G666" i="34"/>
  <c r="H666" i="34"/>
  <c r="I666" i="34"/>
  <c r="J666" i="34"/>
  <c r="K666" i="34"/>
  <c r="L666" i="34"/>
  <c r="M666" i="34"/>
  <c r="N666" i="34"/>
  <c r="O666" i="34"/>
  <c r="A667" i="34"/>
  <c r="B667" i="34"/>
  <c r="C667" i="34"/>
  <c r="D667" i="34"/>
  <c r="E667" i="34"/>
  <c r="F667" i="34"/>
  <c r="G667" i="34"/>
  <c r="H667" i="34"/>
  <c r="I667" i="34"/>
  <c r="J667" i="34"/>
  <c r="K667" i="34"/>
  <c r="L667" i="34"/>
  <c r="M667" i="34"/>
  <c r="N667" i="34"/>
  <c r="O667" i="34"/>
  <c r="A668" i="34"/>
  <c r="B668" i="34"/>
  <c r="C668" i="34"/>
  <c r="D668" i="34"/>
  <c r="E668" i="34"/>
  <c r="F668" i="34"/>
  <c r="G668" i="34"/>
  <c r="H668" i="34"/>
  <c r="I668" i="34"/>
  <c r="J668" i="34"/>
  <c r="K668" i="34"/>
  <c r="L668" i="34"/>
  <c r="M668" i="34"/>
  <c r="N668" i="34"/>
  <c r="O668" i="34"/>
  <c r="A669" i="34"/>
  <c r="B669" i="34"/>
  <c r="C669" i="34"/>
  <c r="D669" i="34"/>
  <c r="E669" i="34"/>
  <c r="F669" i="34"/>
  <c r="G669" i="34"/>
  <c r="H669" i="34"/>
  <c r="I669" i="34"/>
  <c r="J669" i="34"/>
  <c r="K669" i="34"/>
  <c r="L669" i="34"/>
  <c r="M669" i="34"/>
  <c r="N669" i="34"/>
  <c r="O669" i="34"/>
  <c r="A670" i="34"/>
  <c r="B670" i="34"/>
  <c r="C670" i="34"/>
  <c r="D670" i="34"/>
  <c r="E670" i="34"/>
  <c r="F670" i="34"/>
  <c r="G670" i="34"/>
  <c r="H670" i="34"/>
  <c r="I670" i="34"/>
  <c r="J670" i="34"/>
  <c r="K670" i="34"/>
  <c r="L670" i="34"/>
  <c r="M670" i="34"/>
  <c r="N670" i="34"/>
  <c r="O670" i="34"/>
  <c r="A671" i="34"/>
  <c r="B671" i="34"/>
  <c r="C671" i="34"/>
  <c r="D671" i="34"/>
  <c r="E671" i="34"/>
  <c r="F671" i="34"/>
  <c r="G671" i="34"/>
  <c r="H671" i="34"/>
  <c r="I671" i="34"/>
  <c r="J671" i="34"/>
  <c r="K671" i="34"/>
  <c r="L671" i="34"/>
  <c r="M671" i="34"/>
  <c r="N671" i="34"/>
  <c r="O671" i="34"/>
  <c r="A672" i="34"/>
  <c r="B672" i="34"/>
  <c r="C672" i="34"/>
  <c r="D672" i="34"/>
  <c r="E672" i="34"/>
  <c r="F672" i="34"/>
  <c r="G672" i="34"/>
  <c r="H672" i="34"/>
  <c r="I672" i="34"/>
  <c r="J672" i="34"/>
  <c r="K672" i="34"/>
  <c r="L672" i="34"/>
  <c r="M672" i="34"/>
  <c r="N672" i="34"/>
  <c r="O672" i="34"/>
  <c r="A673" i="34"/>
  <c r="B673" i="34"/>
  <c r="C673" i="34"/>
  <c r="D673" i="34"/>
  <c r="E673" i="34"/>
  <c r="F673" i="34"/>
  <c r="G673" i="34"/>
  <c r="H673" i="34"/>
  <c r="I673" i="34"/>
  <c r="J673" i="34"/>
  <c r="K673" i="34"/>
  <c r="L673" i="34"/>
  <c r="M673" i="34"/>
  <c r="N673" i="34"/>
  <c r="O673" i="34"/>
  <c r="A674" i="34"/>
  <c r="B674" i="34"/>
  <c r="C674" i="34"/>
  <c r="D674" i="34"/>
  <c r="E674" i="34"/>
  <c r="F674" i="34"/>
  <c r="G674" i="34"/>
  <c r="H674" i="34"/>
  <c r="I674" i="34"/>
  <c r="J674" i="34"/>
  <c r="K674" i="34"/>
  <c r="L674" i="34"/>
  <c r="M674" i="34"/>
  <c r="N674" i="34"/>
  <c r="O674" i="34"/>
  <c r="A675" i="34"/>
  <c r="B675" i="34"/>
  <c r="C675" i="34"/>
  <c r="D675" i="34"/>
  <c r="E675" i="34"/>
  <c r="F675" i="34"/>
  <c r="G675" i="34"/>
  <c r="H675" i="34"/>
  <c r="I675" i="34"/>
  <c r="J675" i="34"/>
  <c r="K675" i="34"/>
  <c r="L675" i="34"/>
  <c r="M675" i="34"/>
  <c r="N675" i="34"/>
  <c r="O675" i="34"/>
  <c r="A676" i="34"/>
  <c r="B676" i="34"/>
  <c r="C676" i="34"/>
  <c r="D676" i="34"/>
  <c r="E676" i="34"/>
  <c r="F676" i="34"/>
  <c r="G676" i="34"/>
  <c r="H676" i="34"/>
  <c r="I676" i="34"/>
  <c r="J676" i="34"/>
  <c r="K676" i="34"/>
  <c r="L676" i="34"/>
  <c r="M676" i="34"/>
  <c r="N676" i="34"/>
  <c r="O676" i="34"/>
  <c r="A677" i="34"/>
  <c r="B677" i="34"/>
  <c r="C677" i="34"/>
  <c r="D677" i="34"/>
  <c r="E677" i="34"/>
  <c r="F677" i="34"/>
  <c r="G677" i="34"/>
  <c r="H677" i="34"/>
  <c r="I677" i="34"/>
  <c r="J677" i="34"/>
  <c r="K677" i="34"/>
  <c r="L677" i="34"/>
  <c r="M677" i="34"/>
  <c r="N677" i="34"/>
  <c r="O677" i="34"/>
  <c r="A678" i="34"/>
  <c r="B678" i="34"/>
  <c r="C678" i="34"/>
  <c r="D678" i="34"/>
  <c r="E678" i="34"/>
  <c r="F678" i="34"/>
  <c r="G678" i="34"/>
  <c r="H678" i="34"/>
  <c r="I678" i="34"/>
  <c r="J678" i="34"/>
  <c r="K678" i="34"/>
  <c r="L678" i="34"/>
  <c r="M678" i="34"/>
  <c r="N678" i="34"/>
  <c r="O678" i="34"/>
  <c r="A679" i="34"/>
  <c r="B679" i="34"/>
  <c r="C679" i="34"/>
  <c r="D679" i="34"/>
  <c r="E679" i="34"/>
  <c r="F679" i="34"/>
  <c r="G679" i="34"/>
  <c r="H679" i="34"/>
  <c r="I679" i="34"/>
  <c r="J679" i="34"/>
  <c r="K679" i="34"/>
  <c r="L679" i="34"/>
  <c r="M679" i="34"/>
  <c r="N679" i="34"/>
  <c r="O679" i="34"/>
  <c r="A680" i="34"/>
  <c r="B680" i="34"/>
  <c r="C680" i="34"/>
  <c r="D680" i="34"/>
  <c r="E680" i="34"/>
  <c r="F680" i="34"/>
  <c r="G680" i="34"/>
  <c r="H680" i="34"/>
  <c r="I680" i="34"/>
  <c r="J680" i="34"/>
  <c r="K680" i="34"/>
  <c r="L680" i="34"/>
  <c r="M680" i="34"/>
  <c r="N680" i="34"/>
  <c r="O680" i="34"/>
  <c r="A681" i="34"/>
  <c r="B681" i="34"/>
  <c r="C681" i="34"/>
  <c r="D681" i="34"/>
  <c r="E681" i="34"/>
  <c r="F681" i="34"/>
  <c r="G681" i="34"/>
  <c r="H681" i="34"/>
  <c r="I681" i="34"/>
  <c r="J681" i="34"/>
  <c r="K681" i="34"/>
  <c r="L681" i="34"/>
  <c r="M681" i="34"/>
  <c r="N681" i="34"/>
  <c r="O681" i="34"/>
  <c r="A682" i="34"/>
  <c r="B682" i="34"/>
  <c r="C682" i="34"/>
  <c r="D682" i="34"/>
  <c r="E682" i="34"/>
  <c r="F682" i="34"/>
  <c r="G682" i="34"/>
  <c r="H682" i="34"/>
  <c r="I682" i="34"/>
  <c r="J682" i="34"/>
  <c r="K682" i="34"/>
  <c r="L682" i="34"/>
  <c r="M682" i="34"/>
  <c r="N682" i="34"/>
  <c r="O682" i="34"/>
  <c r="A683" i="34"/>
  <c r="B683" i="34"/>
  <c r="C683" i="34"/>
  <c r="D683" i="34"/>
  <c r="E683" i="34"/>
  <c r="F683" i="34"/>
  <c r="G683" i="34"/>
  <c r="H683" i="34"/>
  <c r="I683" i="34"/>
  <c r="J683" i="34"/>
  <c r="K683" i="34"/>
  <c r="L683" i="34"/>
  <c r="M683" i="34"/>
  <c r="N683" i="34"/>
  <c r="O683" i="34"/>
  <c r="A684" i="34"/>
  <c r="B684" i="34"/>
  <c r="C684" i="34"/>
  <c r="D684" i="34"/>
  <c r="E684" i="34"/>
  <c r="F684" i="34"/>
  <c r="G684" i="34"/>
  <c r="H684" i="34"/>
  <c r="I684" i="34"/>
  <c r="J684" i="34"/>
  <c r="K684" i="34"/>
  <c r="L684" i="34"/>
  <c r="M684" i="34"/>
  <c r="N684" i="34"/>
  <c r="O684" i="34"/>
  <c r="A685" i="34"/>
  <c r="B685" i="34"/>
  <c r="C685" i="34"/>
  <c r="D685" i="34"/>
  <c r="E685" i="34"/>
  <c r="F685" i="34"/>
  <c r="G685" i="34"/>
  <c r="H685" i="34"/>
  <c r="I685" i="34"/>
  <c r="J685" i="34"/>
  <c r="K685" i="34"/>
  <c r="L685" i="34"/>
  <c r="M685" i="34"/>
  <c r="N685" i="34"/>
  <c r="O685" i="34"/>
  <c r="A686" i="34"/>
  <c r="B686" i="34"/>
  <c r="C686" i="34"/>
  <c r="D686" i="34"/>
  <c r="E686" i="34"/>
  <c r="F686" i="34"/>
  <c r="G686" i="34"/>
  <c r="H686" i="34"/>
  <c r="I686" i="34"/>
  <c r="J686" i="34"/>
  <c r="K686" i="34"/>
  <c r="L686" i="34"/>
  <c r="M686" i="34"/>
  <c r="N686" i="34"/>
  <c r="O686" i="34"/>
  <c r="A687" i="34"/>
  <c r="B687" i="34"/>
  <c r="C687" i="34"/>
  <c r="D687" i="34"/>
  <c r="E687" i="34"/>
  <c r="F687" i="34"/>
  <c r="G687" i="34"/>
  <c r="H687" i="34"/>
  <c r="I687" i="34"/>
  <c r="J687" i="34"/>
  <c r="K687" i="34"/>
  <c r="L687" i="34"/>
  <c r="M687" i="34"/>
  <c r="N687" i="34"/>
  <c r="O687" i="34"/>
  <c r="A688" i="34"/>
  <c r="B688" i="34"/>
  <c r="C688" i="34"/>
  <c r="D688" i="34"/>
  <c r="E688" i="34"/>
  <c r="F688" i="34"/>
  <c r="G688" i="34"/>
  <c r="H688" i="34"/>
  <c r="I688" i="34"/>
  <c r="J688" i="34"/>
  <c r="K688" i="34"/>
  <c r="L688" i="34"/>
  <c r="M688" i="34"/>
  <c r="N688" i="34"/>
  <c r="O688" i="34"/>
  <c r="A689" i="34"/>
  <c r="B689" i="34"/>
  <c r="C689" i="34"/>
  <c r="D689" i="34"/>
  <c r="E689" i="34"/>
  <c r="F689" i="34"/>
  <c r="G689" i="34"/>
  <c r="H689" i="34"/>
  <c r="I689" i="34"/>
  <c r="J689" i="34"/>
  <c r="K689" i="34"/>
  <c r="L689" i="34"/>
  <c r="M689" i="34"/>
  <c r="N689" i="34"/>
  <c r="O689" i="34"/>
  <c r="A690" i="34"/>
  <c r="B690" i="34"/>
  <c r="C690" i="34"/>
  <c r="D690" i="34"/>
  <c r="E690" i="34"/>
  <c r="F690" i="34"/>
  <c r="G690" i="34"/>
  <c r="H690" i="34"/>
  <c r="I690" i="34"/>
  <c r="J690" i="34"/>
  <c r="K690" i="34"/>
  <c r="L690" i="34"/>
  <c r="M690" i="34"/>
  <c r="N690" i="34"/>
  <c r="O690" i="34"/>
  <c r="A691" i="34"/>
  <c r="B691" i="34"/>
  <c r="C691" i="34"/>
  <c r="D691" i="34"/>
  <c r="E691" i="34"/>
  <c r="F691" i="34"/>
  <c r="G691" i="34"/>
  <c r="H691" i="34"/>
  <c r="I691" i="34"/>
  <c r="J691" i="34"/>
  <c r="K691" i="34"/>
  <c r="L691" i="34"/>
  <c r="M691" i="34"/>
  <c r="N691" i="34"/>
  <c r="O691" i="34"/>
  <c r="A692" i="34"/>
  <c r="B692" i="34"/>
  <c r="C692" i="34"/>
  <c r="D692" i="34"/>
  <c r="E692" i="34"/>
  <c r="F692" i="34"/>
  <c r="G692" i="34"/>
  <c r="H692" i="34"/>
  <c r="I692" i="34"/>
  <c r="J692" i="34"/>
  <c r="K692" i="34"/>
  <c r="L692" i="34"/>
  <c r="M692" i="34"/>
  <c r="N692" i="34"/>
  <c r="O692" i="34"/>
  <c r="A693" i="34"/>
  <c r="B693" i="34"/>
  <c r="C693" i="34"/>
  <c r="D693" i="34"/>
  <c r="E693" i="34"/>
  <c r="F693" i="34"/>
  <c r="G693" i="34"/>
  <c r="H693" i="34"/>
  <c r="I693" i="34"/>
  <c r="J693" i="34"/>
  <c r="K693" i="34"/>
  <c r="L693" i="34"/>
  <c r="M693" i="34"/>
  <c r="N693" i="34"/>
  <c r="O693" i="34"/>
  <c r="A694" i="34"/>
  <c r="B694" i="34"/>
  <c r="C694" i="34"/>
  <c r="D694" i="34"/>
  <c r="E694" i="34"/>
  <c r="F694" i="34"/>
  <c r="G694" i="34"/>
  <c r="H694" i="34"/>
  <c r="I694" i="34"/>
  <c r="J694" i="34"/>
  <c r="K694" i="34"/>
  <c r="L694" i="34"/>
  <c r="M694" i="34"/>
  <c r="N694" i="34"/>
  <c r="O694" i="34"/>
  <c r="A695" i="34"/>
  <c r="B695" i="34"/>
  <c r="C695" i="34"/>
  <c r="D695" i="34"/>
  <c r="E695" i="34"/>
  <c r="F695" i="34"/>
  <c r="G695" i="34"/>
  <c r="H695" i="34"/>
  <c r="I695" i="34"/>
  <c r="J695" i="34"/>
  <c r="K695" i="34"/>
  <c r="L695" i="34"/>
  <c r="M695" i="34"/>
  <c r="N695" i="34"/>
  <c r="O695" i="34"/>
  <c r="A696" i="34"/>
  <c r="B696" i="34"/>
  <c r="C696" i="34"/>
  <c r="D696" i="34"/>
  <c r="E696" i="34"/>
  <c r="F696" i="34"/>
  <c r="G696" i="34"/>
  <c r="H696" i="34"/>
  <c r="I696" i="34"/>
  <c r="J696" i="34"/>
  <c r="K696" i="34"/>
  <c r="L696" i="34"/>
  <c r="M696" i="34"/>
  <c r="N696" i="34"/>
  <c r="O696" i="34"/>
  <c r="A697" i="34"/>
  <c r="B697" i="34"/>
  <c r="C697" i="34"/>
  <c r="D697" i="34"/>
  <c r="E697" i="34"/>
  <c r="F697" i="34"/>
  <c r="G697" i="34"/>
  <c r="H697" i="34"/>
  <c r="I697" i="34"/>
  <c r="J697" i="34"/>
  <c r="K697" i="34"/>
  <c r="L697" i="34"/>
  <c r="M697" i="34"/>
  <c r="N697" i="34"/>
  <c r="O697" i="34"/>
  <c r="A698" i="34"/>
  <c r="B698" i="34"/>
  <c r="C698" i="34"/>
  <c r="D698" i="34"/>
  <c r="E698" i="34"/>
  <c r="F698" i="34"/>
  <c r="G698" i="34"/>
  <c r="H698" i="34"/>
  <c r="I698" i="34"/>
  <c r="J698" i="34"/>
  <c r="K698" i="34"/>
  <c r="L698" i="34"/>
  <c r="M698" i="34"/>
  <c r="N698" i="34"/>
  <c r="O698" i="34"/>
  <c r="A699" i="34"/>
  <c r="B699" i="34"/>
  <c r="C699" i="34"/>
  <c r="D699" i="34"/>
  <c r="E699" i="34"/>
  <c r="F699" i="34"/>
  <c r="G699" i="34"/>
  <c r="H699" i="34"/>
  <c r="I699" i="34"/>
  <c r="J699" i="34"/>
  <c r="K699" i="34"/>
  <c r="L699" i="34"/>
  <c r="M699" i="34"/>
  <c r="N699" i="34"/>
  <c r="O699" i="34"/>
  <c r="A700" i="34"/>
  <c r="B700" i="34"/>
  <c r="C700" i="34"/>
  <c r="D700" i="34"/>
  <c r="E700" i="34"/>
  <c r="F700" i="34"/>
  <c r="G700" i="34"/>
  <c r="H700" i="34"/>
  <c r="I700" i="34"/>
  <c r="J700" i="34"/>
  <c r="K700" i="34"/>
  <c r="L700" i="34"/>
  <c r="M700" i="34"/>
  <c r="N700" i="34"/>
  <c r="O700" i="34"/>
  <c r="A701" i="34"/>
  <c r="B701" i="34"/>
  <c r="C701" i="34"/>
  <c r="D701" i="34"/>
  <c r="E701" i="34"/>
  <c r="F701" i="34"/>
  <c r="G701" i="34"/>
  <c r="H701" i="34"/>
  <c r="I701" i="34"/>
  <c r="J701" i="34"/>
  <c r="K701" i="34"/>
  <c r="L701" i="34"/>
  <c r="M701" i="34"/>
  <c r="N701" i="34"/>
  <c r="O701" i="34"/>
  <c r="A702" i="34"/>
  <c r="B702" i="34"/>
  <c r="C702" i="34"/>
  <c r="D702" i="34"/>
  <c r="E702" i="34"/>
  <c r="F702" i="34"/>
  <c r="G702" i="34"/>
  <c r="H702" i="34"/>
  <c r="I702" i="34"/>
  <c r="J702" i="34"/>
  <c r="K702" i="34"/>
  <c r="L702" i="34"/>
  <c r="M702" i="34"/>
  <c r="N702" i="34"/>
  <c r="O702" i="34"/>
  <c r="A703" i="34"/>
  <c r="B703" i="34"/>
  <c r="C703" i="34"/>
  <c r="D703" i="34"/>
  <c r="E703" i="34"/>
  <c r="F703" i="34"/>
  <c r="G703" i="34"/>
  <c r="H703" i="34"/>
  <c r="I703" i="34"/>
  <c r="J703" i="34"/>
  <c r="K703" i="34"/>
  <c r="L703" i="34"/>
  <c r="M703" i="34"/>
  <c r="N703" i="34"/>
  <c r="O703" i="34"/>
  <c r="A704" i="34"/>
  <c r="B704" i="34"/>
  <c r="C704" i="34"/>
  <c r="D704" i="34"/>
  <c r="E704" i="34"/>
  <c r="F704" i="34"/>
  <c r="G704" i="34"/>
  <c r="H704" i="34"/>
  <c r="I704" i="34"/>
  <c r="J704" i="34"/>
  <c r="K704" i="34"/>
  <c r="L704" i="34"/>
  <c r="M704" i="34"/>
  <c r="N704" i="34"/>
  <c r="O704" i="34"/>
  <c r="A705" i="34"/>
  <c r="B705" i="34"/>
  <c r="C705" i="34"/>
  <c r="D705" i="34"/>
  <c r="E705" i="34"/>
  <c r="F705" i="34"/>
  <c r="G705" i="34"/>
  <c r="H705" i="34"/>
  <c r="I705" i="34"/>
  <c r="J705" i="34"/>
  <c r="K705" i="34"/>
  <c r="L705" i="34"/>
  <c r="M705" i="34"/>
  <c r="N705" i="34"/>
  <c r="O705" i="34"/>
  <c r="A706" i="34"/>
  <c r="B706" i="34"/>
  <c r="C706" i="34"/>
  <c r="D706" i="34"/>
  <c r="E706" i="34"/>
  <c r="F706" i="34"/>
  <c r="G706" i="34"/>
  <c r="H706" i="34"/>
  <c r="I706" i="34"/>
  <c r="J706" i="34"/>
  <c r="K706" i="34"/>
  <c r="L706" i="34"/>
  <c r="M706" i="34"/>
  <c r="N706" i="34"/>
  <c r="O706" i="34"/>
  <c r="A707" i="34"/>
  <c r="B707" i="34"/>
  <c r="C707" i="34"/>
  <c r="D707" i="34"/>
  <c r="E707" i="34"/>
  <c r="F707" i="34"/>
  <c r="G707" i="34"/>
  <c r="H707" i="34"/>
  <c r="I707" i="34"/>
  <c r="J707" i="34"/>
  <c r="K707" i="34"/>
  <c r="L707" i="34"/>
  <c r="M707" i="34"/>
  <c r="N707" i="34"/>
  <c r="O707" i="34"/>
  <c r="A708" i="34"/>
  <c r="B708" i="34"/>
  <c r="C708" i="34"/>
  <c r="D708" i="34"/>
  <c r="E708" i="34"/>
  <c r="F708" i="34"/>
  <c r="G708" i="34"/>
  <c r="H708" i="34"/>
  <c r="I708" i="34"/>
  <c r="J708" i="34"/>
  <c r="K708" i="34"/>
  <c r="L708" i="34"/>
  <c r="M708" i="34"/>
  <c r="N708" i="34"/>
  <c r="O708" i="34"/>
  <c r="A709" i="34"/>
  <c r="B709" i="34"/>
  <c r="C709" i="34"/>
  <c r="D709" i="34"/>
  <c r="E709" i="34"/>
  <c r="F709" i="34"/>
  <c r="G709" i="34"/>
  <c r="H709" i="34"/>
  <c r="I709" i="34"/>
  <c r="J709" i="34"/>
  <c r="K709" i="34"/>
  <c r="L709" i="34"/>
  <c r="M709" i="34"/>
  <c r="N709" i="34"/>
  <c r="O709" i="34"/>
  <c r="A710" i="34"/>
  <c r="B710" i="34"/>
  <c r="C710" i="34"/>
  <c r="D710" i="34"/>
  <c r="E710" i="34"/>
  <c r="F710" i="34"/>
  <c r="G710" i="34"/>
  <c r="H710" i="34"/>
  <c r="I710" i="34"/>
  <c r="J710" i="34"/>
  <c r="K710" i="34"/>
  <c r="L710" i="34"/>
  <c r="M710" i="34"/>
  <c r="N710" i="34"/>
  <c r="O710" i="34"/>
  <c r="A711" i="34"/>
  <c r="B711" i="34"/>
  <c r="C711" i="34"/>
  <c r="D711" i="34"/>
  <c r="E711" i="34"/>
  <c r="F711" i="34"/>
  <c r="G711" i="34"/>
  <c r="H711" i="34"/>
  <c r="I711" i="34"/>
  <c r="J711" i="34"/>
  <c r="K711" i="34"/>
  <c r="L711" i="34"/>
  <c r="M711" i="34"/>
  <c r="N711" i="34"/>
  <c r="O711" i="34"/>
  <c r="A712" i="34"/>
  <c r="B712" i="34"/>
  <c r="C712" i="34"/>
  <c r="D712" i="34"/>
  <c r="E712" i="34"/>
  <c r="F712" i="34"/>
  <c r="G712" i="34"/>
  <c r="H712" i="34"/>
  <c r="I712" i="34"/>
  <c r="J712" i="34"/>
  <c r="K712" i="34"/>
  <c r="L712" i="34"/>
  <c r="M712" i="34"/>
  <c r="N712" i="34"/>
  <c r="O712" i="34"/>
  <c r="A713" i="34"/>
  <c r="B713" i="34"/>
  <c r="C713" i="34"/>
  <c r="D713" i="34"/>
  <c r="E713" i="34"/>
  <c r="F713" i="34"/>
  <c r="G713" i="34"/>
  <c r="H713" i="34"/>
  <c r="I713" i="34"/>
  <c r="J713" i="34"/>
  <c r="K713" i="34"/>
  <c r="L713" i="34"/>
  <c r="M713" i="34"/>
  <c r="N713" i="34"/>
  <c r="O713" i="34"/>
  <c r="A714" i="34"/>
  <c r="B714" i="34"/>
  <c r="C714" i="34"/>
  <c r="D714" i="34"/>
  <c r="E714" i="34"/>
  <c r="F714" i="34"/>
  <c r="G714" i="34"/>
  <c r="H714" i="34"/>
  <c r="I714" i="34"/>
  <c r="J714" i="34"/>
  <c r="K714" i="34"/>
  <c r="L714" i="34"/>
  <c r="M714" i="34"/>
  <c r="N714" i="34"/>
  <c r="O714" i="34"/>
  <c r="A715" i="34"/>
  <c r="B715" i="34"/>
  <c r="C715" i="34"/>
  <c r="D715" i="34"/>
  <c r="E715" i="34"/>
  <c r="F715" i="34"/>
  <c r="G715" i="34"/>
  <c r="H715" i="34"/>
  <c r="I715" i="34"/>
  <c r="J715" i="34"/>
  <c r="K715" i="34"/>
  <c r="L715" i="34"/>
  <c r="M715" i="34"/>
  <c r="N715" i="34"/>
  <c r="O715" i="34"/>
  <c r="A716" i="34"/>
  <c r="B716" i="34"/>
  <c r="C716" i="34"/>
  <c r="D716" i="34"/>
  <c r="E716" i="34"/>
  <c r="F716" i="34"/>
  <c r="G716" i="34"/>
  <c r="H716" i="34"/>
  <c r="I716" i="34"/>
  <c r="J716" i="34"/>
  <c r="K716" i="34"/>
  <c r="L716" i="34"/>
  <c r="M716" i="34"/>
  <c r="N716" i="34"/>
  <c r="O716" i="34"/>
  <c r="A717" i="34"/>
  <c r="B717" i="34"/>
  <c r="C717" i="34"/>
  <c r="D717" i="34"/>
  <c r="E717" i="34"/>
  <c r="F717" i="34"/>
  <c r="G717" i="34"/>
  <c r="H717" i="34"/>
  <c r="I717" i="34"/>
  <c r="J717" i="34"/>
  <c r="K717" i="34"/>
  <c r="L717" i="34"/>
  <c r="M717" i="34"/>
  <c r="N717" i="34"/>
  <c r="O717" i="34"/>
  <c r="A718" i="34"/>
  <c r="B718" i="34"/>
  <c r="C718" i="34"/>
  <c r="D718" i="34"/>
  <c r="E718" i="34"/>
  <c r="F718" i="34"/>
  <c r="G718" i="34"/>
  <c r="H718" i="34"/>
  <c r="I718" i="34"/>
  <c r="J718" i="34"/>
  <c r="K718" i="34"/>
  <c r="L718" i="34"/>
  <c r="M718" i="34"/>
  <c r="N718" i="34"/>
  <c r="O718" i="34"/>
  <c r="A719" i="34"/>
  <c r="B719" i="34"/>
  <c r="C719" i="34"/>
  <c r="D719" i="34"/>
  <c r="E719" i="34"/>
  <c r="F719" i="34"/>
  <c r="G719" i="34"/>
  <c r="H719" i="34"/>
  <c r="I719" i="34"/>
  <c r="J719" i="34"/>
  <c r="K719" i="34"/>
  <c r="L719" i="34"/>
  <c r="M719" i="34"/>
  <c r="N719" i="34"/>
  <c r="O719" i="34"/>
  <c r="A720" i="34"/>
  <c r="B720" i="34"/>
  <c r="C720" i="34"/>
  <c r="D720" i="34"/>
  <c r="E720" i="34"/>
  <c r="F720" i="34"/>
  <c r="G720" i="34"/>
  <c r="H720" i="34"/>
  <c r="I720" i="34"/>
  <c r="J720" i="34"/>
  <c r="K720" i="34"/>
  <c r="L720" i="34"/>
  <c r="M720" i="34"/>
  <c r="N720" i="34"/>
  <c r="O720" i="34"/>
  <c r="A721" i="34"/>
  <c r="B721" i="34"/>
  <c r="C721" i="34"/>
  <c r="D721" i="34"/>
  <c r="E721" i="34"/>
  <c r="F721" i="34"/>
  <c r="G721" i="34"/>
  <c r="H721" i="34"/>
  <c r="I721" i="34"/>
  <c r="J721" i="34"/>
  <c r="K721" i="34"/>
  <c r="L721" i="34"/>
  <c r="M721" i="34"/>
  <c r="N721" i="34"/>
  <c r="O721" i="34"/>
  <c r="A722" i="34"/>
  <c r="B722" i="34"/>
  <c r="C722" i="34"/>
  <c r="D722" i="34"/>
  <c r="E722" i="34"/>
  <c r="F722" i="34"/>
  <c r="G722" i="34"/>
  <c r="H722" i="34"/>
  <c r="I722" i="34"/>
  <c r="J722" i="34"/>
  <c r="K722" i="34"/>
  <c r="L722" i="34"/>
  <c r="M722" i="34"/>
  <c r="N722" i="34"/>
  <c r="O722" i="34"/>
  <c r="A723" i="34"/>
  <c r="B723" i="34"/>
  <c r="C723" i="34"/>
  <c r="D723" i="34"/>
  <c r="E723" i="34"/>
  <c r="F723" i="34"/>
  <c r="G723" i="34"/>
  <c r="H723" i="34"/>
  <c r="I723" i="34"/>
  <c r="J723" i="34"/>
  <c r="K723" i="34"/>
  <c r="L723" i="34"/>
  <c r="M723" i="34"/>
  <c r="N723" i="34"/>
  <c r="O723" i="34"/>
  <c r="A724" i="34"/>
  <c r="B724" i="34"/>
  <c r="C724" i="34"/>
  <c r="D724" i="34"/>
  <c r="E724" i="34"/>
  <c r="F724" i="34"/>
  <c r="G724" i="34"/>
  <c r="H724" i="34"/>
  <c r="I724" i="34"/>
  <c r="J724" i="34"/>
  <c r="K724" i="34"/>
  <c r="L724" i="34"/>
  <c r="M724" i="34"/>
  <c r="N724" i="34"/>
  <c r="O724" i="34"/>
  <c r="A725" i="34"/>
  <c r="B725" i="34"/>
  <c r="C725" i="34"/>
  <c r="D725" i="34"/>
  <c r="E725" i="34"/>
  <c r="F725" i="34"/>
  <c r="G725" i="34"/>
  <c r="H725" i="34"/>
  <c r="I725" i="34"/>
  <c r="J725" i="34"/>
  <c r="K725" i="34"/>
  <c r="L725" i="34"/>
  <c r="M725" i="34"/>
  <c r="N725" i="34"/>
  <c r="O725" i="34"/>
  <c r="A726" i="34"/>
  <c r="B726" i="34"/>
  <c r="C726" i="34"/>
  <c r="D726" i="34"/>
  <c r="E726" i="34"/>
  <c r="F726" i="34"/>
  <c r="G726" i="34"/>
  <c r="H726" i="34"/>
  <c r="I726" i="34"/>
  <c r="J726" i="34"/>
  <c r="K726" i="34"/>
  <c r="L726" i="34"/>
  <c r="M726" i="34"/>
  <c r="N726" i="34"/>
  <c r="O726" i="34"/>
  <c r="A727" i="34"/>
  <c r="B727" i="34"/>
  <c r="C727" i="34"/>
  <c r="D727" i="34"/>
  <c r="E727" i="34"/>
  <c r="F727" i="34"/>
  <c r="G727" i="34"/>
  <c r="H727" i="34"/>
  <c r="I727" i="34"/>
  <c r="J727" i="34"/>
  <c r="K727" i="34"/>
  <c r="L727" i="34"/>
  <c r="M727" i="34"/>
  <c r="N727" i="34"/>
  <c r="O727" i="34"/>
  <c r="A728" i="34"/>
  <c r="B728" i="34"/>
  <c r="C728" i="34"/>
  <c r="D728" i="34"/>
  <c r="E728" i="34"/>
  <c r="F728" i="34"/>
  <c r="G728" i="34"/>
  <c r="H728" i="34"/>
  <c r="I728" i="34"/>
  <c r="J728" i="34"/>
  <c r="K728" i="34"/>
  <c r="L728" i="34"/>
  <c r="M728" i="34"/>
  <c r="N728" i="34"/>
  <c r="O728" i="34"/>
  <c r="A729" i="34"/>
  <c r="B729" i="34"/>
  <c r="C729" i="34"/>
  <c r="D729" i="34"/>
  <c r="E729" i="34"/>
  <c r="F729" i="34"/>
  <c r="G729" i="34"/>
  <c r="H729" i="34"/>
  <c r="I729" i="34"/>
  <c r="J729" i="34"/>
  <c r="K729" i="34"/>
  <c r="L729" i="34"/>
  <c r="M729" i="34"/>
  <c r="N729" i="34"/>
  <c r="O729" i="34"/>
  <c r="A730" i="34"/>
  <c r="B730" i="34"/>
  <c r="C730" i="34"/>
  <c r="D730" i="34"/>
  <c r="E730" i="34"/>
  <c r="F730" i="34"/>
  <c r="G730" i="34"/>
  <c r="H730" i="34"/>
  <c r="I730" i="34"/>
  <c r="J730" i="34"/>
  <c r="K730" i="34"/>
  <c r="L730" i="34"/>
  <c r="M730" i="34"/>
  <c r="N730" i="34"/>
  <c r="O730" i="34"/>
  <c r="A731" i="34"/>
  <c r="B731" i="34"/>
  <c r="C731" i="34"/>
  <c r="D731" i="34"/>
  <c r="E731" i="34"/>
  <c r="F731" i="34"/>
  <c r="G731" i="34"/>
  <c r="H731" i="34"/>
  <c r="I731" i="34"/>
  <c r="J731" i="34"/>
  <c r="K731" i="34"/>
  <c r="L731" i="34"/>
  <c r="M731" i="34"/>
  <c r="N731" i="34"/>
  <c r="O731" i="34"/>
  <c r="A732" i="34"/>
  <c r="B732" i="34"/>
  <c r="C732" i="34"/>
  <c r="D732" i="34"/>
  <c r="E732" i="34"/>
  <c r="F732" i="34"/>
  <c r="G732" i="34"/>
  <c r="H732" i="34"/>
  <c r="I732" i="34"/>
  <c r="J732" i="34"/>
  <c r="K732" i="34"/>
  <c r="L732" i="34"/>
  <c r="M732" i="34"/>
  <c r="N732" i="34"/>
  <c r="O732" i="34"/>
  <c r="A733" i="34"/>
  <c r="B733" i="34"/>
  <c r="C733" i="34"/>
  <c r="D733" i="34"/>
  <c r="E733" i="34"/>
  <c r="F733" i="34"/>
  <c r="G733" i="34"/>
  <c r="H733" i="34"/>
  <c r="I733" i="34"/>
  <c r="J733" i="34"/>
  <c r="K733" i="34"/>
  <c r="L733" i="34"/>
  <c r="M733" i="34"/>
  <c r="N733" i="34"/>
  <c r="O733" i="34"/>
  <c r="A734" i="34"/>
  <c r="B734" i="34"/>
  <c r="C734" i="34"/>
  <c r="D734" i="34"/>
  <c r="E734" i="34"/>
  <c r="F734" i="34"/>
  <c r="G734" i="34"/>
  <c r="H734" i="34"/>
  <c r="I734" i="34"/>
  <c r="J734" i="34"/>
  <c r="K734" i="34"/>
  <c r="L734" i="34"/>
  <c r="M734" i="34"/>
  <c r="N734" i="34"/>
  <c r="O734" i="34"/>
  <c r="A735" i="34"/>
  <c r="B735" i="34"/>
  <c r="C735" i="34"/>
  <c r="D735" i="34"/>
  <c r="E735" i="34"/>
  <c r="F735" i="34"/>
  <c r="G735" i="34"/>
  <c r="H735" i="34"/>
  <c r="I735" i="34"/>
  <c r="J735" i="34"/>
  <c r="K735" i="34"/>
  <c r="L735" i="34"/>
  <c r="M735" i="34"/>
  <c r="N735" i="34"/>
  <c r="O735" i="34"/>
  <c r="A736" i="34"/>
  <c r="B736" i="34"/>
  <c r="C736" i="34"/>
  <c r="D736" i="34"/>
  <c r="E736" i="34"/>
  <c r="F736" i="34"/>
  <c r="G736" i="34"/>
  <c r="H736" i="34"/>
  <c r="I736" i="34"/>
  <c r="J736" i="34"/>
  <c r="K736" i="34"/>
  <c r="L736" i="34"/>
  <c r="M736" i="34"/>
  <c r="N736" i="34"/>
  <c r="O736" i="34"/>
  <c r="A737" i="34"/>
  <c r="B737" i="34"/>
  <c r="C737" i="34"/>
  <c r="D737" i="34"/>
  <c r="E737" i="34"/>
  <c r="F737" i="34"/>
  <c r="G737" i="34"/>
  <c r="H737" i="34"/>
  <c r="I737" i="34"/>
  <c r="J737" i="34"/>
  <c r="K737" i="34"/>
  <c r="L737" i="34"/>
  <c r="M737" i="34"/>
  <c r="N737" i="34"/>
  <c r="O737" i="34"/>
  <c r="A738" i="34"/>
  <c r="B738" i="34"/>
  <c r="C738" i="34"/>
  <c r="D738" i="34"/>
  <c r="E738" i="34"/>
  <c r="F738" i="34"/>
  <c r="G738" i="34"/>
  <c r="H738" i="34"/>
  <c r="I738" i="34"/>
  <c r="J738" i="34"/>
  <c r="K738" i="34"/>
  <c r="L738" i="34"/>
  <c r="M738" i="34"/>
  <c r="N738" i="34"/>
  <c r="O738" i="34"/>
  <c r="A739" i="34"/>
  <c r="B739" i="34"/>
  <c r="C739" i="34"/>
  <c r="D739" i="34"/>
  <c r="E739" i="34"/>
  <c r="F739" i="34"/>
  <c r="G739" i="34"/>
  <c r="H739" i="34"/>
  <c r="I739" i="34"/>
  <c r="J739" i="34"/>
  <c r="K739" i="34"/>
  <c r="L739" i="34"/>
  <c r="M739" i="34"/>
  <c r="N739" i="34"/>
  <c r="O739" i="34"/>
  <c r="A740" i="34"/>
  <c r="B740" i="34"/>
  <c r="C740" i="34"/>
  <c r="D740" i="34"/>
  <c r="E740" i="34"/>
  <c r="F740" i="34"/>
  <c r="G740" i="34"/>
  <c r="H740" i="34"/>
  <c r="I740" i="34"/>
  <c r="J740" i="34"/>
  <c r="K740" i="34"/>
  <c r="L740" i="34"/>
  <c r="M740" i="34"/>
  <c r="N740" i="34"/>
  <c r="O740" i="34"/>
  <c r="A741" i="34"/>
  <c r="B741" i="34"/>
  <c r="C741" i="34"/>
  <c r="D741" i="34"/>
  <c r="E741" i="34"/>
  <c r="F741" i="34"/>
  <c r="G741" i="34"/>
  <c r="H741" i="34"/>
  <c r="I741" i="34"/>
  <c r="J741" i="34"/>
  <c r="K741" i="34"/>
  <c r="L741" i="34"/>
  <c r="M741" i="34"/>
  <c r="N741" i="34"/>
  <c r="O741" i="34"/>
  <c r="A742" i="34"/>
  <c r="B742" i="34"/>
  <c r="C742" i="34"/>
  <c r="D742" i="34"/>
  <c r="E742" i="34"/>
  <c r="F742" i="34"/>
  <c r="G742" i="34"/>
  <c r="H742" i="34"/>
  <c r="I742" i="34"/>
  <c r="J742" i="34"/>
  <c r="K742" i="34"/>
  <c r="L742" i="34"/>
  <c r="M742" i="34"/>
  <c r="N742" i="34"/>
  <c r="O742" i="34"/>
  <c r="A743" i="34"/>
  <c r="B743" i="34"/>
  <c r="C743" i="34"/>
  <c r="D743" i="34"/>
  <c r="E743" i="34"/>
  <c r="F743" i="34"/>
  <c r="G743" i="34"/>
  <c r="H743" i="34"/>
  <c r="I743" i="34"/>
  <c r="J743" i="34"/>
  <c r="K743" i="34"/>
  <c r="L743" i="34"/>
  <c r="M743" i="34"/>
  <c r="N743" i="34"/>
  <c r="O743" i="34"/>
  <c r="A744" i="34"/>
  <c r="B744" i="34"/>
  <c r="C744" i="34"/>
  <c r="D744" i="34"/>
  <c r="E744" i="34"/>
  <c r="F744" i="34"/>
  <c r="G744" i="34"/>
  <c r="H744" i="34"/>
  <c r="I744" i="34"/>
  <c r="J744" i="34"/>
  <c r="K744" i="34"/>
  <c r="L744" i="34"/>
  <c r="M744" i="34"/>
  <c r="N744" i="34"/>
  <c r="O744" i="34"/>
  <c r="A745" i="34"/>
  <c r="B745" i="34"/>
  <c r="C745" i="34"/>
  <c r="D745" i="34"/>
  <c r="E745" i="34"/>
  <c r="F745" i="34"/>
  <c r="G745" i="34"/>
  <c r="H745" i="34"/>
  <c r="I745" i="34"/>
  <c r="J745" i="34"/>
  <c r="K745" i="34"/>
  <c r="L745" i="34"/>
  <c r="M745" i="34"/>
  <c r="N745" i="34"/>
  <c r="O745" i="34"/>
  <c r="A746" i="34"/>
  <c r="B746" i="34"/>
  <c r="C746" i="34"/>
  <c r="D746" i="34"/>
  <c r="E746" i="34"/>
  <c r="F746" i="34"/>
  <c r="G746" i="34"/>
  <c r="H746" i="34"/>
  <c r="I746" i="34"/>
  <c r="J746" i="34"/>
  <c r="K746" i="34"/>
  <c r="L746" i="34"/>
  <c r="M746" i="34"/>
  <c r="N746" i="34"/>
  <c r="O746" i="34"/>
  <c r="A747" i="34"/>
  <c r="B747" i="34"/>
  <c r="C747" i="34"/>
  <c r="D747" i="34"/>
  <c r="E747" i="34"/>
  <c r="F747" i="34"/>
  <c r="G747" i="34"/>
  <c r="H747" i="34"/>
  <c r="I747" i="34"/>
  <c r="J747" i="34"/>
  <c r="K747" i="34"/>
  <c r="L747" i="34"/>
  <c r="M747" i="34"/>
  <c r="N747" i="34"/>
  <c r="O747" i="34"/>
  <c r="A748" i="34"/>
  <c r="B748" i="34"/>
  <c r="C748" i="34"/>
  <c r="D748" i="34"/>
  <c r="E748" i="34"/>
  <c r="F748" i="34"/>
  <c r="G748" i="34"/>
  <c r="H748" i="34"/>
  <c r="I748" i="34"/>
  <c r="J748" i="34"/>
  <c r="K748" i="34"/>
  <c r="L748" i="34"/>
  <c r="M748" i="34"/>
  <c r="N748" i="34"/>
  <c r="O748" i="34"/>
  <c r="A749" i="34"/>
  <c r="B749" i="34"/>
  <c r="C749" i="34"/>
  <c r="D749" i="34"/>
  <c r="E749" i="34"/>
  <c r="F749" i="34"/>
  <c r="G749" i="34"/>
  <c r="H749" i="34"/>
  <c r="I749" i="34"/>
  <c r="J749" i="34"/>
  <c r="K749" i="34"/>
  <c r="L749" i="34"/>
  <c r="M749" i="34"/>
  <c r="N749" i="34"/>
  <c r="O749" i="34"/>
  <c r="A750" i="34"/>
  <c r="B750" i="34"/>
  <c r="C750" i="34"/>
  <c r="D750" i="34"/>
  <c r="E750" i="34"/>
  <c r="F750" i="34"/>
  <c r="G750" i="34"/>
  <c r="H750" i="34"/>
  <c r="I750" i="34"/>
  <c r="J750" i="34"/>
  <c r="K750" i="34"/>
  <c r="L750" i="34"/>
  <c r="M750" i="34"/>
  <c r="N750" i="34"/>
  <c r="O750" i="34"/>
  <c r="A751" i="34"/>
  <c r="B751" i="34"/>
  <c r="C751" i="34"/>
  <c r="D751" i="34"/>
  <c r="E751" i="34"/>
  <c r="F751" i="34"/>
  <c r="G751" i="34"/>
  <c r="H751" i="34"/>
  <c r="I751" i="34"/>
  <c r="J751" i="34"/>
  <c r="K751" i="34"/>
  <c r="L751" i="34"/>
  <c r="M751" i="34"/>
  <c r="N751" i="34"/>
  <c r="O751" i="34"/>
  <c r="A752" i="34"/>
  <c r="B752" i="34"/>
  <c r="C752" i="34"/>
  <c r="D752" i="34"/>
  <c r="E752" i="34"/>
  <c r="F752" i="34"/>
  <c r="G752" i="34"/>
  <c r="H752" i="34"/>
  <c r="I752" i="34"/>
  <c r="J752" i="34"/>
  <c r="K752" i="34"/>
  <c r="L752" i="34"/>
  <c r="M752" i="34"/>
  <c r="N752" i="34"/>
  <c r="O752" i="34"/>
  <c r="A753" i="34"/>
  <c r="B753" i="34"/>
  <c r="C753" i="34"/>
  <c r="D753" i="34"/>
  <c r="E753" i="34"/>
  <c r="F753" i="34"/>
  <c r="G753" i="34"/>
  <c r="H753" i="34"/>
  <c r="I753" i="34"/>
  <c r="J753" i="34"/>
  <c r="K753" i="34"/>
  <c r="L753" i="34"/>
  <c r="M753" i="34"/>
  <c r="N753" i="34"/>
  <c r="O753" i="34"/>
  <c r="A754" i="34"/>
  <c r="B754" i="34"/>
  <c r="C754" i="34"/>
  <c r="D754" i="34"/>
  <c r="E754" i="34"/>
  <c r="F754" i="34"/>
  <c r="G754" i="34"/>
  <c r="H754" i="34"/>
  <c r="I754" i="34"/>
  <c r="J754" i="34"/>
  <c r="K754" i="34"/>
  <c r="L754" i="34"/>
  <c r="M754" i="34"/>
  <c r="N754" i="34"/>
  <c r="O754" i="34"/>
  <c r="A755" i="34"/>
  <c r="B755" i="34"/>
  <c r="C755" i="34"/>
  <c r="D755" i="34"/>
  <c r="E755" i="34"/>
  <c r="F755" i="34"/>
  <c r="G755" i="34"/>
  <c r="H755" i="34"/>
  <c r="I755" i="34"/>
  <c r="J755" i="34"/>
  <c r="K755" i="34"/>
  <c r="L755" i="34"/>
  <c r="M755" i="34"/>
  <c r="N755" i="34"/>
  <c r="O755" i="34"/>
  <c r="A756" i="34"/>
  <c r="B756" i="34"/>
  <c r="C756" i="34"/>
  <c r="D756" i="34"/>
  <c r="E756" i="34"/>
  <c r="F756" i="34"/>
  <c r="G756" i="34"/>
  <c r="H756" i="34"/>
  <c r="I756" i="34"/>
  <c r="J756" i="34"/>
  <c r="K756" i="34"/>
  <c r="L756" i="34"/>
  <c r="M756" i="34"/>
  <c r="N756" i="34"/>
  <c r="O756" i="34"/>
  <c r="A757" i="34"/>
  <c r="B757" i="34"/>
  <c r="C757" i="34"/>
  <c r="D757" i="34"/>
  <c r="E757" i="34"/>
  <c r="F757" i="34"/>
  <c r="G757" i="34"/>
  <c r="H757" i="34"/>
  <c r="I757" i="34"/>
  <c r="J757" i="34"/>
  <c r="K757" i="34"/>
  <c r="L757" i="34"/>
  <c r="M757" i="34"/>
  <c r="N757" i="34"/>
  <c r="O757" i="34"/>
  <c r="A758" i="34"/>
  <c r="B758" i="34"/>
  <c r="C758" i="34"/>
  <c r="D758" i="34"/>
  <c r="E758" i="34"/>
  <c r="F758" i="34"/>
  <c r="G758" i="34"/>
  <c r="H758" i="34"/>
  <c r="I758" i="34"/>
  <c r="J758" i="34"/>
  <c r="K758" i="34"/>
  <c r="L758" i="34"/>
  <c r="M758" i="34"/>
  <c r="N758" i="34"/>
  <c r="O758" i="34"/>
  <c r="A759" i="34"/>
  <c r="B759" i="34"/>
  <c r="C759" i="34"/>
  <c r="D759" i="34"/>
  <c r="E759" i="34"/>
  <c r="F759" i="34"/>
  <c r="G759" i="34"/>
  <c r="H759" i="34"/>
  <c r="I759" i="34"/>
  <c r="J759" i="34"/>
  <c r="K759" i="34"/>
  <c r="L759" i="34"/>
  <c r="M759" i="34"/>
  <c r="N759" i="34"/>
  <c r="O759" i="34"/>
  <c r="A760" i="34"/>
  <c r="B760" i="34"/>
  <c r="C760" i="34"/>
  <c r="D760" i="34"/>
  <c r="E760" i="34"/>
  <c r="F760" i="34"/>
  <c r="G760" i="34"/>
  <c r="H760" i="34"/>
  <c r="I760" i="34"/>
  <c r="J760" i="34"/>
  <c r="K760" i="34"/>
  <c r="L760" i="34"/>
  <c r="M760" i="34"/>
  <c r="N760" i="34"/>
  <c r="O760" i="34"/>
  <c r="A761" i="34"/>
  <c r="B761" i="34"/>
  <c r="C761" i="34"/>
  <c r="D761" i="34"/>
  <c r="E761" i="34"/>
  <c r="F761" i="34"/>
  <c r="G761" i="34"/>
  <c r="H761" i="34"/>
  <c r="I761" i="34"/>
  <c r="J761" i="34"/>
  <c r="K761" i="34"/>
  <c r="L761" i="34"/>
  <c r="M761" i="34"/>
  <c r="N761" i="34"/>
  <c r="O761" i="34"/>
  <c r="A762" i="34"/>
  <c r="B762" i="34"/>
  <c r="C762" i="34"/>
  <c r="D762" i="34"/>
  <c r="E762" i="34"/>
  <c r="F762" i="34"/>
  <c r="G762" i="34"/>
  <c r="H762" i="34"/>
  <c r="I762" i="34"/>
  <c r="J762" i="34"/>
  <c r="K762" i="34"/>
  <c r="L762" i="34"/>
  <c r="M762" i="34"/>
  <c r="N762" i="34"/>
  <c r="O762" i="34"/>
  <c r="A763" i="34"/>
  <c r="B763" i="34"/>
  <c r="C763" i="34"/>
  <c r="D763" i="34"/>
  <c r="E763" i="34"/>
  <c r="F763" i="34"/>
  <c r="G763" i="34"/>
  <c r="H763" i="34"/>
  <c r="I763" i="34"/>
  <c r="J763" i="34"/>
  <c r="K763" i="34"/>
  <c r="L763" i="34"/>
  <c r="M763" i="34"/>
  <c r="N763" i="34"/>
  <c r="O763" i="34"/>
  <c r="A764" i="34"/>
  <c r="B764" i="34"/>
  <c r="C764" i="34"/>
  <c r="D764" i="34"/>
  <c r="E764" i="34"/>
  <c r="F764" i="34"/>
  <c r="G764" i="34"/>
  <c r="H764" i="34"/>
  <c r="I764" i="34"/>
  <c r="J764" i="34"/>
  <c r="K764" i="34"/>
  <c r="L764" i="34"/>
  <c r="M764" i="34"/>
  <c r="N764" i="34"/>
  <c r="O764" i="34"/>
  <c r="A765" i="34"/>
  <c r="B765" i="34"/>
  <c r="C765" i="34"/>
  <c r="D765" i="34"/>
  <c r="E765" i="34"/>
  <c r="F765" i="34"/>
  <c r="G765" i="34"/>
  <c r="H765" i="34"/>
  <c r="I765" i="34"/>
  <c r="J765" i="34"/>
  <c r="K765" i="34"/>
  <c r="L765" i="34"/>
  <c r="M765" i="34"/>
  <c r="N765" i="34"/>
  <c r="O765" i="34"/>
  <c r="A766" i="34"/>
  <c r="B766" i="34"/>
  <c r="C766" i="34"/>
  <c r="D766" i="34"/>
  <c r="E766" i="34"/>
  <c r="F766" i="34"/>
  <c r="G766" i="34"/>
  <c r="H766" i="34"/>
  <c r="I766" i="34"/>
  <c r="J766" i="34"/>
  <c r="K766" i="34"/>
  <c r="L766" i="34"/>
  <c r="M766" i="34"/>
  <c r="N766" i="34"/>
  <c r="O766" i="34"/>
  <c r="A767" i="34"/>
  <c r="B767" i="34"/>
  <c r="C767" i="34"/>
  <c r="D767" i="34"/>
  <c r="E767" i="34"/>
  <c r="F767" i="34"/>
  <c r="G767" i="34"/>
  <c r="H767" i="34"/>
  <c r="I767" i="34"/>
  <c r="J767" i="34"/>
  <c r="K767" i="34"/>
  <c r="L767" i="34"/>
  <c r="M767" i="34"/>
  <c r="N767" i="34"/>
  <c r="O767" i="34"/>
  <c r="A768" i="34"/>
  <c r="B768" i="34"/>
  <c r="C768" i="34"/>
  <c r="D768" i="34"/>
  <c r="E768" i="34"/>
  <c r="F768" i="34"/>
  <c r="G768" i="34"/>
  <c r="H768" i="34"/>
  <c r="I768" i="34"/>
  <c r="J768" i="34"/>
  <c r="K768" i="34"/>
  <c r="L768" i="34"/>
  <c r="M768" i="34"/>
  <c r="N768" i="34"/>
  <c r="O768" i="34"/>
  <c r="A769" i="34"/>
  <c r="B769" i="34"/>
  <c r="C769" i="34"/>
  <c r="D769" i="34"/>
  <c r="E769" i="34"/>
  <c r="F769" i="34"/>
  <c r="G769" i="34"/>
  <c r="H769" i="34"/>
  <c r="I769" i="34"/>
  <c r="J769" i="34"/>
  <c r="K769" i="34"/>
  <c r="L769" i="34"/>
  <c r="M769" i="34"/>
  <c r="N769" i="34"/>
  <c r="O769" i="34"/>
  <c r="A770" i="34"/>
  <c r="B770" i="34"/>
  <c r="C770" i="34"/>
  <c r="D770" i="34"/>
  <c r="E770" i="34"/>
  <c r="F770" i="34"/>
  <c r="G770" i="34"/>
  <c r="H770" i="34"/>
  <c r="I770" i="34"/>
  <c r="J770" i="34"/>
  <c r="K770" i="34"/>
  <c r="L770" i="34"/>
  <c r="M770" i="34"/>
  <c r="N770" i="34"/>
  <c r="O770" i="34"/>
  <c r="A771" i="34"/>
  <c r="B771" i="34"/>
  <c r="C771" i="34"/>
  <c r="D771" i="34"/>
  <c r="E771" i="34"/>
  <c r="F771" i="34"/>
  <c r="G771" i="34"/>
  <c r="H771" i="34"/>
  <c r="I771" i="34"/>
  <c r="J771" i="34"/>
  <c r="K771" i="34"/>
  <c r="L771" i="34"/>
  <c r="M771" i="34"/>
  <c r="N771" i="34"/>
  <c r="O771" i="34"/>
  <c r="A772" i="34"/>
  <c r="B772" i="34"/>
  <c r="C772" i="34"/>
  <c r="D772" i="34"/>
  <c r="E772" i="34"/>
  <c r="F772" i="34"/>
  <c r="G772" i="34"/>
  <c r="H772" i="34"/>
  <c r="I772" i="34"/>
  <c r="J772" i="34"/>
  <c r="K772" i="34"/>
  <c r="L772" i="34"/>
  <c r="M772" i="34"/>
  <c r="N772" i="34"/>
  <c r="O772" i="34"/>
  <c r="A773" i="34"/>
  <c r="B773" i="34"/>
  <c r="C773" i="34"/>
  <c r="D773" i="34"/>
  <c r="E773" i="34"/>
  <c r="F773" i="34"/>
  <c r="G773" i="34"/>
  <c r="H773" i="34"/>
  <c r="I773" i="34"/>
  <c r="J773" i="34"/>
  <c r="K773" i="34"/>
  <c r="L773" i="34"/>
  <c r="M773" i="34"/>
  <c r="N773" i="34"/>
  <c r="O773" i="34"/>
  <c r="A774" i="34"/>
  <c r="B774" i="34"/>
  <c r="C774" i="34"/>
  <c r="D774" i="34"/>
  <c r="E774" i="34"/>
  <c r="F774" i="34"/>
  <c r="G774" i="34"/>
  <c r="H774" i="34"/>
  <c r="I774" i="34"/>
  <c r="J774" i="34"/>
  <c r="K774" i="34"/>
  <c r="L774" i="34"/>
  <c r="M774" i="34"/>
  <c r="N774" i="34"/>
  <c r="O774" i="34"/>
  <c r="A775" i="34"/>
  <c r="B775" i="34"/>
  <c r="C775" i="34"/>
  <c r="D775" i="34"/>
  <c r="E775" i="34"/>
  <c r="F775" i="34"/>
  <c r="G775" i="34"/>
  <c r="H775" i="34"/>
  <c r="I775" i="34"/>
  <c r="J775" i="34"/>
  <c r="K775" i="34"/>
  <c r="L775" i="34"/>
  <c r="M775" i="34"/>
  <c r="N775" i="34"/>
  <c r="O775" i="34"/>
  <c r="A776" i="34"/>
  <c r="B776" i="34"/>
  <c r="C776" i="34"/>
  <c r="D776" i="34"/>
  <c r="E776" i="34"/>
  <c r="F776" i="34"/>
  <c r="G776" i="34"/>
  <c r="H776" i="34"/>
  <c r="I776" i="34"/>
  <c r="J776" i="34"/>
  <c r="K776" i="34"/>
  <c r="L776" i="34"/>
  <c r="M776" i="34"/>
  <c r="N776" i="34"/>
  <c r="O776" i="34"/>
  <c r="A777" i="34"/>
  <c r="B777" i="34"/>
  <c r="C777" i="34"/>
  <c r="D777" i="34"/>
  <c r="E777" i="34"/>
  <c r="F777" i="34"/>
  <c r="G777" i="34"/>
  <c r="H777" i="34"/>
  <c r="I777" i="34"/>
  <c r="J777" i="34"/>
  <c r="K777" i="34"/>
  <c r="L777" i="34"/>
  <c r="M777" i="34"/>
  <c r="N777" i="34"/>
  <c r="O777" i="34"/>
  <c r="A778" i="34"/>
  <c r="B778" i="34"/>
  <c r="C778" i="34"/>
  <c r="D778" i="34"/>
  <c r="E778" i="34"/>
  <c r="F778" i="34"/>
  <c r="G778" i="34"/>
  <c r="H778" i="34"/>
  <c r="I778" i="34"/>
  <c r="J778" i="34"/>
  <c r="K778" i="34"/>
  <c r="L778" i="34"/>
  <c r="M778" i="34"/>
  <c r="N778" i="34"/>
  <c r="O778" i="34"/>
  <c r="A779" i="34"/>
  <c r="B779" i="34"/>
  <c r="C779" i="34"/>
  <c r="D779" i="34"/>
  <c r="E779" i="34"/>
  <c r="F779" i="34"/>
  <c r="G779" i="34"/>
  <c r="H779" i="34"/>
  <c r="I779" i="34"/>
  <c r="J779" i="34"/>
  <c r="K779" i="34"/>
  <c r="L779" i="34"/>
  <c r="M779" i="34"/>
  <c r="N779" i="34"/>
  <c r="O779" i="34"/>
  <c r="A780" i="34"/>
  <c r="B780" i="34"/>
  <c r="C780" i="34"/>
  <c r="D780" i="34"/>
  <c r="E780" i="34"/>
  <c r="F780" i="34"/>
  <c r="G780" i="34"/>
  <c r="H780" i="34"/>
  <c r="I780" i="34"/>
  <c r="J780" i="34"/>
  <c r="K780" i="34"/>
  <c r="L780" i="34"/>
  <c r="M780" i="34"/>
  <c r="N780" i="34"/>
  <c r="O780" i="34"/>
  <c r="A781" i="34"/>
  <c r="B781" i="34"/>
  <c r="C781" i="34"/>
  <c r="D781" i="34"/>
  <c r="E781" i="34"/>
  <c r="F781" i="34"/>
  <c r="G781" i="34"/>
  <c r="H781" i="34"/>
  <c r="I781" i="34"/>
  <c r="J781" i="34"/>
  <c r="K781" i="34"/>
  <c r="L781" i="34"/>
  <c r="M781" i="34"/>
  <c r="N781" i="34"/>
  <c r="O781" i="34"/>
  <c r="A782" i="34"/>
  <c r="B782" i="34"/>
  <c r="C782" i="34"/>
  <c r="D782" i="34"/>
  <c r="E782" i="34"/>
  <c r="F782" i="34"/>
  <c r="G782" i="34"/>
  <c r="H782" i="34"/>
  <c r="I782" i="34"/>
  <c r="J782" i="34"/>
  <c r="K782" i="34"/>
  <c r="L782" i="34"/>
  <c r="M782" i="34"/>
  <c r="N782" i="34"/>
  <c r="O782" i="34"/>
  <c r="A783" i="34"/>
  <c r="B783" i="34"/>
  <c r="C783" i="34"/>
  <c r="D783" i="34"/>
  <c r="E783" i="34"/>
  <c r="F783" i="34"/>
  <c r="G783" i="34"/>
  <c r="H783" i="34"/>
  <c r="I783" i="34"/>
  <c r="J783" i="34"/>
  <c r="K783" i="34"/>
  <c r="L783" i="34"/>
  <c r="M783" i="34"/>
  <c r="N783" i="34"/>
  <c r="O783" i="34"/>
  <c r="A784" i="34"/>
  <c r="B784" i="34"/>
  <c r="C784" i="34"/>
  <c r="D784" i="34"/>
  <c r="E784" i="34"/>
  <c r="F784" i="34"/>
  <c r="G784" i="34"/>
  <c r="H784" i="34"/>
  <c r="I784" i="34"/>
  <c r="J784" i="34"/>
  <c r="K784" i="34"/>
  <c r="L784" i="34"/>
  <c r="M784" i="34"/>
  <c r="N784" i="34"/>
  <c r="O784" i="34"/>
  <c r="A785" i="34"/>
  <c r="B785" i="34"/>
  <c r="C785" i="34"/>
  <c r="D785" i="34"/>
  <c r="E785" i="34"/>
  <c r="F785" i="34"/>
  <c r="G785" i="34"/>
  <c r="H785" i="34"/>
  <c r="I785" i="34"/>
  <c r="J785" i="34"/>
  <c r="K785" i="34"/>
  <c r="L785" i="34"/>
  <c r="M785" i="34"/>
  <c r="N785" i="34"/>
  <c r="O785" i="34"/>
  <c r="A786" i="34"/>
  <c r="B786" i="34"/>
  <c r="C786" i="34"/>
  <c r="D786" i="34"/>
  <c r="E786" i="34"/>
  <c r="F786" i="34"/>
  <c r="G786" i="34"/>
  <c r="H786" i="34"/>
  <c r="I786" i="34"/>
  <c r="J786" i="34"/>
  <c r="K786" i="34"/>
  <c r="L786" i="34"/>
  <c r="M786" i="34"/>
  <c r="N786" i="34"/>
  <c r="O786" i="34"/>
  <c r="A787" i="34"/>
  <c r="B787" i="34"/>
  <c r="C787" i="34"/>
  <c r="D787" i="34"/>
  <c r="E787" i="34"/>
  <c r="F787" i="34"/>
  <c r="G787" i="34"/>
  <c r="H787" i="34"/>
  <c r="I787" i="34"/>
  <c r="J787" i="34"/>
  <c r="K787" i="34"/>
  <c r="L787" i="34"/>
  <c r="M787" i="34"/>
  <c r="N787" i="34"/>
  <c r="O787" i="34"/>
  <c r="A788" i="34"/>
  <c r="B788" i="34"/>
  <c r="C788" i="34"/>
  <c r="D788" i="34"/>
  <c r="E788" i="34"/>
  <c r="F788" i="34"/>
  <c r="G788" i="34"/>
  <c r="H788" i="34"/>
  <c r="I788" i="34"/>
  <c r="J788" i="34"/>
  <c r="K788" i="34"/>
  <c r="L788" i="34"/>
  <c r="M788" i="34"/>
  <c r="N788" i="34"/>
  <c r="O788" i="34"/>
  <c r="A789" i="34"/>
  <c r="B789" i="34"/>
  <c r="C789" i="34"/>
  <c r="D789" i="34"/>
  <c r="E789" i="34"/>
  <c r="F789" i="34"/>
  <c r="G789" i="34"/>
  <c r="H789" i="34"/>
  <c r="I789" i="34"/>
  <c r="J789" i="34"/>
  <c r="K789" i="34"/>
  <c r="L789" i="34"/>
  <c r="M789" i="34"/>
  <c r="N789" i="34"/>
  <c r="O789" i="34"/>
  <c r="A790" i="34"/>
  <c r="B790" i="34"/>
  <c r="C790" i="34"/>
  <c r="D790" i="34"/>
  <c r="E790" i="34"/>
  <c r="F790" i="34"/>
  <c r="G790" i="34"/>
  <c r="H790" i="34"/>
  <c r="I790" i="34"/>
  <c r="J790" i="34"/>
  <c r="K790" i="34"/>
  <c r="L790" i="34"/>
  <c r="M790" i="34"/>
  <c r="N790" i="34"/>
  <c r="O790" i="34"/>
  <c r="A791" i="34"/>
  <c r="B791" i="34"/>
  <c r="C791" i="34"/>
  <c r="D791" i="34"/>
  <c r="E791" i="34"/>
  <c r="F791" i="34"/>
  <c r="G791" i="34"/>
  <c r="H791" i="34"/>
  <c r="I791" i="34"/>
  <c r="J791" i="34"/>
  <c r="K791" i="34"/>
  <c r="L791" i="34"/>
  <c r="M791" i="34"/>
  <c r="N791" i="34"/>
  <c r="O791" i="34"/>
  <c r="A792" i="34"/>
  <c r="B792" i="34"/>
  <c r="C792" i="34"/>
  <c r="D792" i="34"/>
  <c r="E792" i="34"/>
  <c r="F792" i="34"/>
  <c r="G792" i="34"/>
  <c r="H792" i="34"/>
  <c r="I792" i="34"/>
  <c r="J792" i="34"/>
  <c r="K792" i="34"/>
  <c r="L792" i="34"/>
  <c r="M792" i="34"/>
  <c r="N792" i="34"/>
  <c r="O792" i="34"/>
  <c r="A793" i="34"/>
  <c r="B793" i="34"/>
  <c r="C793" i="34"/>
  <c r="D793" i="34"/>
  <c r="E793" i="34"/>
  <c r="F793" i="34"/>
  <c r="G793" i="34"/>
  <c r="H793" i="34"/>
  <c r="I793" i="34"/>
  <c r="J793" i="34"/>
  <c r="K793" i="34"/>
  <c r="L793" i="34"/>
  <c r="M793" i="34"/>
  <c r="N793" i="34"/>
  <c r="O793" i="34"/>
  <c r="A794" i="34"/>
  <c r="B794" i="34"/>
  <c r="C794" i="34"/>
  <c r="D794" i="34"/>
  <c r="E794" i="34"/>
  <c r="F794" i="34"/>
  <c r="G794" i="34"/>
  <c r="H794" i="34"/>
  <c r="I794" i="34"/>
  <c r="J794" i="34"/>
  <c r="K794" i="34"/>
  <c r="L794" i="34"/>
  <c r="M794" i="34"/>
  <c r="N794" i="34"/>
  <c r="O794" i="34"/>
  <c r="A795" i="34"/>
  <c r="B795" i="34"/>
  <c r="C795" i="34"/>
  <c r="D795" i="34"/>
  <c r="E795" i="34"/>
  <c r="F795" i="34"/>
  <c r="G795" i="34"/>
  <c r="H795" i="34"/>
  <c r="I795" i="34"/>
  <c r="J795" i="34"/>
  <c r="K795" i="34"/>
  <c r="L795" i="34"/>
  <c r="M795" i="34"/>
  <c r="N795" i="34"/>
  <c r="O795" i="34"/>
  <c r="A796" i="34"/>
  <c r="B796" i="34"/>
  <c r="C796" i="34"/>
  <c r="D796" i="34"/>
  <c r="E796" i="34"/>
  <c r="F796" i="34"/>
  <c r="G796" i="34"/>
  <c r="H796" i="34"/>
  <c r="I796" i="34"/>
  <c r="J796" i="34"/>
  <c r="K796" i="34"/>
  <c r="L796" i="34"/>
  <c r="M796" i="34"/>
  <c r="N796" i="34"/>
  <c r="O796" i="34"/>
  <c r="A797" i="34"/>
  <c r="B797" i="34"/>
  <c r="C797" i="34"/>
  <c r="D797" i="34"/>
  <c r="E797" i="34"/>
  <c r="F797" i="34"/>
  <c r="G797" i="34"/>
  <c r="H797" i="34"/>
  <c r="I797" i="34"/>
  <c r="J797" i="34"/>
  <c r="K797" i="34"/>
  <c r="L797" i="34"/>
  <c r="M797" i="34"/>
  <c r="N797" i="34"/>
  <c r="O797" i="34"/>
  <c r="A798" i="34"/>
  <c r="B798" i="34"/>
  <c r="C798" i="34"/>
  <c r="D798" i="34"/>
  <c r="E798" i="34"/>
  <c r="F798" i="34"/>
  <c r="G798" i="34"/>
  <c r="H798" i="34"/>
  <c r="I798" i="34"/>
  <c r="J798" i="34"/>
  <c r="K798" i="34"/>
  <c r="L798" i="34"/>
  <c r="M798" i="34"/>
  <c r="N798" i="34"/>
  <c r="O798" i="34"/>
  <c r="A799" i="34"/>
  <c r="B799" i="34"/>
  <c r="C799" i="34"/>
  <c r="D799" i="34"/>
  <c r="E799" i="34"/>
  <c r="F799" i="34"/>
  <c r="G799" i="34"/>
  <c r="H799" i="34"/>
  <c r="I799" i="34"/>
  <c r="J799" i="34"/>
  <c r="K799" i="34"/>
  <c r="L799" i="34"/>
  <c r="M799" i="34"/>
  <c r="N799" i="34"/>
  <c r="O799" i="34"/>
  <c r="A800" i="34"/>
  <c r="B800" i="34"/>
  <c r="C800" i="34"/>
  <c r="D800" i="34"/>
  <c r="E800" i="34"/>
  <c r="F800" i="34"/>
  <c r="G800" i="34"/>
  <c r="H800" i="34"/>
  <c r="I800" i="34"/>
  <c r="J800" i="34"/>
  <c r="K800" i="34"/>
  <c r="L800" i="34"/>
  <c r="M800" i="34"/>
  <c r="N800" i="34"/>
  <c r="O800" i="34"/>
  <c r="A801" i="34"/>
  <c r="B801" i="34"/>
  <c r="C801" i="34"/>
  <c r="D801" i="34"/>
  <c r="E801" i="34"/>
  <c r="F801" i="34"/>
  <c r="G801" i="34"/>
  <c r="H801" i="34"/>
  <c r="I801" i="34"/>
  <c r="J801" i="34"/>
  <c r="K801" i="34"/>
  <c r="L801" i="34"/>
  <c r="M801" i="34"/>
  <c r="N801" i="34"/>
  <c r="O801" i="34"/>
  <c r="A802" i="34"/>
  <c r="B802" i="34"/>
  <c r="C802" i="34"/>
  <c r="D802" i="34"/>
  <c r="E802" i="34"/>
  <c r="F802" i="34"/>
  <c r="G802" i="34"/>
  <c r="H802" i="34"/>
  <c r="I802" i="34"/>
  <c r="J802" i="34"/>
  <c r="K802" i="34"/>
  <c r="L802" i="34"/>
  <c r="M802" i="34"/>
  <c r="N802" i="34"/>
  <c r="O802" i="34"/>
  <c r="A803" i="34"/>
  <c r="B803" i="34"/>
  <c r="C803" i="34"/>
  <c r="D803" i="34"/>
  <c r="E803" i="34"/>
  <c r="F803" i="34"/>
  <c r="G803" i="34"/>
  <c r="H803" i="34"/>
  <c r="I803" i="34"/>
  <c r="J803" i="34"/>
  <c r="K803" i="34"/>
  <c r="L803" i="34"/>
  <c r="M803" i="34"/>
  <c r="N803" i="34"/>
  <c r="O803" i="34"/>
  <c r="A804" i="34"/>
  <c r="B804" i="34"/>
  <c r="C804" i="34"/>
  <c r="D804" i="34"/>
  <c r="E804" i="34"/>
  <c r="F804" i="34"/>
  <c r="G804" i="34"/>
  <c r="H804" i="34"/>
  <c r="I804" i="34"/>
  <c r="J804" i="34"/>
  <c r="K804" i="34"/>
  <c r="L804" i="34"/>
  <c r="M804" i="34"/>
  <c r="N804" i="34"/>
  <c r="O804" i="34"/>
  <c r="A805" i="34"/>
  <c r="B805" i="34"/>
  <c r="C805" i="34"/>
  <c r="D805" i="34"/>
  <c r="E805" i="34"/>
  <c r="F805" i="34"/>
  <c r="G805" i="34"/>
  <c r="H805" i="34"/>
  <c r="I805" i="34"/>
  <c r="J805" i="34"/>
  <c r="K805" i="34"/>
  <c r="L805" i="34"/>
  <c r="M805" i="34"/>
  <c r="N805" i="34"/>
  <c r="O805" i="34"/>
  <c r="A806" i="34"/>
  <c r="B806" i="34"/>
  <c r="C806" i="34"/>
  <c r="D806" i="34"/>
  <c r="E806" i="34"/>
  <c r="F806" i="34"/>
  <c r="G806" i="34"/>
  <c r="H806" i="34"/>
  <c r="I806" i="34"/>
  <c r="J806" i="34"/>
  <c r="K806" i="34"/>
  <c r="L806" i="34"/>
  <c r="M806" i="34"/>
  <c r="N806" i="34"/>
  <c r="O806" i="34"/>
  <c r="A807" i="34"/>
  <c r="B807" i="34"/>
  <c r="C807" i="34"/>
  <c r="D807" i="34"/>
  <c r="E807" i="34"/>
  <c r="F807" i="34"/>
  <c r="G807" i="34"/>
  <c r="H807" i="34"/>
  <c r="I807" i="34"/>
  <c r="J807" i="34"/>
  <c r="K807" i="34"/>
  <c r="L807" i="34"/>
  <c r="M807" i="34"/>
  <c r="N807" i="34"/>
  <c r="O807" i="34"/>
  <c r="A808" i="34"/>
  <c r="B808" i="34"/>
  <c r="C808" i="34"/>
  <c r="D808" i="34"/>
  <c r="E808" i="34"/>
  <c r="F808" i="34"/>
  <c r="G808" i="34"/>
  <c r="H808" i="34"/>
  <c r="I808" i="34"/>
  <c r="J808" i="34"/>
  <c r="K808" i="34"/>
  <c r="L808" i="34"/>
  <c r="M808" i="34"/>
  <c r="N808" i="34"/>
  <c r="O808" i="34"/>
  <c r="A809" i="34"/>
  <c r="B809" i="34"/>
  <c r="C809" i="34"/>
  <c r="D809" i="34"/>
  <c r="E809" i="34"/>
  <c r="F809" i="34"/>
  <c r="G809" i="34"/>
  <c r="H809" i="34"/>
  <c r="I809" i="34"/>
  <c r="J809" i="34"/>
  <c r="K809" i="34"/>
  <c r="L809" i="34"/>
  <c r="M809" i="34"/>
  <c r="N809" i="34"/>
  <c r="O809" i="34"/>
  <c r="A810" i="34"/>
  <c r="B810" i="34"/>
  <c r="C810" i="34"/>
  <c r="D810" i="34"/>
  <c r="E810" i="34"/>
  <c r="F810" i="34"/>
  <c r="G810" i="34"/>
  <c r="H810" i="34"/>
  <c r="I810" i="34"/>
  <c r="J810" i="34"/>
  <c r="K810" i="34"/>
  <c r="L810" i="34"/>
  <c r="M810" i="34"/>
  <c r="N810" i="34"/>
  <c r="O810" i="34"/>
  <c r="A811" i="34"/>
  <c r="B811" i="34"/>
  <c r="C811" i="34"/>
  <c r="D811" i="34"/>
  <c r="E811" i="34"/>
  <c r="F811" i="34"/>
  <c r="G811" i="34"/>
  <c r="H811" i="34"/>
  <c r="I811" i="34"/>
  <c r="J811" i="34"/>
  <c r="K811" i="34"/>
  <c r="L811" i="34"/>
  <c r="M811" i="34"/>
  <c r="N811" i="34"/>
  <c r="O811" i="34"/>
  <c r="A812" i="34"/>
  <c r="B812" i="34"/>
  <c r="C812" i="34"/>
  <c r="D812" i="34"/>
  <c r="E812" i="34"/>
  <c r="F812" i="34"/>
  <c r="G812" i="34"/>
  <c r="H812" i="34"/>
  <c r="I812" i="34"/>
  <c r="J812" i="34"/>
  <c r="K812" i="34"/>
  <c r="L812" i="34"/>
  <c r="M812" i="34"/>
  <c r="N812" i="34"/>
  <c r="O812" i="34"/>
  <c r="A813" i="34"/>
  <c r="B813" i="34"/>
  <c r="C813" i="34"/>
  <c r="D813" i="34"/>
  <c r="E813" i="34"/>
  <c r="F813" i="34"/>
  <c r="G813" i="34"/>
  <c r="H813" i="34"/>
  <c r="I813" i="34"/>
  <c r="J813" i="34"/>
  <c r="K813" i="34"/>
  <c r="L813" i="34"/>
  <c r="M813" i="34"/>
  <c r="N813" i="34"/>
  <c r="O813" i="34"/>
  <c r="A814" i="34"/>
  <c r="B814" i="34"/>
  <c r="C814" i="34"/>
  <c r="D814" i="34"/>
  <c r="E814" i="34"/>
  <c r="F814" i="34"/>
  <c r="G814" i="34"/>
  <c r="H814" i="34"/>
  <c r="I814" i="34"/>
  <c r="J814" i="34"/>
  <c r="K814" i="34"/>
  <c r="L814" i="34"/>
  <c r="M814" i="34"/>
  <c r="N814" i="34"/>
  <c r="O814" i="34"/>
  <c r="A815" i="34"/>
  <c r="B815" i="34"/>
  <c r="C815" i="34"/>
  <c r="D815" i="34"/>
  <c r="E815" i="34"/>
  <c r="F815" i="34"/>
  <c r="G815" i="34"/>
  <c r="H815" i="34"/>
  <c r="I815" i="34"/>
  <c r="J815" i="34"/>
  <c r="K815" i="34"/>
  <c r="L815" i="34"/>
  <c r="M815" i="34"/>
  <c r="N815" i="34"/>
  <c r="O815" i="34"/>
  <c r="A816" i="34"/>
  <c r="B816" i="34"/>
  <c r="C816" i="34"/>
  <c r="D816" i="34"/>
  <c r="E816" i="34"/>
  <c r="F816" i="34"/>
  <c r="G816" i="34"/>
  <c r="H816" i="34"/>
  <c r="I816" i="34"/>
  <c r="J816" i="34"/>
  <c r="K816" i="34"/>
  <c r="L816" i="34"/>
  <c r="M816" i="34"/>
  <c r="N816" i="34"/>
  <c r="O816" i="34"/>
  <c r="A817" i="34"/>
  <c r="B817" i="34"/>
  <c r="C817" i="34"/>
  <c r="D817" i="34"/>
  <c r="E817" i="34"/>
  <c r="F817" i="34"/>
  <c r="G817" i="34"/>
  <c r="H817" i="34"/>
  <c r="I817" i="34"/>
  <c r="J817" i="34"/>
  <c r="K817" i="34"/>
  <c r="L817" i="34"/>
  <c r="M817" i="34"/>
  <c r="N817" i="34"/>
  <c r="O817" i="34"/>
  <c r="A818" i="34"/>
  <c r="B818" i="34"/>
  <c r="C818" i="34"/>
  <c r="D818" i="34"/>
  <c r="E818" i="34"/>
  <c r="F818" i="34"/>
  <c r="G818" i="34"/>
  <c r="H818" i="34"/>
  <c r="I818" i="34"/>
  <c r="J818" i="34"/>
  <c r="K818" i="34"/>
  <c r="L818" i="34"/>
  <c r="M818" i="34"/>
  <c r="N818" i="34"/>
  <c r="O818" i="34"/>
  <c r="A819" i="34"/>
  <c r="B819" i="34"/>
  <c r="C819" i="34"/>
  <c r="D819" i="34"/>
  <c r="E819" i="34"/>
  <c r="F819" i="34"/>
  <c r="G819" i="34"/>
  <c r="H819" i="34"/>
  <c r="I819" i="34"/>
  <c r="J819" i="34"/>
  <c r="K819" i="34"/>
  <c r="L819" i="34"/>
  <c r="M819" i="34"/>
  <c r="N819" i="34"/>
  <c r="O819" i="34"/>
  <c r="A820" i="34"/>
  <c r="B820" i="34"/>
  <c r="C820" i="34"/>
  <c r="D820" i="34"/>
  <c r="E820" i="34"/>
  <c r="F820" i="34"/>
  <c r="G820" i="34"/>
  <c r="H820" i="34"/>
  <c r="I820" i="34"/>
  <c r="J820" i="34"/>
  <c r="K820" i="34"/>
  <c r="L820" i="34"/>
  <c r="M820" i="34"/>
  <c r="N820" i="34"/>
  <c r="O820" i="34"/>
  <c r="A821" i="34"/>
  <c r="B821" i="34"/>
  <c r="C821" i="34"/>
  <c r="D821" i="34"/>
  <c r="E821" i="34"/>
  <c r="F821" i="34"/>
  <c r="G821" i="34"/>
  <c r="H821" i="34"/>
  <c r="I821" i="34"/>
  <c r="J821" i="34"/>
  <c r="K821" i="34"/>
  <c r="L821" i="34"/>
  <c r="M821" i="34"/>
  <c r="N821" i="34"/>
  <c r="O821" i="34"/>
  <c r="A822" i="34"/>
  <c r="B822" i="34"/>
  <c r="C822" i="34"/>
  <c r="D822" i="34"/>
  <c r="E822" i="34"/>
  <c r="F822" i="34"/>
  <c r="G822" i="34"/>
  <c r="H822" i="34"/>
  <c r="I822" i="34"/>
  <c r="J822" i="34"/>
  <c r="K822" i="34"/>
  <c r="L822" i="34"/>
  <c r="M822" i="34"/>
  <c r="N822" i="34"/>
  <c r="O822" i="34"/>
  <c r="A823" i="34"/>
  <c r="B823" i="34"/>
  <c r="C823" i="34"/>
  <c r="D823" i="34"/>
  <c r="E823" i="34"/>
  <c r="F823" i="34"/>
  <c r="G823" i="34"/>
  <c r="H823" i="34"/>
  <c r="I823" i="34"/>
  <c r="J823" i="34"/>
  <c r="K823" i="34"/>
  <c r="L823" i="34"/>
  <c r="M823" i="34"/>
  <c r="N823" i="34"/>
  <c r="O823" i="34"/>
  <c r="A824" i="34"/>
  <c r="B824" i="34"/>
  <c r="C824" i="34"/>
  <c r="D824" i="34"/>
  <c r="E824" i="34"/>
  <c r="F824" i="34"/>
  <c r="G824" i="34"/>
  <c r="H824" i="34"/>
  <c r="I824" i="34"/>
  <c r="J824" i="34"/>
  <c r="K824" i="34"/>
  <c r="L824" i="34"/>
  <c r="M824" i="34"/>
  <c r="N824" i="34"/>
  <c r="O824" i="34"/>
  <c r="A825" i="34"/>
  <c r="B825" i="34"/>
  <c r="C825" i="34"/>
  <c r="D825" i="34"/>
  <c r="E825" i="34"/>
  <c r="F825" i="34"/>
  <c r="G825" i="34"/>
  <c r="H825" i="34"/>
  <c r="I825" i="34"/>
  <c r="J825" i="34"/>
  <c r="K825" i="34"/>
  <c r="L825" i="34"/>
  <c r="M825" i="34"/>
  <c r="N825" i="34"/>
  <c r="O825" i="34"/>
  <c r="A826" i="34"/>
  <c r="B826" i="34"/>
  <c r="C826" i="34"/>
  <c r="D826" i="34"/>
  <c r="E826" i="34"/>
  <c r="F826" i="34"/>
  <c r="G826" i="34"/>
  <c r="H826" i="34"/>
  <c r="I826" i="34"/>
  <c r="J826" i="34"/>
  <c r="K826" i="34"/>
  <c r="L826" i="34"/>
  <c r="M826" i="34"/>
  <c r="N826" i="34"/>
  <c r="O826" i="34"/>
  <c r="A827" i="34"/>
  <c r="B827" i="34"/>
  <c r="C827" i="34"/>
  <c r="D827" i="34"/>
  <c r="E827" i="34"/>
  <c r="F827" i="34"/>
  <c r="G827" i="34"/>
  <c r="H827" i="34"/>
  <c r="I827" i="34"/>
  <c r="J827" i="34"/>
  <c r="K827" i="34"/>
  <c r="L827" i="34"/>
  <c r="M827" i="34"/>
  <c r="N827" i="34"/>
  <c r="O827" i="34"/>
  <c r="A828" i="34"/>
  <c r="B828" i="34"/>
  <c r="C828" i="34"/>
  <c r="D828" i="34"/>
  <c r="E828" i="34"/>
  <c r="F828" i="34"/>
  <c r="G828" i="34"/>
  <c r="H828" i="34"/>
  <c r="I828" i="34"/>
  <c r="J828" i="34"/>
  <c r="K828" i="34"/>
  <c r="L828" i="34"/>
  <c r="M828" i="34"/>
  <c r="N828" i="34"/>
  <c r="O828" i="34"/>
  <c r="A829" i="34"/>
  <c r="B829" i="34"/>
  <c r="C829" i="34"/>
  <c r="D829" i="34"/>
  <c r="E829" i="34"/>
  <c r="F829" i="34"/>
  <c r="G829" i="34"/>
  <c r="H829" i="34"/>
  <c r="I829" i="34"/>
  <c r="J829" i="34"/>
  <c r="K829" i="34"/>
  <c r="L829" i="34"/>
  <c r="M829" i="34"/>
  <c r="N829" i="34"/>
  <c r="O829" i="34"/>
  <c r="A830" i="34"/>
  <c r="B830" i="34"/>
  <c r="C830" i="34"/>
  <c r="D830" i="34"/>
  <c r="E830" i="34"/>
  <c r="F830" i="34"/>
  <c r="G830" i="34"/>
  <c r="H830" i="34"/>
  <c r="I830" i="34"/>
  <c r="J830" i="34"/>
  <c r="K830" i="34"/>
  <c r="L830" i="34"/>
  <c r="M830" i="34"/>
  <c r="N830" i="34"/>
  <c r="O830" i="34"/>
  <c r="A831" i="34"/>
  <c r="B831" i="34"/>
  <c r="C831" i="34"/>
  <c r="D831" i="34"/>
  <c r="E831" i="34"/>
  <c r="F831" i="34"/>
  <c r="G831" i="34"/>
  <c r="H831" i="34"/>
  <c r="I831" i="34"/>
  <c r="J831" i="34"/>
  <c r="K831" i="34"/>
  <c r="L831" i="34"/>
  <c r="M831" i="34"/>
  <c r="N831" i="34"/>
  <c r="O831" i="34"/>
  <c r="A832" i="34"/>
  <c r="B832" i="34"/>
  <c r="C832" i="34"/>
  <c r="D832" i="34"/>
  <c r="E832" i="34"/>
  <c r="F832" i="34"/>
  <c r="G832" i="34"/>
  <c r="H832" i="34"/>
  <c r="I832" i="34"/>
  <c r="J832" i="34"/>
  <c r="K832" i="34"/>
  <c r="L832" i="34"/>
  <c r="M832" i="34"/>
  <c r="N832" i="34"/>
  <c r="O832" i="34"/>
  <c r="A833" i="34"/>
  <c r="B833" i="34"/>
  <c r="C833" i="34"/>
  <c r="D833" i="34"/>
  <c r="E833" i="34"/>
  <c r="F833" i="34"/>
  <c r="G833" i="34"/>
  <c r="H833" i="34"/>
  <c r="I833" i="34"/>
  <c r="J833" i="34"/>
  <c r="K833" i="34"/>
  <c r="L833" i="34"/>
  <c r="M833" i="34"/>
  <c r="N833" i="34"/>
  <c r="O833" i="34"/>
  <c r="A834" i="34"/>
  <c r="B834" i="34"/>
  <c r="C834" i="34"/>
  <c r="D834" i="34"/>
  <c r="E834" i="34"/>
  <c r="F834" i="34"/>
  <c r="G834" i="34"/>
  <c r="H834" i="34"/>
  <c r="I834" i="34"/>
  <c r="J834" i="34"/>
  <c r="K834" i="34"/>
  <c r="L834" i="34"/>
  <c r="M834" i="34"/>
  <c r="N834" i="34"/>
  <c r="O834" i="34"/>
  <c r="A835" i="34"/>
  <c r="B835" i="34"/>
  <c r="C835" i="34"/>
  <c r="D835" i="34"/>
  <c r="E835" i="34"/>
  <c r="F835" i="34"/>
  <c r="G835" i="34"/>
  <c r="H835" i="34"/>
  <c r="I835" i="34"/>
  <c r="J835" i="34"/>
  <c r="K835" i="34"/>
  <c r="L835" i="34"/>
  <c r="M835" i="34"/>
  <c r="N835" i="34"/>
  <c r="O835" i="34"/>
  <c r="A836" i="34"/>
  <c r="B836" i="34"/>
  <c r="C836" i="34"/>
  <c r="D836" i="34"/>
  <c r="E836" i="34"/>
  <c r="F836" i="34"/>
  <c r="G836" i="34"/>
  <c r="H836" i="34"/>
  <c r="I836" i="34"/>
  <c r="J836" i="34"/>
  <c r="K836" i="34"/>
  <c r="L836" i="34"/>
  <c r="M836" i="34"/>
  <c r="N836" i="34"/>
  <c r="O836" i="34"/>
  <c r="A837" i="34"/>
  <c r="B837" i="34"/>
  <c r="C837" i="34"/>
  <c r="D837" i="34"/>
  <c r="E837" i="34"/>
  <c r="F837" i="34"/>
  <c r="G837" i="34"/>
  <c r="H837" i="34"/>
  <c r="I837" i="34"/>
  <c r="J837" i="34"/>
  <c r="K837" i="34"/>
  <c r="L837" i="34"/>
  <c r="M837" i="34"/>
  <c r="N837" i="34"/>
  <c r="O837" i="34"/>
  <c r="A838" i="34"/>
  <c r="B838" i="34"/>
  <c r="C838" i="34"/>
  <c r="D838" i="34"/>
  <c r="E838" i="34"/>
  <c r="F838" i="34"/>
  <c r="G838" i="34"/>
  <c r="H838" i="34"/>
  <c r="I838" i="34"/>
  <c r="J838" i="34"/>
  <c r="K838" i="34"/>
  <c r="L838" i="34"/>
  <c r="M838" i="34"/>
  <c r="N838" i="34"/>
  <c r="O838" i="34"/>
  <c r="A839" i="34"/>
  <c r="B839" i="34"/>
  <c r="C839" i="34"/>
  <c r="D839" i="34"/>
  <c r="E839" i="34"/>
  <c r="F839" i="34"/>
  <c r="G839" i="34"/>
  <c r="H839" i="34"/>
  <c r="I839" i="34"/>
  <c r="J839" i="34"/>
  <c r="K839" i="34"/>
  <c r="L839" i="34"/>
  <c r="M839" i="34"/>
  <c r="N839" i="34"/>
  <c r="O839" i="34"/>
  <c r="A840" i="34"/>
  <c r="B840" i="34"/>
  <c r="C840" i="34"/>
  <c r="D840" i="34"/>
  <c r="E840" i="34"/>
  <c r="F840" i="34"/>
  <c r="G840" i="34"/>
  <c r="H840" i="34"/>
  <c r="I840" i="34"/>
  <c r="J840" i="34"/>
  <c r="K840" i="34"/>
  <c r="L840" i="34"/>
  <c r="M840" i="34"/>
  <c r="N840" i="34"/>
  <c r="O840" i="34"/>
  <c r="A841" i="34"/>
  <c r="B841" i="34"/>
  <c r="C841" i="34"/>
  <c r="D841" i="34"/>
  <c r="E841" i="34"/>
  <c r="F841" i="34"/>
  <c r="G841" i="34"/>
  <c r="H841" i="34"/>
  <c r="I841" i="34"/>
  <c r="J841" i="34"/>
  <c r="K841" i="34"/>
  <c r="L841" i="34"/>
  <c r="M841" i="34"/>
  <c r="N841" i="34"/>
  <c r="O841" i="34"/>
  <c r="A842" i="34"/>
  <c r="B842" i="34"/>
  <c r="C842" i="34"/>
  <c r="D842" i="34"/>
  <c r="E842" i="34"/>
  <c r="F842" i="34"/>
  <c r="G842" i="34"/>
  <c r="H842" i="34"/>
  <c r="I842" i="34"/>
  <c r="J842" i="34"/>
  <c r="K842" i="34"/>
  <c r="L842" i="34"/>
  <c r="M842" i="34"/>
  <c r="N842" i="34"/>
  <c r="O842" i="34"/>
  <c r="A843" i="34"/>
  <c r="B843" i="34"/>
  <c r="C843" i="34"/>
  <c r="D843" i="34"/>
  <c r="E843" i="34"/>
  <c r="F843" i="34"/>
  <c r="G843" i="34"/>
  <c r="H843" i="34"/>
  <c r="I843" i="34"/>
  <c r="J843" i="34"/>
  <c r="K843" i="34"/>
  <c r="L843" i="34"/>
  <c r="M843" i="34"/>
  <c r="N843" i="34"/>
  <c r="O843" i="34"/>
  <c r="A844" i="34"/>
  <c r="B844" i="34"/>
  <c r="C844" i="34"/>
  <c r="D844" i="34"/>
  <c r="E844" i="34"/>
  <c r="F844" i="34"/>
  <c r="G844" i="34"/>
  <c r="H844" i="34"/>
  <c r="I844" i="34"/>
  <c r="J844" i="34"/>
  <c r="K844" i="34"/>
  <c r="L844" i="34"/>
  <c r="M844" i="34"/>
  <c r="N844" i="34"/>
  <c r="O844" i="34"/>
  <c r="A845" i="34"/>
  <c r="B845" i="34"/>
  <c r="C845" i="34"/>
  <c r="D845" i="34"/>
  <c r="E845" i="34"/>
  <c r="F845" i="34"/>
  <c r="G845" i="34"/>
  <c r="H845" i="34"/>
  <c r="I845" i="34"/>
  <c r="J845" i="34"/>
  <c r="K845" i="34"/>
  <c r="L845" i="34"/>
  <c r="M845" i="34"/>
  <c r="N845" i="34"/>
  <c r="O845" i="34"/>
  <c r="A846" i="34"/>
  <c r="B846" i="34"/>
  <c r="C846" i="34"/>
  <c r="D846" i="34"/>
  <c r="E846" i="34"/>
  <c r="F846" i="34"/>
  <c r="G846" i="34"/>
  <c r="H846" i="34"/>
  <c r="I846" i="34"/>
  <c r="J846" i="34"/>
  <c r="K846" i="34"/>
  <c r="L846" i="34"/>
  <c r="M846" i="34"/>
  <c r="N846" i="34"/>
  <c r="O846" i="34"/>
  <c r="A847" i="34"/>
  <c r="B847" i="34"/>
  <c r="C847" i="34"/>
  <c r="D847" i="34"/>
  <c r="E847" i="34"/>
  <c r="F847" i="34"/>
  <c r="G847" i="34"/>
  <c r="H847" i="34"/>
  <c r="I847" i="34"/>
  <c r="J847" i="34"/>
  <c r="K847" i="34"/>
  <c r="L847" i="34"/>
  <c r="M847" i="34"/>
  <c r="N847" i="34"/>
  <c r="O847" i="34"/>
  <c r="A848" i="34"/>
  <c r="B848" i="34"/>
  <c r="C848" i="34"/>
  <c r="D848" i="34"/>
  <c r="E848" i="34"/>
  <c r="F848" i="34"/>
  <c r="G848" i="34"/>
  <c r="H848" i="34"/>
  <c r="I848" i="34"/>
  <c r="J848" i="34"/>
  <c r="K848" i="34"/>
  <c r="L848" i="34"/>
  <c r="M848" i="34"/>
  <c r="N848" i="34"/>
  <c r="O848" i="34"/>
  <c r="A849" i="34"/>
  <c r="B849" i="34"/>
  <c r="C849" i="34"/>
  <c r="D849" i="34"/>
  <c r="E849" i="34"/>
  <c r="F849" i="34"/>
  <c r="G849" i="34"/>
  <c r="H849" i="34"/>
  <c r="I849" i="34"/>
  <c r="J849" i="34"/>
  <c r="K849" i="34"/>
  <c r="L849" i="34"/>
  <c r="M849" i="34"/>
  <c r="N849" i="34"/>
  <c r="O849" i="34"/>
  <c r="A850" i="34"/>
  <c r="B850" i="34"/>
  <c r="C850" i="34"/>
  <c r="D850" i="34"/>
  <c r="E850" i="34"/>
  <c r="F850" i="34"/>
  <c r="G850" i="34"/>
  <c r="H850" i="34"/>
  <c r="I850" i="34"/>
  <c r="J850" i="34"/>
  <c r="K850" i="34"/>
  <c r="L850" i="34"/>
  <c r="M850" i="34"/>
  <c r="N850" i="34"/>
  <c r="O850" i="34"/>
  <c r="A851" i="34"/>
  <c r="B851" i="34"/>
  <c r="C851" i="34"/>
  <c r="D851" i="34"/>
  <c r="E851" i="34"/>
  <c r="F851" i="34"/>
  <c r="G851" i="34"/>
  <c r="H851" i="34"/>
  <c r="I851" i="34"/>
  <c r="J851" i="34"/>
  <c r="K851" i="34"/>
  <c r="L851" i="34"/>
  <c r="M851" i="34"/>
  <c r="N851" i="34"/>
  <c r="O851" i="34"/>
  <c r="A852" i="34"/>
  <c r="B852" i="34"/>
  <c r="C852" i="34"/>
  <c r="D852" i="34"/>
  <c r="E852" i="34"/>
  <c r="F852" i="34"/>
  <c r="G852" i="34"/>
  <c r="H852" i="34"/>
  <c r="I852" i="34"/>
  <c r="J852" i="34"/>
  <c r="K852" i="34"/>
  <c r="L852" i="34"/>
  <c r="M852" i="34"/>
  <c r="N852" i="34"/>
  <c r="O852" i="34"/>
  <c r="A853" i="34"/>
  <c r="B853" i="34"/>
  <c r="C853" i="34"/>
  <c r="D853" i="34"/>
  <c r="E853" i="34"/>
  <c r="F853" i="34"/>
  <c r="G853" i="34"/>
  <c r="H853" i="34"/>
  <c r="I853" i="34"/>
  <c r="J853" i="34"/>
  <c r="K853" i="34"/>
  <c r="L853" i="34"/>
  <c r="M853" i="34"/>
  <c r="N853" i="34"/>
  <c r="O853" i="34"/>
  <c r="A854" i="34"/>
  <c r="B854" i="34"/>
  <c r="C854" i="34"/>
  <c r="D854" i="34"/>
  <c r="E854" i="34"/>
  <c r="F854" i="34"/>
  <c r="G854" i="34"/>
  <c r="H854" i="34"/>
  <c r="I854" i="34"/>
  <c r="J854" i="34"/>
  <c r="K854" i="34"/>
  <c r="L854" i="34"/>
  <c r="M854" i="34"/>
  <c r="N854" i="34"/>
  <c r="O854" i="34"/>
  <c r="A855" i="34"/>
  <c r="B855" i="34"/>
  <c r="C855" i="34"/>
  <c r="D855" i="34"/>
  <c r="E855" i="34"/>
  <c r="F855" i="34"/>
  <c r="G855" i="34"/>
  <c r="H855" i="34"/>
  <c r="I855" i="34"/>
  <c r="J855" i="34"/>
  <c r="K855" i="34"/>
  <c r="L855" i="34"/>
  <c r="M855" i="34"/>
  <c r="N855" i="34"/>
  <c r="O855" i="34"/>
  <c r="A856" i="34"/>
  <c r="B856" i="34"/>
  <c r="C856" i="34"/>
  <c r="D856" i="34"/>
  <c r="E856" i="34"/>
  <c r="F856" i="34"/>
  <c r="G856" i="34"/>
  <c r="H856" i="34"/>
  <c r="I856" i="34"/>
  <c r="J856" i="34"/>
  <c r="K856" i="34"/>
  <c r="L856" i="34"/>
  <c r="M856" i="34"/>
  <c r="N856" i="34"/>
  <c r="O856" i="34"/>
  <c r="A857" i="34"/>
  <c r="B857" i="34"/>
  <c r="C857" i="34"/>
  <c r="D857" i="34"/>
  <c r="E857" i="34"/>
  <c r="F857" i="34"/>
  <c r="G857" i="34"/>
  <c r="H857" i="34"/>
  <c r="I857" i="34"/>
  <c r="J857" i="34"/>
  <c r="K857" i="34"/>
  <c r="L857" i="34"/>
  <c r="M857" i="34"/>
  <c r="N857" i="34"/>
  <c r="O857" i="34"/>
  <c r="A858" i="34"/>
  <c r="B858" i="34"/>
  <c r="C858" i="34"/>
  <c r="D858" i="34"/>
  <c r="E858" i="34"/>
  <c r="F858" i="34"/>
  <c r="G858" i="34"/>
  <c r="H858" i="34"/>
  <c r="I858" i="34"/>
  <c r="J858" i="34"/>
  <c r="K858" i="34"/>
  <c r="L858" i="34"/>
  <c r="M858" i="34"/>
  <c r="N858" i="34"/>
  <c r="O858" i="34"/>
  <c r="A859" i="34"/>
  <c r="B859" i="34"/>
  <c r="C859" i="34"/>
  <c r="D859" i="34"/>
  <c r="E859" i="34"/>
  <c r="F859" i="34"/>
  <c r="G859" i="34"/>
  <c r="H859" i="34"/>
  <c r="I859" i="34"/>
  <c r="J859" i="34"/>
  <c r="K859" i="34"/>
  <c r="L859" i="34"/>
  <c r="M859" i="34"/>
  <c r="N859" i="34"/>
  <c r="O859" i="34"/>
  <c r="A860" i="34"/>
  <c r="B860" i="34"/>
  <c r="C860" i="34"/>
  <c r="D860" i="34"/>
  <c r="E860" i="34"/>
  <c r="F860" i="34"/>
  <c r="G860" i="34"/>
  <c r="H860" i="34"/>
  <c r="I860" i="34"/>
  <c r="J860" i="34"/>
  <c r="K860" i="34"/>
  <c r="L860" i="34"/>
  <c r="M860" i="34"/>
  <c r="N860" i="34"/>
  <c r="O860" i="34"/>
  <c r="A861" i="34"/>
  <c r="B861" i="34"/>
  <c r="C861" i="34"/>
  <c r="D861" i="34"/>
  <c r="E861" i="34"/>
  <c r="F861" i="34"/>
  <c r="G861" i="34"/>
  <c r="H861" i="34"/>
  <c r="I861" i="34"/>
  <c r="J861" i="34"/>
  <c r="K861" i="34"/>
  <c r="L861" i="34"/>
  <c r="M861" i="34"/>
  <c r="N861" i="34"/>
  <c r="O861" i="34"/>
  <c r="A862" i="34"/>
  <c r="B862" i="34"/>
  <c r="C862" i="34"/>
  <c r="D862" i="34"/>
  <c r="E862" i="34"/>
  <c r="F862" i="34"/>
  <c r="G862" i="34"/>
  <c r="H862" i="34"/>
  <c r="I862" i="34"/>
  <c r="J862" i="34"/>
  <c r="K862" i="34"/>
  <c r="L862" i="34"/>
  <c r="M862" i="34"/>
  <c r="N862" i="34"/>
  <c r="O862" i="34"/>
  <c r="A863" i="34"/>
  <c r="B863" i="34"/>
  <c r="C863" i="34"/>
  <c r="D863" i="34"/>
  <c r="E863" i="34"/>
  <c r="F863" i="34"/>
  <c r="G863" i="34"/>
  <c r="H863" i="34"/>
  <c r="I863" i="34"/>
  <c r="J863" i="34"/>
  <c r="K863" i="34"/>
  <c r="L863" i="34"/>
  <c r="M863" i="34"/>
  <c r="N863" i="34"/>
  <c r="O863" i="34"/>
  <c r="A864" i="34"/>
  <c r="B864" i="34"/>
  <c r="C864" i="34"/>
  <c r="D864" i="34"/>
  <c r="E864" i="34"/>
  <c r="F864" i="34"/>
  <c r="G864" i="34"/>
  <c r="H864" i="34"/>
  <c r="I864" i="34"/>
  <c r="J864" i="34"/>
  <c r="K864" i="34"/>
  <c r="L864" i="34"/>
  <c r="M864" i="34"/>
  <c r="N864" i="34"/>
  <c r="O864" i="34"/>
  <c r="A865" i="34"/>
  <c r="B865" i="34"/>
  <c r="C865" i="34"/>
  <c r="D865" i="34"/>
  <c r="E865" i="34"/>
  <c r="F865" i="34"/>
  <c r="G865" i="34"/>
  <c r="H865" i="34"/>
  <c r="I865" i="34"/>
  <c r="J865" i="34"/>
  <c r="K865" i="34"/>
  <c r="L865" i="34"/>
  <c r="M865" i="34"/>
  <c r="N865" i="34"/>
  <c r="O865" i="34"/>
  <c r="A866" i="34"/>
  <c r="B866" i="34"/>
  <c r="C866" i="34"/>
  <c r="D866" i="34"/>
  <c r="E866" i="34"/>
  <c r="F866" i="34"/>
  <c r="G866" i="34"/>
  <c r="H866" i="34"/>
  <c r="I866" i="34"/>
  <c r="J866" i="34"/>
  <c r="K866" i="34"/>
  <c r="L866" i="34"/>
  <c r="M866" i="34"/>
  <c r="N866" i="34"/>
  <c r="O866" i="34"/>
  <c r="A867" i="34"/>
  <c r="B867" i="34"/>
  <c r="C867" i="34"/>
  <c r="D867" i="34"/>
  <c r="E867" i="34"/>
  <c r="F867" i="34"/>
  <c r="G867" i="34"/>
  <c r="H867" i="34"/>
  <c r="I867" i="34"/>
  <c r="J867" i="34"/>
  <c r="K867" i="34"/>
  <c r="L867" i="34"/>
  <c r="M867" i="34"/>
  <c r="N867" i="34"/>
  <c r="O867" i="34"/>
  <c r="A868" i="34"/>
  <c r="B868" i="34"/>
  <c r="C868" i="34"/>
  <c r="D868" i="34"/>
  <c r="E868" i="34"/>
  <c r="F868" i="34"/>
  <c r="G868" i="34"/>
  <c r="H868" i="34"/>
  <c r="I868" i="34"/>
  <c r="J868" i="34"/>
  <c r="K868" i="34"/>
  <c r="L868" i="34"/>
  <c r="M868" i="34"/>
  <c r="N868" i="34"/>
  <c r="O868" i="34"/>
  <c r="A869" i="34"/>
  <c r="B869" i="34"/>
  <c r="C869" i="34"/>
  <c r="D869" i="34"/>
  <c r="E869" i="34"/>
  <c r="F869" i="34"/>
  <c r="G869" i="34"/>
  <c r="H869" i="34"/>
  <c r="I869" i="34"/>
  <c r="J869" i="34"/>
  <c r="K869" i="34"/>
  <c r="L869" i="34"/>
  <c r="M869" i="34"/>
  <c r="N869" i="34"/>
  <c r="O869" i="34"/>
  <c r="A870" i="34"/>
  <c r="B870" i="34"/>
  <c r="C870" i="34"/>
  <c r="D870" i="34"/>
  <c r="E870" i="34"/>
  <c r="F870" i="34"/>
  <c r="G870" i="34"/>
  <c r="H870" i="34"/>
  <c r="I870" i="34"/>
  <c r="J870" i="34"/>
  <c r="K870" i="34"/>
  <c r="L870" i="34"/>
  <c r="M870" i="34"/>
  <c r="N870" i="34"/>
  <c r="O870" i="34"/>
  <c r="A871" i="34"/>
  <c r="B871" i="34"/>
  <c r="C871" i="34"/>
  <c r="D871" i="34"/>
  <c r="E871" i="34"/>
  <c r="F871" i="34"/>
  <c r="G871" i="34"/>
  <c r="H871" i="34"/>
  <c r="I871" i="34"/>
  <c r="J871" i="34"/>
  <c r="K871" i="34"/>
  <c r="L871" i="34"/>
  <c r="M871" i="34"/>
  <c r="N871" i="34"/>
  <c r="O871" i="34"/>
  <c r="A872" i="34"/>
  <c r="B872" i="34"/>
  <c r="C872" i="34"/>
  <c r="D872" i="34"/>
  <c r="E872" i="34"/>
  <c r="F872" i="34"/>
  <c r="G872" i="34"/>
  <c r="H872" i="34"/>
  <c r="I872" i="34"/>
  <c r="J872" i="34"/>
  <c r="K872" i="34"/>
  <c r="L872" i="34"/>
  <c r="M872" i="34"/>
  <c r="N872" i="34"/>
  <c r="O872" i="34"/>
  <c r="A873" i="34"/>
  <c r="B873" i="34"/>
  <c r="C873" i="34"/>
  <c r="D873" i="34"/>
  <c r="E873" i="34"/>
  <c r="F873" i="34"/>
  <c r="G873" i="34"/>
  <c r="H873" i="34"/>
  <c r="I873" i="34"/>
  <c r="J873" i="34"/>
  <c r="K873" i="34"/>
  <c r="L873" i="34"/>
  <c r="M873" i="34"/>
  <c r="N873" i="34"/>
  <c r="O873" i="34"/>
  <c r="A874" i="34"/>
  <c r="B874" i="34"/>
  <c r="C874" i="34"/>
  <c r="D874" i="34"/>
  <c r="E874" i="34"/>
  <c r="F874" i="34"/>
  <c r="G874" i="34"/>
  <c r="H874" i="34"/>
  <c r="I874" i="34"/>
  <c r="J874" i="34"/>
  <c r="K874" i="34"/>
  <c r="L874" i="34"/>
  <c r="M874" i="34"/>
  <c r="N874" i="34"/>
  <c r="O874" i="34"/>
  <c r="A875" i="34"/>
  <c r="B875" i="34"/>
  <c r="C875" i="34"/>
  <c r="D875" i="34"/>
  <c r="E875" i="34"/>
  <c r="F875" i="34"/>
  <c r="G875" i="34"/>
  <c r="H875" i="34"/>
  <c r="I875" i="34"/>
  <c r="J875" i="34"/>
  <c r="K875" i="34"/>
  <c r="L875" i="34"/>
  <c r="M875" i="34"/>
  <c r="N875" i="34"/>
  <c r="O875" i="34"/>
  <c r="A876" i="34"/>
  <c r="B876" i="34"/>
  <c r="C876" i="34"/>
  <c r="D876" i="34"/>
  <c r="E876" i="34"/>
  <c r="F876" i="34"/>
  <c r="G876" i="34"/>
  <c r="H876" i="34"/>
  <c r="I876" i="34"/>
  <c r="J876" i="34"/>
  <c r="K876" i="34"/>
  <c r="L876" i="34"/>
  <c r="M876" i="34"/>
  <c r="N876" i="34"/>
  <c r="O876" i="34"/>
  <c r="A877" i="34"/>
  <c r="B877" i="34"/>
  <c r="C877" i="34"/>
  <c r="D877" i="34"/>
  <c r="E877" i="34"/>
  <c r="F877" i="34"/>
  <c r="G877" i="34"/>
  <c r="H877" i="34"/>
  <c r="I877" i="34"/>
  <c r="J877" i="34"/>
  <c r="K877" i="34"/>
  <c r="L877" i="34"/>
  <c r="M877" i="34"/>
  <c r="N877" i="34"/>
  <c r="O877" i="34"/>
  <c r="A878" i="34"/>
  <c r="B878" i="34"/>
  <c r="C878" i="34"/>
  <c r="D878" i="34"/>
  <c r="E878" i="34"/>
  <c r="F878" i="34"/>
  <c r="G878" i="34"/>
  <c r="H878" i="34"/>
  <c r="I878" i="34"/>
  <c r="J878" i="34"/>
  <c r="K878" i="34"/>
  <c r="L878" i="34"/>
  <c r="M878" i="34"/>
  <c r="N878" i="34"/>
  <c r="O878" i="34"/>
  <c r="A879" i="34"/>
  <c r="B879" i="34"/>
  <c r="C879" i="34"/>
  <c r="D879" i="34"/>
  <c r="E879" i="34"/>
  <c r="F879" i="34"/>
  <c r="G879" i="34"/>
  <c r="H879" i="34"/>
  <c r="I879" i="34"/>
  <c r="J879" i="34"/>
  <c r="K879" i="34"/>
  <c r="L879" i="34"/>
  <c r="M879" i="34"/>
  <c r="N879" i="34"/>
  <c r="O879" i="34"/>
  <c r="A880" i="34"/>
  <c r="B880" i="34"/>
  <c r="C880" i="34"/>
  <c r="D880" i="34"/>
  <c r="E880" i="34"/>
  <c r="F880" i="34"/>
  <c r="G880" i="34"/>
  <c r="H880" i="34"/>
  <c r="I880" i="34"/>
  <c r="J880" i="34"/>
  <c r="K880" i="34"/>
  <c r="L880" i="34"/>
  <c r="M880" i="34"/>
  <c r="N880" i="34"/>
  <c r="O880" i="34"/>
  <c r="A881" i="34"/>
  <c r="B881" i="34"/>
  <c r="C881" i="34"/>
  <c r="D881" i="34"/>
  <c r="E881" i="34"/>
  <c r="F881" i="34"/>
  <c r="G881" i="34"/>
  <c r="H881" i="34"/>
  <c r="I881" i="34"/>
  <c r="J881" i="34"/>
  <c r="K881" i="34"/>
  <c r="L881" i="34"/>
  <c r="M881" i="34"/>
  <c r="N881" i="34"/>
  <c r="O881" i="34"/>
  <c r="A882" i="34"/>
  <c r="B882" i="34"/>
  <c r="C882" i="34"/>
  <c r="D882" i="34"/>
  <c r="E882" i="34"/>
  <c r="F882" i="34"/>
  <c r="G882" i="34"/>
  <c r="H882" i="34"/>
  <c r="I882" i="34"/>
  <c r="J882" i="34"/>
  <c r="K882" i="34"/>
  <c r="L882" i="34"/>
  <c r="M882" i="34"/>
  <c r="N882" i="34"/>
  <c r="O882" i="34"/>
  <c r="A883" i="34"/>
  <c r="B883" i="34"/>
  <c r="C883" i="34"/>
  <c r="D883" i="34"/>
  <c r="E883" i="34"/>
  <c r="F883" i="34"/>
  <c r="G883" i="34"/>
  <c r="H883" i="34"/>
  <c r="I883" i="34"/>
  <c r="J883" i="34"/>
  <c r="K883" i="34"/>
  <c r="L883" i="34"/>
  <c r="M883" i="34"/>
  <c r="N883" i="34"/>
  <c r="O883" i="34"/>
  <c r="A884" i="34"/>
  <c r="B884" i="34"/>
  <c r="C884" i="34"/>
  <c r="D884" i="34"/>
  <c r="E884" i="34"/>
  <c r="F884" i="34"/>
  <c r="G884" i="34"/>
  <c r="H884" i="34"/>
  <c r="I884" i="34"/>
  <c r="J884" i="34"/>
  <c r="K884" i="34"/>
  <c r="L884" i="34"/>
  <c r="M884" i="34"/>
  <c r="N884" i="34"/>
  <c r="O884" i="34"/>
  <c r="A885" i="34"/>
  <c r="B885" i="34"/>
  <c r="C885" i="34"/>
  <c r="D885" i="34"/>
  <c r="E885" i="34"/>
  <c r="F885" i="34"/>
  <c r="G885" i="34"/>
  <c r="H885" i="34"/>
  <c r="I885" i="34"/>
  <c r="J885" i="34"/>
  <c r="K885" i="34"/>
  <c r="L885" i="34"/>
  <c r="M885" i="34"/>
  <c r="N885" i="34"/>
  <c r="O885" i="34"/>
  <c r="A886" i="34"/>
  <c r="B886" i="34"/>
  <c r="C886" i="34"/>
  <c r="D886" i="34"/>
  <c r="E886" i="34"/>
  <c r="F886" i="34"/>
  <c r="G886" i="34"/>
  <c r="H886" i="34"/>
  <c r="I886" i="34"/>
  <c r="J886" i="34"/>
  <c r="K886" i="34"/>
  <c r="L886" i="34"/>
  <c r="M886" i="34"/>
  <c r="N886" i="34"/>
  <c r="O886" i="34"/>
  <c r="A887" i="34"/>
  <c r="B887" i="34"/>
  <c r="C887" i="34"/>
  <c r="D887" i="34"/>
  <c r="E887" i="34"/>
  <c r="F887" i="34"/>
  <c r="G887" i="34"/>
  <c r="H887" i="34"/>
  <c r="I887" i="34"/>
  <c r="J887" i="34"/>
  <c r="K887" i="34"/>
  <c r="L887" i="34"/>
  <c r="M887" i="34"/>
  <c r="N887" i="34"/>
  <c r="O887" i="34"/>
  <c r="A888" i="34"/>
  <c r="B888" i="34"/>
  <c r="C888" i="34"/>
  <c r="D888" i="34"/>
  <c r="E888" i="34"/>
  <c r="F888" i="34"/>
  <c r="G888" i="34"/>
  <c r="H888" i="34"/>
  <c r="I888" i="34"/>
  <c r="J888" i="34"/>
  <c r="K888" i="34"/>
  <c r="L888" i="34"/>
  <c r="M888" i="34"/>
  <c r="N888" i="34"/>
  <c r="O888" i="34"/>
  <c r="A889" i="34"/>
  <c r="B889" i="34"/>
  <c r="C889" i="34"/>
  <c r="D889" i="34"/>
  <c r="E889" i="34"/>
  <c r="F889" i="34"/>
  <c r="G889" i="34"/>
  <c r="H889" i="34"/>
  <c r="I889" i="34"/>
  <c r="J889" i="34"/>
  <c r="K889" i="34"/>
  <c r="L889" i="34"/>
  <c r="M889" i="34"/>
  <c r="N889" i="34"/>
  <c r="O889" i="34"/>
  <c r="A890" i="34"/>
  <c r="B890" i="34"/>
  <c r="C890" i="34"/>
  <c r="D890" i="34"/>
  <c r="E890" i="34"/>
  <c r="F890" i="34"/>
  <c r="G890" i="34"/>
  <c r="H890" i="34"/>
  <c r="I890" i="34"/>
  <c r="J890" i="34"/>
  <c r="K890" i="34"/>
  <c r="L890" i="34"/>
  <c r="M890" i="34"/>
  <c r="N890" i="34"/>
  <c r="O890" i="34"/>
  <c r="A891" i="34"/>
  <c r="B891" i="34"/>
  <c r="C891" i="34"/>
  <c r="D891" i="34"/>
  <c r="E891" i="34"/>
  <c r="F891" i="34"/>
  <c r="G891" i="34"/>
  <c r="H891" i="34"/>
  <c r="I891" i="34"/>
  <c r="J891" i="34"/>
  <c r="K891" i="34"/>
  <c r="L891" i="34"/>
  <c r="M891" i="34"/>
  <c r="N891" i="34"/>
  <c r="O891" i="34"/>
  <c r="A892" i="34"/>
  <c r="B892" i="34"/>
  <c r="C892" i="34"/>
  <c r="D892" i="34"/>
  <c r="E892" i="34"/>
  <c r="F892" i="34"/>
  <c r="G892" i="34"/>
  <c r="H892" i="34"/>
  <c r="I892" i="34"/>
  <c r="J892" i="34"/>
  <c r="K892" i="34"/>
  <c r="L892" i="34"/>
  <c r="M892" i="34"/>
  <c r="N892" i="34"/>
  <c r="O892" i="34"/>
  <c r="A893" i="34"/>
  <c r="B893" i="34"/>
  <c r="C893" i="34"/>
  <c r="D893" i="34"/>
  <c r="E893" i="34"/>
  <c r="F893" i="34"/>
  <c r="G893" i="34"/>
  <c r="H893" i="34"/>
  <c r="I893" i="34"/>
  <c r="J893" i="34"/>
  <c r="K893" i="34"/>
  <c r="L893" i="34"/>
  <c r="M893" i="34"/>
  <c r="N893" i="34"/>
  <c r="O893" i="34"/>
  <c r="A894" i="34"/>
  <c r="B894" i="34"/>
  <c r="C894" i="34"/>
  <c r="D894" i="34"/>
  <c r="E894" i="34"/>
  <c r="F894" i="34"/>
  <c r="G894" i="34"/>
  <c r="H894" i="34"/>
  <c r="I894" i="34"/>
  <c r="J894" i="34"/>
  <c r="K894" i="34"/>
  <c r="L894" i="34"/>
  <c r="M894" i="34"/>
  <c r="N894" i="34"/>
  <c r="O894" i="34"/>
  <c r="A895" i="34"/>
  <c r="B895" i="34"/>
  <c r="C895" i="34"/>
  <c r="D895" i="34"/>
  <c r="E895" i="34"/>
  <c r="F895" i="34"/>
  <c r="G895" i="34"/>
  <c r="H895" i="34"/>
  <c r="I895" i="34"/>
  <c r="J895" i="34"/>
  <c r="K895" i="34"/>
  <c r="L895" i="34"/>
  <c r="M895" i="34"/>
  <c r="N895" i="34"/>
  <c r="O895" i="34"/>
  <c r="A896" i="34"/>
  <c r="B896" i="34"/>
  <c r="C896" i="34"/>
  <c r="D896" i="34"/>
  <c r="E896" i="34"/>
  <c r="F896" i="34"/>
  <c r="G896" i="34"/>
  <c r="H896" i="34"/>
  <c r="I896" i="34"/>
  <c r="J896" i="34"/>
  <c r="K896" i="34"/>
  <c r="L896" i="34"/>
  <c r="M896" i="34"/>
  <c r="N896" i="34"/>
  <c r="O896" i="34"/>
  <c r="A897" i="34"/>
  <c r="B897" i="34"/>
  <c r="C897" i="34"/>
  <c r="D897" i="34"/>
  <c r="E897" i="34"/>
  <c r="F897" i="34"/>
  <c r="G897" i="34"/>
  <c r="H897" i="34"/>
  <c r="I897" i="34"/>
  <c r="J897" i="34"/>
  <c r="K897" i="34"/>
  <c r="L897" i="34"/>
  <c r="M897" i="34"/>
  <c r="N897" i="34"/>
  <c r="O897" i="34"/>
  <c r="A898" i="34"/>
  <c r="B898" i="34"/>
  <c r="C898" i="34"/>
  <c r="D898" i="34"/>
  <c r="E898" i="34"/>
  <c r="F898" i="34"/>
  <c r="G898" i="34"/>
  <c r="H898" i="34"/>
  <c r="I898" i="34"/>
  <c r="J898" i="34"/>
  <c r="K898" i="34"/>
  <c r="L898" i="34"/>
  <c r="M898" i="34"/>
  <c r="N898" i="34"/>
  <c r="O898" i="34"/>
  <c r="A899" i="34"/>
  <c r="B899" i="34"/>
  <c r="C899" i="34"/>
  <c r="D899" i="34"/>
  <c r="E899" i="34"/>
  <c r="F899" i="34"/>
  <c r="G899" i="34"/>
  <c r="H899" i="34"/>
  <c r="I899" i="34"/>
  <c r="J899" i="34"/>
  <c r="K899" i="34"/>
  <c r="L899" i="34"/>
  <c r="M899" i="34"/>
  <c r="N899" i="34"/>
  <c r="O899" i="34"/>
  <c r="A900" i="34"/>
  <c r="B900" i="34"/>
  <c r="C900" i="34"/>
  <c r="D900" i="34"/>
  <c r="E900" i="34"/>
  <c r="F900" i="34"/>
  <c r="G900" i="34"/>
  <c r="H900" i="34"/>
  <c r="I900" i="34"/>
  <c r="J900" i="34"/>
  <c r="K900" i="34"/>
  <c r="L900" i="34"/>
  <c r="M900" i="34"/>
  <c r="N900" i="34"/>
  <c r="O900" i="34"/>
  <c r="A901" i="34"/>
  <c r="B901" i="34"/>
  <c r="C901" i="34"/>
  <c r="D901" i="34"/>
  <c r="E901" i="34"/>
  <c r="F901" i="34"/>
  <c r="G901" i="34"/>
  <c r="H901" i="34"/>
  <c r="I901" i="34"/>
  <c r="J901" i="34"/>
  <c r="K901" i="34"/>
  <c r="L901" i="34"/>
  <c r="M901" i="34"/>
  <c r="N901" i="34"/>
  <c r="O901" i="34"/>
  <c r="A902" i="34"/>
  <c r="B902" i="34"/>
  <c r="C902" i="34"/>
  <c r="D902" i="34"/>
  <c r="E902" i="34"/>
  <c r="F902" i="34"/>
  <c r="G902" i="34"/>
  <c r="H902" i="34"/>
  <c r="I902" i="34"/>
  <c r="J902" i="34"/>
  <c r="K902" i="34"/>
  <c r="L902" i="34"/>
  <c r="M902" i="34"/>
  <c r="N902" i="34"/>
  <c r="O902" i="34"/>
  <c r="A903" i="34"/>
  <c r="B903" i="34"/>
  <c r="C903" i="34"/>
  <c r="D903" i="34"/>
  <c r="E903" i="34"/>
  <c r="F903" i="34"/>
  <c r="G903" i="34"/>
  <c r="H903" i="34"/>
  <c r="I903" i="34"/>
  <c r="J903" i="34"/>
  <c r="K903" i="34"/>
  <c r="L903" i="34"/>
  <c r="M903" i="34"/>
  <c r="N903" i="34"/>
  <c r="O903" i="34"/>
  <c r="A904" i="34"/>
  <c r="B904" i="34"/>
  <c r="C904" i="34"/>
  <c r="D904" i="34"/>
  <c r="E904" i="34"/>
  <c r="F904" i="34"/>
  <c r="G904" i="34"/>
  <c r="H904" i="34"/>
  <c r="I904" i="34"/>
  <c r="J904" i="34"/>
  <c r="K904" i="34"/>
  <c r="L904" i="34"/>
  <c r="M904" i="34"/>
  <c r="N904" i="34"/>
  <c r="O904" i="34"/>
  <c r="A905" i="34"/>
  <c r="B905" i="34"/>
  <c r="C905" i="34"/>
  <c r="D905" i="34"/>
  <c r="E905" i="34"/>
  <c r="F905" i="34"/>
  <c r="G905" i="34"/>
  <c r="H905" i="34"/>
  <c r="I905" i="34"/>
  <c r="J905" i="34"/>
  <c r="K905" i="34"/>
  <c r="L905" i="34"/>
  <c r="M905" i="34"/>
  <c r="N905" i="34"/>
  <c r="O905" i="34"/>
  <c r="A906" i="34"/>
  <c r="B906" i="34"/>
  <c r="C906" i="34"/>
  <c r="D906" i="34"/>
  <c r="E906" i="34"/>
  <c r="F906" i="34"/>
  <c r="G906" i="34"/>
  <c r="H906" i="34"/>
  <c r="I906" i="34"/>
  <c r="J906" i="34"/>
  <c r="K906" i="34"/>
  <c r="L906" i="34"/>
  <c r="M906" i="34"/>
  <c r="N906" i="34"/>
  <c r="O906" i="34"/>
  <c r="A907" i="34"/>
  <c r="B907" i="34"/>
  <c r="C907" i="34"/>
  <c r="D907" i="34"/>
  <c r="E907" i="34"/>
  <c r="F907" i="34"/>
  <c r="G907" i="34"/>
  <c r="H907" i="34"/>
  <c r="I907" i="34"/>
  <c r="J907" i="34"/>
  <c r="K907" i="34"/>
  <c r="L907" i="34"/>
  <c r="M907" i="34"/>
  <c r="N907" i="34"/>
  <c r="O907" i="34"/>
  <c r="A908" i="34"/>
  <c r="B908" i="34"/>
  <c r="C908" i="34"/>
  <c r="D908" i="34"/>
  <c r="E908" i="34"/>
  <c r="F908" i="34"/>
  <c r="G908" i="34"/>
  <c r="H908" i="34"/>
  <c r="I908" i="34"/>
  <c r="J908" i="34"/>
  <c r="K908" i="34"/>
  <c r="L908" i="34"/>
  <c r="M908" i="34"/>
  <c r="N908" i="34"/>
  <c r="O908" i="34"/>
  <c r="A909" i="34"/>
  <c r="B909" i="34"/>
  <c r="C909" i="34"/>
  <c r="D909" i="34"/>
  <c r="E909" i="34"/>
  <c r="F909" i="34"/>
  <c r="G909" i="34"/>
  <c r="H909" i="34"/>
  <c r="I909" i="34"/>
  <c r="J909" i="34"/>
  <c r="K909" i="34"/>
  <c r="L909" i="34"/>
  <c r="M909" i="34"/>
  <c r="N909" i="34"/>
  <c r="O909" i="34"/>
  <c r="A910" i="34"/>
  <c r="B910" i="34"/>
  <c r="C910" i="34"/>
  <c r="D910" i="34"/>
  <c r="E910" i="34"/>
  <c r="F910" i="34"/>
  <c r="G910" i="34"/>
  <c r="H910" i="34"/>
  <c r="I910" i="34"/>
  <c r="J910" i="34"/>
  <c r="K910" i="34"/>
  <c r="L910" i="34"/>
  <c r="M910" i="34"/>
  <c r="N910" i="34"/>
  <c r="O910" i="34"/>
  <c r="A911" i="34"/>
  <c r="B911" i="34"/>
  <c r="C911" i="34"/>
  <c r="D911" i="34"/>
  <c r="E911" i="34"/>
  <c r="F911" i="34"/>
  <c r="G911" i="34"/>
  <c r="H911" i="34"/>
  <c r="I911" i="34"/>
  <c r="J911" i="34"/>
  <c r="K911" i="34"/>
  <c r="L911" i="34"/>
  <c r="M911" i="34"/>
  <c r="N911" i="34"/>
  <c r="O911" i="34"/>
  <c r="A912" i="34"/>
  <c r="B912" i="34"/>
  <c r="C912" i="34"/>
  <c r="D912" i="34"/>
  <c r="E912" i="34"/>
  <c r="F912" i="34"/>
  <c r="G912" i="34"/>
  <c r="H912" i="34"/>
  <c r="I912" i="34"/>
  <c r="J912" i="34"/>
  <c r="K912" i="34"/>
  <c r="L912" i="34"/>
  <c r="M912" i="34"/>
  <c r="N912" i="34"/>
  <c r="O912" i="34"/>
  <c r="A913" i="34"/>
  <c r="B913" i="34"/>
  <c r="C913" i="34"/>
  <c r="D913" i="34"/>
  <c r="E913" i="34"/>
  <c r="F913" i="34"/>
  <c r="G913" i="34"/>
  <c r="H913" i="34"/>
  <c r="I913" i="34"/>
  <c r="J913" i="34"/>
  <c r="K913" i="34"/>
  <c r="L913" i="34"/>
  <c r="M913" i="34"/>
  <c r="N913" i="34"/>
  <c r="O913" i="34"/>
  <c r="A914" i="34"/>
  <c r="B914" i="34"/>
  <c r="C914" i="34"/>
  <c r="D914" i="34"/>
  <c r="E914" i="34"/>
  <c r="F914" i="34"/>
  <c r="G914" i="34"/>
  <c r="H914" i="34"/>
  <c r="I914" i="34"/>
  <c r="J914" i="34"/>
  <c r="K914" i="34"/>
  <c r="L914" i="34"/>
  <c r="M914" i="34"/>
  <c r="N914" i="34"/>
  <c r="O914" i="34"/>
  <c r="A915" i="34"/>
  <c r="B915" i="34"/>
  <c r="C915" i="34"/>
  <c r="D915" i="34"/>
  <c r="E915" i="34"/>
  <c r="F915" i="34"/>
  <c r="G915" i="34"/>
  <c r="H915" i="34"/>
  <c r="I915" i="34"/>
  <c r="J915" i="34"/>
  <c r="K915" i="34"/>
  <c r="L915" i="34"/>
  <c r="M915" i="34"/>
  <c r="N915" i="34"/>
  <c r="O915" i="34"/>
  <c r="A916" i="34"/>
  <c r="B916" i="34"/>
  <c r="C916" i="34"/>
  <c r="D916" i="34"/>
  <c r="E916" i="34"/>
  <c r="F916" i="34"/>
  <c r="G916" i="34"/>
  <c r="H916" i="34"/>
  <c r="I916" i="34"/>
  <c r="J916" i="34"/>
  <c r="K916" i="34"/>
  <c r="L916" i="34"/>
  <c r="M916" i="34"/>
  <c r="N916" i="34"/>
  <c r="O916" i="34"/>
  <c r="A917" i="34"/>
  <c r="B917" i="34"/>
  <c r="C917" i="34"/>
  <c r="D917" i="34"/>
  <c r="E917" i="34"/>
  <c r="F917" i="34"/>
  <c r="G917" i="34"/>
  <c r="H917" i="34"/>
  <c r="I917" i="34"/>
  <c r="J917" i="34"/>
  <c r="K917" i="34"/>
  <c r="L917" i="34"/>
  <c r="M917" i="34"/>
  <c r="N917" i="34"/>
  <c r="O917" i="34"/>
  <c r="A918" i="34"/>
  <c r="B918" i="34"/>
  <c r="C918" i="34"/>
  <c r="D918" i="34"/>
  <c r="E918" i="34"/>
  <c r="F918" i="34"/>
  <c r="G918" i="34"/>
  <c r="H918" i="34"/>
  <c r="I918" i="34"/>
  <c r="J918" i="34"/>
  <c r="K918" i="34"/>
  <c r="L918" i="34"/>
  <c r="M918" i="34"/>
  <c r="N918" i="34"/>
  <c r="O918" i="34"/>
  <c r="A919" i="34"/>
  <c r="B919" i="34"/>
  <c r="C919" i="34"/>
  <c r="D919" i="34"/>
  <c r="E919" i="34"/>
  <c r="F919" i="34"/>
  <c r="G919" i="34"/>
  <c r="H919" i="34"/>
  <c r="I919" i="34"/>
  <c r="J919" i="34"/>
  <c r="K919" i="34"/>
  <c r="L919" i="34"/>
  <c r="M919" i="34"/>
  <c r="N919" i="34"/>
  <c r="O919" i="34"/>
  <c r="A920" i="34"/>
  <c r="B920" i="34"/>
  <c r="C920" i="34"/>
  <c r="D920" i="34"/>
  <c r="E920" i="34"/>
  <c r="F920" i="34"/>
  <c r="G920" i="34"/>
  <c r="H920" i="34"/>
  <c r="I920" i="34"/>
  <c r="J920" i="34"/>
  <c r="K920" i="34"/>
  <c r="L920" i="34"/>
  <c r="M920" i="34"/>
  <c r="N920" i="34"/>
  <c r="O920" i="34"/>
  <c r="A921" i="34"/>
  <c r="B921" i="34"/>
  <c r="C921" i="34"/>
  <c r="D921" i="34"/>
  <c r="E921" i="34"/>
  <c r="F921" i="34"/>
  <c r="G921" i="34"/>
  <c r="H921" i="34"/>
  <c r="I921" i="34"/>
  <c r="J921" i="34"/>
  <c r="K921" i="34"/>
  <c r="L921" i="34"/>
  <c r="M921" i="34"/>
  <c r="N921" i="34"/>
  <c r="O921" i="34"/>
  <c r="A922" i="34"/>
  <c r="B922" i="34"/>
  <c r="C922" i="34"/>
  <c r="D922" i="34"/>
  <c r="E922" i="34"/>
  <c r="F922" i="34"/>
  <c r="G922" i="34"/>
  <c r="H922" i="34"/>
  <c r="I922" i="34"/>
  <c r="J922" i="34"/>
  <c r="K922" i="34"/>
  <c r="L922" i="34"/>
  <c r="M922" i="34"/>
  <c r="N922" i="34"/>
  <c r="O922" i="34"/>
  <c r="A923" i="34"/>
  <c r="B923" i="34"/>
  <c r="C923" i="34"/>
  <c r="D923" i="34"/>
  <c r="E923" i="34"/>
  <c r="F923" i="34"/>
  <c r="G923" i="34"/>
  <c r="H923" i="34"/>
  <c r="I923" i="34"/>
  <c r="J923" i="34"/>
  <c r="K923" i="34"/>
  <c r="L923" i="34"/>
  <c r="M923" i="34"/>
  <c r="N923" i="34"/>
  <c r="O923" i="34"/>
  <c r="A924" i="34"/>
  <c r="B924" i="34"/>
  <c r="C924" i="34"/>
  <c r="D924" i="34"/>
  <c r="E924" i="34"/>
  <c r="F924" i="34"/>
  <c r="G924" i="34"/>
  <c r="H924" i="34"/>
  <c r="I924" i="34"/>
  <c r="J924" i="34"/>
  <c r="K924" i="34"/>
  <c r="L924" i="34"/>
  <c r="M924" i="34"/>
  <c r="N924" i="34"/>
  <c r="O924" i="34"/>
  <c r="A925" i="34"/>
  <c r="B925" i="34"/>
  <c r="C925" i="34"/>
  <c r="D925" i="34"/>
  <c r="E925" i="34"/>
  <c r="F925" i="34"/>
  <c r="G925" i="34"/>
  <c r="H925" i="34"/>
  <c r="I925" i="34"/>
  <c r="J925" i="34"/>
  <c r="K925" i="34"/>
  <c r="L925" i="34"/>
  <c r="M925" i="34"/>
  <c r="N925" i="34"/>
  <c r="O925" i="34"/>
  <c r="A926" i="34"/>
  <c r="B926" i="34"/>
  <c r="C926" i="34"/>
  <c r="D926" i="34"/>
  <c r="E926" i="34"/>
  <c r="F926" i="34"/>
  <c r="G926" i="34"/>
  <c r="H926" i="34"/>
  <c r="I926" i="34"/>
  <c r="J926" i="34"/>
  <c r="K926" i="34"/>
  <c r="L926" i="34"/>
  <c r="M926" i="34"/>
  <c r="N926" i="34"/>
  <c r="O926" i="34"/>
  <c r="A927" i="34"/>
  <c r="B927" i="34"/>
  <c r="C927" i="34"/>
  <c r="D927" i="34"/>
  <c r="E927" i="34"/>
  <c r="F927" i="34"/>
  <c r="G927" i="34"/>
  <c r="H927" i="34"/>
  <c r="I927" i="34"/>
  <c r="J927" i="34"/>
  <c r="K927" i="34"/>
  <c r="L927" i="34"/>
  <c r="M927" i="34"/>
  <c r="N927" i="34"/>
  <c r="O927" i="34"/>
  <c r="A928" i="34"/>
  <c r="B928" i="34"/>
  <c r="C928" i="34"/>
  <c r="D928" i="34"/>
  <c r="E928" i="34"/>
  <c r="F928" i="34"/>
  <c r="G928" i="34"/>
  <c r="H928" i="34"/>
  <c r="I928" i="34"/>
  <c r="J928" i="34"/>
  <c r="K928" i="34"/>
  <c r="L928" i="34"/>
  <c r="M928" i="34"/>
  <c r="N928" i="34"/>
  <c r="O928" i="34"/>
  <c r="A929" i="34"/>
  <c r="B929" i="34"/>
  <c r="C929" i="34"/>
  <c r="D929" i="34"/>
  <c r="E929" i="34"/>
  <c r="F929" i="34"/>
  <c r="G929" i="34"/>
  <c r="H929" i="34"/>
  <c r="I929" i="34"/>
  <c r="J929" i="34"/>
  <c r="K929" i="34"/>
  <c r="L929" i="34"/>
  <c r="M929" i="34"/>
  <c r="N929" i="34"/>
  <c r="O929" i="34"/>
  <c r="A930" i="34"/>
  <c r="B930" i="34"/>
  <c r="C930" i="34"/>
  <c r="D930" i="34"/>
  <c r="E930" i="34"/>
  <c r="F930" i="34"/>
  <c r="G930" i="34"/>
  <c r="H930" i="34"/>
  <c r="I930" i="34"/>
  <c r="J930" i="34"/>
  <c r="K930" i="34"/>
  <c r="L930" i="34"/>
  <c r="M930" i="34"/>
  <c r="N930" i="34"/>
  <c r="O930" i="34"/>
  <c r="A931" i="34"/>
  <c r="B931" i="34"/>
  <c r="C931" i="34"/>
  <c r="D931" i="34"/>
  <c r="E931" i="34"/>
  <c r="F931" i="34"/>
  <c r="G931" i="34"/>
  <c r="H931" i="34"/>
  <c r="I931" i="34"/>
  <c r="J931" i="34"/>
  <c r="K931" i="34"/>
  <c r="L931" i="34"/>
  <c r="M931" i="34"/>
  <c r="N931" i="34"/>
  <c r="O931" i="34"/>
  <c r="A932" i="34"/>
  <c r="B932" i="34"/>
  <c r="C932" i="34"/>
  <c r="D932" i="34"/>
  <c r="E932" i="34"/>
  <c r="F932" i="34"/>
  <c r="G932" i="34"/>
  <c r="H932" i="34"/>
  <c r="I932" i="34"/>
  <c r="J932" i="34"/>
  <c r="K932" i="34"/>
  <c r="L932" i="34"/>
  <c r="M932" i="34"/>
  <c r="N932" i="34"/>
  <c r="O932" i="34"/>
  <c r="A933" i="34"/>
  <c r="B933" i="34"/>
  <c r="C933" i="34"/>
  <c r="D933" i="34"/>
  <c r="E933" i="34"/>
  <c r="F933" i="34"/>
  <c r="G933" i="34"/>
  <c r="H933" i="34"/>
  <c r="I933" i="34"/>
  <c r="J933" i="34"/>
  <c r="K933" i="34"/>
  <c r="L933" i="34"/>
  <c r="M933" i="34"/>
  <c r="N933" i="34"/>
  <c r="O933" i="34"/>
  <c r="A934" i="34"/>
  <c r="B934" i="34"/>
  <c r="C934" i="34"/>
  <c r="D934" i="34"/>
  <c r="E934" i="34"/>
  <c r="F934" i="34"/>
  <c r="G934" i="34"/>
  <c r="H934" i="34"/>
  <c r="I934" i="34"/>
  <c r="J934" i="34"/>
  <c r="K934" i="34"/>
  <c r="L934" i="34"/>
  <c r="M934" i="34"/>
  <c r="N934" i="34"/>
  <c r="O934" i="34"/>
  <c r="A935" i="34"/>
  <c r="B935" i="34"/>
  <c r="C935" i="34"/>
  <c r="D935" i="34"/>
  <c r="E935" i="34"/>
  <c r="F935" i="34"/>
  <c r="G935" i="34"/>
  <c r="H935" i="34"/>
  <c r="I935" i="34"/>
  <c r="J935" i="34"/>
  <c r="K935" i="34"/>
  <c r="L935" i="34"/>
  <c r="M935" i="34"/>
  <c r="N935" i="34"/>
  <c r="O935" i="34"/>
  <c r="A936" i="34"/>
  <c r="B936" i="34"/>
  <c r="C936" i="34"/>
  <c r="D936" i="34"/>
  <c r="E936" i="34"/>
  <c r="F936" i="34"/>
  <c r="G936" i="34"/>
  <c r="H936" i="34"/>
  <c r="I936" i="34"/>
  <c r="J936" i="34"/>
  <c r="K936" i="34"/>
  <c r="L936" i="34"/>
  <c r="M936" i="34"/>
  <c r="N936" i="34"/>
  <c r="O936" i="34"/>
  <c r="A937" i="34"/>
  <c r="B937" i="34"/>
  <c r="C937" i="34"/>
  <c r="D937" i="34"/>
  <c r="E937" i="34"/>
  <c r="F937" i="34"/>
  <c r="G937" i="34"/>
  <c r="H937" i="34"/>
  <c r="I937" i="34"/>
  <c r="J937" i="34"/>
  <c r="K937" i="34"/>
  <c r="L937" i="34"/>
  <c r="M937" i="34"/>
  <c r="N937" i="34"/>
  <c r="O937" i="34"/>
  <c r="A938" i="34"/>
  <c r="B938" i="34"/>
  <c r="C938" i="34"/>
  <c r="D938" i="34"/>
  <c r="E938" i="34"/>
  <c r="F938" i="34"/>
  <c r="G938" i="34"/>
  <c r="H938" i="34"/>
  <c r="I938" i="34"/>
  <c r="J938" i="34"/>
  <c r="K938" i="34"/>
  <c r="L938" i="34"/>
  <c r="M938" i="34"/>
  <c r="N938" i="34"/>
  <c r="O938" i="34"/>
  <c r="A939" i="34"/>
  <c r="B939" i="34"/>
  <c r="C939" i="34"/>
  <c r="D939" i="34"/>
  <c r="E939" i="34"/>
  <c r="F939" i="34"/>
  <c r="G939" i="34"/>
  <c r="H939" i="34"/>
  <c r="I939" i="34"/>
  <c r="J939" i="34"/>
  <c r="K939" i="34"/>
  <c r="L939" i="34"/>
  <c r="M939" i="34"/>
  <c r="N939" i="34"/>
  <c r="O939" i="34"/>
  <c r="A940" i="34"/>
  <c r="B940" i="34"/>
  <c r="C940" i="34"/>
  <c r="D940" i="34"/>
  <c r="E940" i="34"/>
  <c r="F940" i="34"/>
  <c r="G940" i="34"/>
  <c r="H940" i="34"/>
  <c r="I940" i="34"/>
  <c r="J940" i="34"/>
  <c r="K940" i="34"/>
  <c r="L940" i="34"/>
  <c r="M940" i="34"/>
  <c r="N940" i="34"/>
  <c r="O940" i="34"/>
  <c r="A941" i="34"/>
  <c r="B941" i="34"/>
  <c r="C941" i="34"/>
  <c r="D941" i="34"/>
  <c r="E941" i="34"/>
  <c r="F941" i="34"/>
  <c r="G941" i="34"/>
  <c r="H941" i="34"/>
  <c r="I941" i="34"/>
  <c r="J941" i="34"/>
  <c r="K941" i="34"/>
  <c r="L941" i="34"/>
  <c r="M941" i="34"/>
  <c r="N941" i="34"/>
  <c r="O941" i="34"/>
  <c r="A942" i="34"/>
  <c r="B942" i="34"/>
  <c r="C942" i="34"/>
  <c r="D942" i="34"/>
  <c r="E942" i="34"/>
  <c r="F942" i="34"/>
  <c r="G942" i="34"/>
  <c r="H942" i="34"/>
  <c r="I942" i="34"/>
  <c r="J942" i="34"/>
  <c r="K942" i="34"/>
  <c r="L942" i="34"/>
  <c r="M942" i="34"/>
  <c r="N942" i="34"/>
  <c r="O942" i="34"/>
  <c r="A943" i="34"/>
  <c r="B943" i="34"/>
  <c r="C943" i="34"/>
  <c r="D943" i="34"/>
  <c r="E943" i="34"/>
  <c r="F943" i="34"/>
  <c r="G943" i="34"/>
  <c r="H943" i="34"/>
  <c r="I943" i="34"/>
  <c r="J943" i="34"/>
  <c r="K943" i="34"/>
  <c r="L943" i="34"/>
  <c r="M943" i="34"/>
  <c r="N943" i="34"/>
  <c r="O943" i="34"/>
  <c r="A944" i="34"/>
  <c r="B944" i="34"/>
  <c r="C944" i="34"/>
  <c r="D944" i="34"/>
  <c r="E944" i="34"/>
  <c r="F944" i="34"/>
  <c r="G944" i="34"/>
  <c r="H944" i="34"/>
  <c r="I944" i="34"/>
  <c r="J944" i="34"/>
  <c r="K944" i="34"/>
  <c r="L944" i="34"/>
  <c r="M944" i="34"/>
  <c r="N944" i="34"/>
  <c r="O944" i="34"/>
  <c r="A945" i="34"/>
  <c r="B945" i="34"/>
  <c r="C945" i="34"/>
  <c r="D945" i="34"/>
  <c r="E945" i="34"/>
  <c r="F945" i="34"/>
  <c r="G945" i="34"/>
  <c r="H945" i="34"/>
  <c r="I945" i="34"/>
  <c r="J945" i="34"/>
  <c r="K945" i="34"/>
  <c r="L945" i="34"/>
  <c r="M945" i="34"/>
  <c r="N945" i="34"/>
  <c r="O945" i="34"/>
  <c r="A946" i="34"/>
  <c r="B946" i="34"/>
  <c r="C946" i="34"/>
  <c r="D946" i="34"/>
  <c r="E946" i="34"/>
  <c r="F946" i="34"/>
  <c r="G946" i="34"/>
  <c r="H946" i="34"/>
  <c r="I946" i="34"/>
  <c r="J946" i="34"/>
  <c r="K946" i="34"/>
  <c r="L946" i="34"/>
  <c r="M946" i="34"/>
  <c r="N946" i="34"/>
  <c r="O946" i="34"/>
  <c r="A947" i="34"/>
  <c r="B947" i="34"/>
  <c r="C947" i="34"/>
  <c r="D947" i="34"/>
  <c r="E947" i="34"/>
  <c r="F947" i="34"/>
  <c r="G947" i="34"/>
  <c r="H947" i="34"/>
  <c r="I947" i="34"/>
  <c r="J947" i="34"/>
  <c r="K947" i="34"/>
  <c r="L947" i="34"/>
  <c r="M947" i="34"/>
  <c r="N947" i="34"/>
  <c r="O947" i="34"/>
  <c r="A948" i="34"/>
  <c r="B948" i="34"/>
  <c r="C948" i="34"/>
  <c r="D948" i="34"/>
  <c r="E948" i="34"/>
  <c r="F948" i="34"/>
  <c r="G948" i="34"/>
  <c r="H948" i="34"/>
  <c r="I948" i="34"/>
  <c r="J948" i="34"/>
  <c r="K948" i="34"/>
  <c r="L948" i="34"/>
  <c r="M948" i="34"/>
  <c r="N948" i="34"/>
  <c r="O948" i="34"/>
  <c r="A949" i="34"/>
  <c r="B949" i="34"/>
  <c r="C949" i="34"/>
  <c r="D949" i="34"/>
  <c r="E949" i="34"/>
  <c r="F949" i="34"/>
  <c r="G949" i="34"/>
  <c r="H949" i="34"/>
  <c r="I949" i="34"/>
  <c r="J949" i="34"/>
  <c r="K949" i="34"/>
  <c r="L949" i="34"/>
  <c r="M949" i="34"/>
  <c r="N949" i="34"/>
  <c r="O949" i="34"/>
  <c r="A950" i="34"/>
  <c r="B950" i="34"/>
  <c r="C950" i="34"/>
  <c r="D950" i="34"/>
  <c r="E950" i="34"/>
  <c r="F950" i="34"/>
  <c r="G950" i="34"/>
  <c r="H950" i="34"/>
  <c r="I950" i="34"/>
  <c r="J950" i="34"/>
  <c r="K950" i="34"/>
  <c r="L950" i="34"/>
  <c r="M950" i="34"/>
  <c r="N950" i="34"/>
  <c r="O950" i="34"/>
  <c r="A951" i="34"/>
  <c r="B951" i="34"/>
  <c r="C951" i="34"/>
  <c r="D951" i="34"/>
  <c r="E951" i="34"/>
  <c r="F951" i="34"/>
  <c r="G951" i="34"/>
  <c r="H951" i="34"/>
  <c r="I951" i="34"/>
  <c r="J951" i="34"/>
  <c r="K951" i="34"/>
  <c r="L951" i="34"/>
  <c r="M951" i="34"/>
  <c r="N951" i="34"/>
  <c r="O951" i="34"/>
  <c r="A952" i="34"/>
  <c r="B952" i="34"/>
  <c r="C952" i="34"/>
  <c r="D952" i="34"/>
  <c r="E952" i="34"/>
  <c r="F952" i="34"/>
  <c r="G952" i="34"/>
  <c r="H952" i="34"/>
  <c r="I952" i="34"/>
  <c r="J952" i="34"/>
  <c r="K952" i="34"/>
  <c r="L952" i="34"/>
  <c r="M952" i="34"/>
  <c r="N952" i="34"/>
  <c r="O952" i="34"/>
  <c r="A953" i="34"/>
  <c r="B953" i="34"/>
  <c r="C953" i="34"/>
  <c r="D953" i="34"/>
  <c r="E953" i="34"/>
  <c r="F953" i="34"/>
  <c r="G953" i="34"/>
  <c r="H953" i="34"/>
  <c r="I953" i="34"/>
  <c r="J953" i="34"/>
  <c r="K953" i="34"/>
  <c r="L953" i="34"/>
  <c r="M953" i="34"/>
  <c r="N953" i="34"/>
  <c r="O953" i="34"/>
  <c r="A954" i="34"/>
  <c r="B954" i="34"/>
  <c r="C954" i="34"/>
  <c r="D954" i="34"/>
  <c r="E954" i="34"/>
  <c r="F954" i="34"/>
  <c r="G954" i="34"/>
  <c r="H954" i="34"/>
  <c r="I954" i="34"/>
  <c r="J954" i="34"/>
  <c r="K954" i="34"/>
  <c r="L954" i="34"/>
  <c r="M954" i="34"/>
  <c r="N954" i="34"/>
  <c r="O954" i="34"/>
  <c r="A955" i="34"/>
  <c r="B955" i="34"/>
  <c r="C955" i="34"/>
  <c r="D955" i="34"/>
  <c r="E955" i="34"/>
  <c r="F955" i="34"/>
  <c r="G955" i="34"/>
  <c r="H955" i="34"/>
  <c r="I955" i="34"/>
  <c r="J955" i="34"/>
  <c r="K955" i="34"/>
  <c r="L955" i="34"/>
  <c r="M955" i="34"/>
  <c r="N955" i="34"/>
  <c r="O955" i="34"/>
  <c r="A956" i="34"/>
  <c r="B956" i="34"/>
  <c r="C956" i="34"/>
  <c r="D956" i="34"/>
  <c r="E956" i="34"/>
  <c r="F956" i="34"/>
  <c r="G956" i="34"/>
  <c r="H956" i="34"/>
  <c r="I956" i="34"/>
  <c r="J956" i="34"/>
  <c r="K956" i="34"/>
  <c r="L956" i="34"/>
  <c r="M956" i="34"/>
  <c r="N956" i="34"/>
  <c r="O956" i="34"/>
  <c r="A957" i="34"/>
  <c r="B957" i="34"/>
  <c r="C957" i="34"/>
  <c r="D957" i="34"/>
  <c r="E957" i="34"/>
  <c r="F957" i="34"/>
  <c r="G957" i="34"/>
  <c r="H957" i="34"/>
  <c r="I957" i="34"/>
  <c r="J957" i="34"/>
  <c r="K957" i="34"/>
  <c r="L957" i="34"/>
  <c r="M957" i="34"/>
  <c r="N957" i="34"/>
  <c r="O957" i="34"/>
  <c r="A958" i="34"/>
  <c r="B958" i="34"/>
  <c r="C958" i="34"/>
  <c r="D958" i="34"/>
  <c r="E958" i="34"/>
  <c r="F958" i="34"/>
  <c r="G958" i="34"/>
  <c r="H958" i="34"/>
  <c r="I958" i="34"/>
  <c r="J958" i="34"/>
  <c r="K958" i="34"/>
  <c r="L958" i="34"/>
  <c r="M958" i="34"/>
  <c r="N958" i="34"/>
  <c r="O958" i="34"/>
  <c r="A959" i="34"/>
  <c r="B959" i="34"/>
  <c r="C959" i="34"/>
  <c r="D959" i="34"/>
  <c r="E959" i="34"/>
  <c r="F959" i="34"/>
  <c r="G959" i="34"/>
  <c r="H959" i="34"/>
  <c r="I959" i="34"/>
  <c r="J959" i="34"/>
  <c r="K959" i="34"/>
  <c r="L959" i="34"/>
  <c r="M959" i="34"/>
  <c r="N959" i="34"/>
  <c r="O959" i="34"/>
  <c r="A960" i="34"/>
  <c r="B960" i="34"/>
  <c r="C960" i="34"/>
  <c r="D960" i="34"/>
  <c r="E960" i="34"/>
  <c r="F960" i="34"/>
  <c r="G960" i="34"/>
  <c r="H960" i="34"/>
  <c r="I960" i="34"/>
  <c r="J960" i="34"/>
  <c r="K960" i="34"/>
  <c r="L960" i="34"/>
  <c r="M960" i="34"/>
  <c r="N960" i="34"/>
  <c r="O960" i="34"/>
  <c r="A961" i="34"/>
  <c r="B961" i="34"/>
  <c r="C961" i="34"/>
  <c r="D961" i="34"/>
  <c r="E961" i="34"/>
  <c r="F961" i="34"/>
  <c r="G961" i="34"/>
  <c r="H961" i="34"/>
  <c r="I961" i="34"/>
  <c r="J961" i="34"/>
  <c r="K961" i="34"/>
  <c r="L961" i="34"/>
  <c r="M961" i="34"/>
  <c r="N961" i="34"/>
  <c r="O961" i="34"/>
  <c r="A962" i="34"/>
  <c r="B962" i="34"/>
  <c r="C962" i="34"/>
  <c r="D962" i="34"/>
  <c r="E962" i="34"/>
  <c r="F962" i="34"/>
  <c r="G962" i="34"/>
  <c r="H962" i="34"/>
  <c r="I962" i="34"/>
  <c r="J962" i="34"/>
  <c r="K962" i="34"/>
  <c r="L962" i="34"/>
  <c r="M962" i="34"/>
  <c r="N962" i="34"/>
  <c r="O962" i="34"/>
  <c r="A963" i="34"/>
  <c r="B963" i="34"/>
  <c r="C963" i="34"/>
  <c r="D963" i="34"/>
  <c r="E963" i="34"/>
  <c r="F963" i="34"/>
  <c r="G963" i="34"/>
  <c r="H963" i="34"/>
  <c r="I963" i="34"/>
  <c r="J963" i="34"/>
  <c r="K963" i="34"/>
  <c r="L963" i="34"/>
  <c r="M963" i="34"/>
  <c r="N963" i="34"/>
  <c r="O963" i="34"/>
  <c r="A964" i="34"/>
  <c r="B964" i="34"/>
  <c r="C964" i="34"/>
  <c r="D964" i="34"/>
  <c r="E964" i="34"/>
  <c r="F964" i="34"/>
  <c r="G964" i="34"/>
  <c r="H964" i="34"/>
  <c r="I964" i="34"/>
  <c r="J964" i="34"/>
  <c r="K964" i="34"/>
  <c r="L964" i="34"/>
  <c r="M964" i="34"/>
  <c r="N964" i="34"/>
  <c r="O964" i="34"/>
  <c r="A965" i="34"/>
  <c r="B965" i="34"/>
  <c r="C965" i="34"/>
  <c r="D965" i="34"/>
  <c r="E965" i="34"/>
  <c r="F965" i="34"/>
  <c r="G965" i="34"/>
  <c r="H965" i="34"/>
  <c r="I965" i="34"/>
  <c r="J965" i="34"/>
  <c r="K965" i="34"/>
  <c r="L965" i="34"/>
  <c r="M965" i="34"/>
  <c r="N965" i="34"/>
  <c r="O965" i="34"/>
  <c r="A966" i="34"/>
  <c r="B966" i="34"/>
  <c r="C966" i="34"/>
  <c r="D966" i="34"/>
  <c r="E966" i="34"/>
  <c r="F966" i="34"/>
  <c r="G966" i="34"/>
  <c r="H966" i="34"/>
  <c r="I966" i="34"/>
  <c r="J966" i="34"/>
  <c r="K966" i="34"/>
  <c r="L966" i="34"/>
  <c r="M966" i="34"/>
  <c r="N966" i="34"/>
  <c r="O966" i="34"/>
  <c r="A967" i="34"/>
  <c r="B967" i="34"/>
  <c r="C967" i="34"/>
  <c r="D967" i="34"/>
  <c r="E967" i="34"/>
  <c r="F967" i="34"/>
  <c r="G967" i="34"/>
  <c r="H967" i="34"/>
  <c r="I967" i="34"/>
  <c r="J967" i="34"/>
  <c r="K967" i="34"/>
  <c r="L967" i="34"/>
  <c r="M967" i="34"/>
  <c r="N967" i="34"/>
  <c r="O967" i="34"/>
  <c r="A968" i="34"/>
  <c r="B968" i="34"/>
  <c r="C968" i="34"/>
  <c r="D968" i="34"/>
  <c r="E968" i="34"/>
  <c r="F968" i="34"/>
  <c r="G968" i="34"/>
  <c r="H968" i="34"/>
  <c r="I968" i="34"/>
  <c r="J968" i="34"/>
  <c r="K968" i="34"/>
  <c r="L968" i="34"/>
  <c r="M968" i="34"/>
  <c r="N968" i="34"/>
  <c r="O968" i="34"/>
  <c r="A969" i="34"/>
  <c r="B969" i="34"/>
  <c r="C969" i="34"/>
  <c r="D969" i="34"/>
  <c r="E969" i="34"/>
  <c r="F969" i="34"/>
  <c r="G969" i="34"/>
  <c r="H969" i="34"/>
  <c r="I969" i="34"/>
  <c r="J969" i="34"/>
  <c r="K969" i="34"/>
  <c r="L969" i="34"/>
  <c r="M969" i="34"/>
  <c r="N969" i="34"/>
  <c r="O969" i="34"/>
  <c r="A970" i="34"/>
  <c r="B970" i="34"/>
  <c r="C970" i="34"/>
  <c r="D970" i="34"/>
  <c r="E970" i="34"/>
  <c r="F970" i="34"/>
  <c r="G970" i="34"/>
  <c r="H970" i="34"/>
  <c r="I970" i="34"/>
  <c r="J970" i="34"/>
  <c r="K970" i="34"/>
  <c r="L970" i="34"/>
  <c r="M970" i="34"/>
  <c r="N970" i="34"/>
  <c r="O970" i="34"/>
  <c r="A971" i="34"/>
  <c r="B971" i="34"/>
  <c r="C971" i="34"/>
  <c r="D971" i="34"/>
  <c r="E971" i="34"/>
  <c r="F971" i="34"/>
  <c r="G971" i="34"/>
  <c r="H971" i="34"/>
  <c r="I971" i="34"/>
  <c r="J971" i="34"/>
  <c r="K971" i="34"/>
  <c r="L971" i="34"/>
  <c r="M971" i="34"/>
  <c r="N971" i="34"/>
  <c r="O971" i="34"/>
  <c r="A972" i="34"/>
  <c r="B972" i="34"/>
  <c r="C972" i="34"/>
  <c r="D972" i="34"/>
  <c r="E972" i="34"/>
  <c r="F972" i="34"/>
  <c r="G972" i="34"/>
  <c r="H972" i="34"/>
  <c r="I972" i="34"/>
  <c r="J972" i="34"/>
  <c r="K972" i="34"/>
  <c r="L972" i="34"/>
  <c r="M972" i="34"/>
  <c r="N972" i="34"/>
  <c r="O972" i="34"/>
  <c r="A973" i="34"/>
  <c r="B973" i="34"/>
  <c r="C973" i="34"/>
  <c r="D973" i="34"/>
  <c r="E973" i="34"/>
  <c r="F973" i="34"/>
  <c r="G973" i="34"/>
  <c r="H973" i="34"/>
  <c r="I973" i="34"/>
  <c r="J973" i="34"/>
  <c r="K973" i="34"/>
  <c r="L973" i="34"/>
  <c r="M973" i="34"/>
  <c r="N973" i="34"/>
  <c r="O973" i="34"/>
  <c r="A974" i="34"/>
  <c r="B974" i="34"/>
  <c r="C974" i="34"/>
  <c r="D974" i="34"/>
  <c r="E974" i="34"/>
  <c r="F974" i="34"/>
  <c r="G974" i="34"/>
  <c r="H974" i="34"/>
  <c r="I974" i="34"/>
  <c r="J974" i="34"/>
  <c r="K974" i="34"/>
  <c r="L974" i="34"/>
  <c r="M974" i="34"/>
  <c r="N974" i="34"/>
  <c r="O974" i="34"/>
  <c r="A975" i="34"/>
  <c r="B975" i="34"/>
  <c r="C975" i="34"/>
  <c r="D975" i="34"/>
  <c r="E975" i="34"/>
  <c r="F975" i="34"/>
  <c r="G975" i="34"/>
  <c r="H975" i="34"/>
  <c r="I975" i="34"/>
  <c r="J975" i="34"/>
  <c r="K975" i="34"/>
  <c r="L975" i="34"/>
  <c r="M975" i="34"/>
  <c r="N975" i="34"/>
  <c r="O975" i="34"/>
  <c r="A976" i="34"/>
  <c r="B976" i="34"/>
  <c r="C976" i="34"/>
  <c r="D976" i="34"/>
  <c r="E976" i="34"/>
  <c r="F976" i="34"/>
  <c r="G976" i="34"/>
  <c r="H976" i="34"/>
  <c r="I976" i="34"/>
  <c r="J976" i="34"/>
  <c r="K976" i="34"/>
  <c r="L976" i="34"/>
  <c r="M976" i="34"/>
  <c r="N976" i="34"/>
  <c r="O976" i="34"/>
  <c r="A977" i="34"/>
  <c r="B977" i="34"/>
  <c r="C977" i="34"/>
  <c r="D977" i="34"/>
  <c r="E977" i="34"/>
  <c r="F977" i="34"/>
  <c r="G977" i="34"/>
  <c r="H977" i="34"/>
  <c r="I977" i="34"/>
  <c r="J977" i="34"/>
  <c r="K977" i="34"/>
  <c r="L977" i="34"/>
  <c r="M977" i="34"/>
  <c r="N977" i="34"/>
  <c r="O977" i="34"/>
  <c r="A978" i="34"/>
  <c r="B978" i="34"/>
  <c r="C978" i="34"/>
  <c r="D978" i="34"/>
  <c r="E978" i="34"/>
  <c r="F978" i="34"/>
  <c r="G978" i="34"/>
  <c r="H978" i="34"/>
  <c r="I978" i="34"/>
  <c r="J978" i="34"/>
  <c r="K978" i="34"/>
  <c r="L978" i="34"/>
  <c r="M978" i="34"/>
  <c r="N978" i="34"/>
  <c r="O978" i="34"/>
  <c r="A979" i="34"/>
  <c r="B979" i="34"/>
  <c r="C979" i="34"/>
  <c r="D979" i="34"/>
  <c r="E979" i="34"/>
  <c r="F979" i="34"/>
  <c r="G979" i="34"/>
  <c r="H979" i="34"/>
  <c r="I979" i="34"/>
  <c r="J979" i="34"/>
  <c r="K979" i="34"/>
  <c r="L979" i="34"/>
  <c r="M979" i="34"/>
  <c r="N979" i="34"/>
  <c r="O979" i="34"/>
  <c r="A980" i="34"/>
  <c r="B980" i="34"/>
  <c r="C980" i="34"/>
  <c r="D980" i="34"/>
  <c r="E980" i="34"/>
  <c r="F980" i="34"/>
  <c r="G980" i="34"/>
  <c r="H980" i="34"/>
  <c r="I980" i="34"/>
  <c r="J980" i="34"/>
  <c r="K980" i="34"/>
  <c r="L980" i="34"/>
  <c r="M980" i="34"/>
  <c r="N980" i="34"/>
  <c r="O980" i="34"/>
  <c r="A981" i="34"/>
  <c r="B981" i="34"/>
  <c r="C981" i="34"/>
  <c r="D981" i="34"/>
  <c r="E981" i="34"/>
  <c r="F981" i="34"/>
  <c r="G981" i="34"/>
  <c r="H981" i="34"/>
  <c r="I981" i="34"/>
  <c r="J981" i="34"/>
  <c r="K981" i="34"/>
  <c r="L981" i="34"/>
  <c r="M981" i="34"/>
  <c r="N981" i="34"/>
  <c r="O981" i="34"/>
  <c r="A982" i="34"/>
  <c r="B982" i="34"/>
  <c r="C982" i="34"/>
  <c r="D982" i="34"/>
  <c r="E982" i="34"/>
  <c r="F982" i="34"/>
  <c r="G982" i="34"/>
  <c r="H982" i="34"/>
  <c r="I982" i="34"/>
  <c r="J982" i="34"/>
  <c r="K982" i="34"/>
  <c r="L982" i="34"/>
  <c r="M982" i="34"/>
  <c r="N982" i="34"/>
  <c r="O982" i="34"/>
  <c r="A983" i="34"/>
  <c r="B983" i="34"/>
  <c r="C983" i="34"/>
  <c r="D983" i="34"/>
  <c r="E983" i="34"/>
  <c r="F983" i="34"/>
  <c r="G983" i="34"/>
  <c r="H983" i="34"/>
  <c r="I983" i="34"/>
  <c r="J983" i="34"/>
  <c r="K983" i="34"/>
  <c r="L983" i="34"/>
  <c r="M983" i="34"/>
  <c r="N983" i="34"/>
  <c r="O983" i="34"/>
  <c r="A984" i="34"/>
  <c r="B984" i="34"/>
  <c r="C984" i="34"/>
  <c r="D984" i="34"/>
  <c r="E984" i="34"/>
  <c r="F984" i="34"/>
  <c r="G984" i="34"/>
  <c r="H984" i="34"/>
  <c r="I984" i="34"/>
  <c r="J984" i="34"/>
  <c r="K984" i="34"/>
  <c r="L984" i="34"/>
  <c r="M984" i="34"/>
  <c r="N984" i="34"/>
  <c r="O984" i="34"/>
  <c r="A985" i="34"/>
  <c r="B985" i="34"/>
  <c r="C985" i="34"/>
  <c r="D985" i="34"/>
  <c r="E985" i="34"/>
  <c r="F985" i="34"/>
  <c r="G985" i="34"/>
  <c r="H985" i="34"/>
  <c r="I985" i="34"/>
  <c r="J985" i="34"/>
  <c r="K985" i="34"/>
  <c r="L985" i="34"/>
  <c r="M985" i="34"/>
  <c r="N985" i="34"/>
  <c r="O985" i="34"/>
  <c r="A986" i="34"/>
  <c r="B986" i="34"/>
  <c r="C986" i="34"/>
  <c r="D986" i="34"/>
  <c r="E986" i="34"/>
  <c r="F986" i="34"/>
  <c r="G986" i="34"/>
  <c r="H986" i="34"/>
  <c r="I986" i="34"/>
  <c r="J986" i="34"/>
  <c r="K986" i="34"/>
  <c r="L986" i="34"/>
  <c r="M986" i="34"/>
  <c r="N986" i="34"/>
  <c r="O986" i="34"/>
  <c r="A987" i="34"/>
  <c r="B987" i="34"/>
  <c r="C987" i="34"/>
  <c r="D987" i="34"/>
  <c r="E987" i="34"/>
  <c r="F987" i="34"/>
  <c r="G987" i="34"/>
  <c r="H987" i="34"/>
  <c r="I987" i="34"/>
  <c r="J987" i="34"/>
  <c r="K987" i="34"/>
  <c r="L987" i="34"/>
  <c r="M987" i="34"/>
  <c r="N987" i="34"/>
  <c r="O987" i="34"/>
  <c r="A988" i="34"/>
  <c r="B988" i="34"/>
  <c r="C988" i="34"/>
  <c r="D988" i="34"/>
  <c r="E988" i="34"/>
  <c r="F988" i="34"/>
  <c r="G988" i="34"/>
  <c r="H988" i="34"/>
  <c r="I988" i="34"/>
  <c r="J988" i="34"/>
  <c r="K988" i="34"/>
  <c r="L988" i="34"/>
  <c r="M988" i="34"/>
  <c r="N988" i="34"/>
  <c r="O988" i="34"/>
  <c r="A989" i="34"/>
  <c r="B989" i="34"/>
  <c r="C989" i="34"/>
  <c r="D989" i="34"/>
  <c r="E989" i="34"/>
  <c r="F989" i="34"/>
  <c r="G989" i="34"/>
  <c r="H989" i="34"/>
  <c r="I989" i="34"/>
  <c r="J989" i="34"/>
  <c r="K989" i="34"/>
  <c r="L989" i="34"/>
  <c r="M989" i="34"/>
  <c r="N989" i="34"/>
  <c r="O989" i="34"/>
  <c r="A990" i="34"/>
  <c r="B990" i="34"/>
  <c r="C990" i="34"/>
  <c r="D990" i="34"/>
  <c r="E990" i="34"/>
  <c r="F990" i="34"/>
  <c r="G990" i="34"/>
  <c r="H990" i="34"/>
  <c r="I990" i="34"/>
  <c r="J990" i="34"/>
  <c r="K990" i="34"/>
  <c r="L990" i="34"/>
  <c r="M990" i="34"/>
  <c r="N990" i="34"/>
  <c r="O990" i="34"/>
  <c r="A991" i="34"/>
  <c r="B991" i="34"/>
  <c r="C991" i="34"/>
  <c r="D991" i="34"/>
  <c r="E991" i="34"/>
  <c r="F991" i="34"/>
  <c r="G991" i="34"/>
  <c r="H991" i="34"/>
  <c r="I991" i="34"/>
  <c r="J991" i="34"/>
  <c r="K991" i="34"/>
  <c r="L991" i="34"/>
  <c r="M991" i="34"/>
  <c r="N991" i="34"/>
  <c r="O991" i="34"/>
  <c r="A992" i="34"/>
  <c r="B992" i="34"/>
  <c r="C992" i="34"/>
  <c r="D992" i="34"/>
  <c r="E992" i="34"/>
  <c r="F992" i="34"/>
  <c r="G992" i="34"/>
  <c r="H992" i="34"/>
  <c r="I992" i="34"/>
  <c r="J992" i="34"/>
  <c r="K992" i="34"/>
  <c r="L992" i="34"/>
  <c r="M992" i="34"/>
  <c r="N992" i="34"/>
  <c r="O992" i="34"/>
  <c r="A993" i="34"/>
  <c r="B993" i="34"/>
  <c r="C993" i="34"/>
  <c r="D993" i="34"/>
  <c r="E993" i="34"/>
  <c r="F993" i="34"/>
  <c r="G993" i="34"/>
  <c r="H993" i="34"/>
  <c r="I993" i="34"/>
  <c r="J993" i="34"/>
  <c r="K993" i="34"/>
  <c r="L993" i="34"/>
  <c r="M993" i="34"/>
  <c r="N993" i="34"/>
  <c r="O993" i="34"/>
  <c r="A994" i="34"/>
  <c r="B994" i="34"/>
  <c r="C994" i="34"/>
  <c r="D994" i="34"/>
  <c r="E994" i="34"/>
  <c r="F994" i="34"/>
  <c r="G994" i="34"/>
  <c r="H994" i="34"/>
  <c r="I994" i="34"/>
  <c r="J994" i="34"/>
  <c r="K994" i="34"/>
  <c r="L994" i="34"/>
  <c r="M994" i="34"/>
  <c r="N994" i="34"/>
  <c r="O994" i="34"/>
  <c r="A995" i="34"/>
  <c r="B995" i="34"/>
  <c r="C995" i="34"/>
  <c r="D995" i="34"/>
  <c r="E995" i="34"/>
  <c r="F995" i="34"/>
  <c r="G995" i="34"/>
  <c r="H995" i="34"/>
  <c r="I995" i="34"/>
  <c r="J995" i="34"/>
  <c r="K995" i="34"/>
  <c r="L995" i="34"/>
  <c r="M995" i="34"/>
  <c r="N995" i="34"/>
  <c r="O995" i="34"/>
  <c r="A996" i="34"/>
  <c r="B996" i="34"/>
  <c r="C996" i="34"/>
  <c r="D996" i="34"/>
  <c r="E996" i="34"/>
  <c r="F996" i="34"/>
  <c r="G996" i="34"/>
  <c r="H996" i="34"/>
  <c r="I996" i="34"/>
  <c r="J996" i="34"/>
  <c r="K996" i="34"/>
  <c r="L996" i="34"/>
  <c r="M996" i="34"/>
  <c r="N996" i="34"/>
  <c r="O996" i="34"/>
  <c r="A997" i="34"/>
  <c r="B997" i="34"/>
  <c r="C997" i="34"/>
  <c r="D997" i="34"/>
  <c r="E997" i="34"/>
  <c r="F997" i="34"/>
  <c r="G997" i="34"/>
  <c r="H997" i="34"/>
  <c r="I997" i="34"/>
  <c r="J997" i="34"/>
  <c r="K997" i="34"/>
  <c r="L997" i="34"/>
  <c r="M997" i="34"/>
  <c r="N997" i="34"/>
  <c r="O997" i="34"/>
  <c r="A998" i="34"/>
  <c r="B998" i="34"/>
  <c r="C998" i="34"/>
  <c r="D998" i="34"/>
  <c r="E998" i="34"/>
  <c r="F998" i="34"/>
  <c r="G998" i="34"/>
  <c r="H998" i="34"/>
  <c r="I998" i="34"/>
  <c r="J998" i="34"/>
  <c r="K998" i="34"/>
  <c r="L998" i="34"/>
  <c r="M998" i="34"/>
  <c r="N998" i="34"/>
  <c r="O998" i="34"/>
  <c r="A999" i="34"/>
  <c r="B999" i="34"/>
  <c r="C999" i="34"/>
  <c r="D999" i="34"/>
  <c r="E999" i="34"/>
  <c r="F999" i="34"/>
  <c r="G999" i="34"/>
  <c r="H999" i="34"/>
  <c r="I999" i="34"/>
  <c r="J999" i="34"/>
  <c r="K999" i="34"/>
  <c r="L999" i="34"/>
  <c r="M999" i="34"/>
  <c r="N999" i="34"/>
  <c r="O999" i="34"/>
  <c r="A1000" i="34"/>
  <c r="B1000" i="34"/>
  <c r="C1000" i="34"/>
  <c r="D1000" i="34"/>
  <c r="E1000" i="34"/>
  <c r="F1000" i="34"/>
  <c r="G1000" i="34"/>
  <c r="H1000" i="34"/>
  <c r="I1000" i="34"/>
  <c r="J1000" i="34"/>
  <c r="K1000" i="34"/>
  <c r="L1000" i="34"/>
  <c r="M1000" i="34"/>
  <c r="N1000" i="34"/>
  <c r="O1000" i="34"/>
  <c r="A1001" i="34"/>
  <c r="B1001" i="34"/>
  <c r="C1001" i="34"/>
  <c r="D1001" i="34"/>
  <c r="E1001" i="34"/>
  <c r="F1001" i="34"/>
  <c r="G1001" i="34"/>
  <c r="H1001" i="34"/>
  <c r="I1001" i="34"/>
  <c r="J1001" i="34"/>
  <c r="K1001" i="34"/>
  <c r="L1001" i="34"/>
  <c r="M1001" i="34"/>
  <c r="N1001" i="34"/>
  <c r="O1001" i="34"/>
  <c r="B2" i="34"/>
  <c r="C2" i="34"/>
  <c r="D2" i="34"/>
  <c r="E2" i="34"/>
  <c r="F2" i="34"/>
  <c r="G2" i="34"/>
  <c r="H2" i="34"/>
  <c r="I2" i="34"/>
  <c r="J2" i="34"/>
  <c r="K2" i="34"/>
  <c r="L2" i="34"/>
  <c r="M2" i="34"/>
  <c r="N2" i="34"/>
  <c r="O2" i="34"/>
  <c r="A2" i="34"/>
  <c r="G16" i="38" l="1"/>
  <c r="G16" i="36"/>
  <c r="G16" i="37"/>
  <c r="F15" i="36"/>
  <c r="F15" i="37"/>
  <c r="F21" i="38"/>
  <c r="F15" i="38"/>
  <c r="C16" i="38"/>
  <c r="F16" i="38" s="1"/>
  <c r="C22" i="38"/>
  <c r="D22" i="38"/>
  <c r="F21" i="37"/>
  <c r="C16" i="37"/>
  <c r="F16" i="37" s="1"/>
  <c r="C22" i="37"/>
  <c r="D22" i="37"/>
  <c r="F21" i="36"/>
  <c r="C16" i="36"/>
  <c r="C22" i="36"/>
  <c r="D22" i="36"/>
  <c r="C5" i="26"/>
  <c r="C4" i="26"/>
  <c r="D12" i="25"/>
  <c r="F28" i="30"/>
  <c r="F29" i="30" s="1"/>
  <c r="C26" i="31"/>
  <c r="C25" i="31"/>
  <c r="C24" i="31"/>
  <c r="C17" i="31"/>
  <c r="D26" i="31" s="1"/>
  <c r="C16" i="31"/>
  <c r="D25" i="31" s="1"/>
  <c r="C15" i="31"/>
  <c r="D24" i="31" s="1"/>
  <c r="C14" i="31"/>
  <c r="D23" i="31" s="1"/>
  <c r="C23" i="31"/>
  <c r="C27" i="31"/>
  <c r="C18" i="31"/>
  <c r="C8" i="31"/>
  <c r="C7" i="31"/>
  <c r="D35" i="31" l="1"/>
  <c r="F29" i="31"/>
  <c r="C6" i="26"/>
  <c r="F22" i="36"/>
  <c r="F16" i="36"/>
  <c r="F22" i="38"/>
  <c r="F22" i="37"/>
  <c r="D32" i="31"/>
  <c r="D34" i="31"/>
  <c r="D33" i="31"/>
  <c r="G21" i="26"/>
  <c r="G45" i="26"/>
  <c r="H45" i="26" s="1"/>
  <c r="G39" i="26"/>
  <c r="H39" i="26" s="1"/>
  <c r="G38" i="26"/>
  <c r="H38" i="26" s="1"/>
  <c r="G37" i="26"/>
  <c r="H37" i="26" s="1"/>
  <c r="G31" i="26"/>
  <c r="G9" i="26"/>
  <c r="G30" i="26"/>
  <c r="G47" i="26"/>
  <c r="H47" i="26" s="1"/>
  <c r="G29" i="26"/>
  <c r="G14" i="26"/>
  <c r="G46" i="26"/>
  <c r="H46" i="26" s="1"/>
  <c r="G12" i="26"/>
  <c r="H12" i="26" s="1"/>
  <c r="G44" i="26"/>
  <c r="H44" i="26" s="1"/>
  <c r="G36" i="26"/>
  <c r="H36" i="26" s="1"/>
  <c r="G28" i="26"/>
  <c r="G20" i="26"/>
  <c r="G11" i="26"/>
  <c r="G43" i="26"/>
  <c r="H43" i="26" s="1"/>
  <c r="G35" i="26"/>
  <c r="H35" i="26" s="1"/>
  <c r="G27" i="26"/>
  <c r="G19" i="26"/>
  <c r="G10" i="26"/>
  <c r="G42" i="26"/>
  <c r="H42" i="26" s="1"/>
  <c r="G34" i="26"/>
  <c r="G26" i="26"/>
  <c r="H26" i="26" s="1"/>
  <c r="G18" i="26"/>
  <c r="G13" i="26"/>
  <c r="G41" i="26"/>
  <c r="H41" i="26" s="1"/>
  <c r="G33" i="26"/>
  <c r="G25" i="26"/>
  <c r="G17" i="26"/>
  <c r="G48" i="26"/>
  <c r="H48" i="26" s="1"/>
  <c r="G40" i="26"/>
  <c r="H40" i="26" s="1"/>
  <c r="G32" i="26"/>
  <c r="G24" i="26"/>
  <c r="G16" i="26"/>
  <c r="H16" i="26" s="1"/>
  <c r="G23" i="26"/>
  <c r="G15" i="26"/>
  <c r="H15" i="26" s="1"/>
  <c r="G22" i="26"/>
  <c r="C32" i="31"/>
  <c r="C33" i="31"/>
  <c r="C34" i="31"/>
  <c r="C35" i="31"/>
  <c r="C36" i="31"/>
  <c r="D36" i="31"/>
  <c r="F25" i="31"/>
  <c r="F23" i="31"/>
  <c r="F24" i="31"/>
  <c r="F26" i="31"/>
  <c r="D27" i="31"/>
  <c r="F27" i="31" s="1"/>
  <c r="D14" i="38" l="1"/>
  <c r="F14" i="38" s="1"/>
  <c r="C31" i="38" s="1"/>
  <c r="D17" i="31"/>
  <c r="H10" i="26"/>
  <c r="H17" i="26"/>
  <c r="H13" i="26"/>
  <c r="H14" i="26"/>
  <c r="H11" i="26"/>
  <c r="H32" i="26"/>
  <c r="H34" i="26"/>
  <c r="H22" i="26"/>
  <c r="H28" i="26"/>
  <c r="H30" i="26"/>
  <c r="H25" i="26"/>
  <c r="G49" i="26"/>
  <c r="H9" i="26"/>
  <c r="D14" i="31" s="1"/>
  <c r="H33" i="26"/>
  <c r="H19" i="26"/>
  <c r="H31" i="26"/>
  <c r="H27" i="26"/>
  <c r="H23" i="26"/>
  <c r="H24" i="26"/>
  <c r="H18" i="26"/>
  <c r="H29" i="26"/>
  <c r="H20" i="26"/>
  <c r="H21" i="26"/>
  <c r="F33" i="31"/>
  <c r="F36" i="31"/>
  <c r="F35" i="31"/>
  <c r="F34" i="31"/>
  <c r="F32" i="31"/>
  <c r="D14" i="37" l="1"/>
  <c r="F14" i="37" s="1"/>
  <c r="C31" i="37" s="1"/>
  <c r="D16" i="31"/>
  <c r="D14" i="36"/>
  <c r="F14" i="36" s="1"/>
  <c r="C31" i="36" s="1"/>
  <c r="D15" i="31"/>
  <c r="D20" i="37"/>
  <c r="F20" i="37" s="1"/>
  <c r="D14" i="22"/>
  <c r="D20" i="38"/>
  <c r="F20" i="38" s="1"/>
  <c r="D20" i="36"/>
  <c r="F20" i="36" s="1"/>
  <c r="D20" i="22"/>
  <c r="H49" i="26"/>
  <c r="E41" i="30" l="1"/>
  <c r="E43" i="30"/>
  <c r="E40" i="30"/>
  <c r="C13" i="25"/>
  <c r="C21" i="22"/>
  <c r="C15" i="22"/>
  <c r="C8" i="25"/>
  <c r="C14" i="25" s="1"/>
  <c r="C7" i="25"/>
  <c r="C7" i="22"/>
  <c r="C8" i="22"/>
  <c r="F27" i="30"/>
  <c r="J27" i="30" s="1"/>
  <c r="G14" i="25" s="1"/>
  <c r="C12" i="25"/>
  <c r="C14" i="22"/>
  <c r="D15" i="22" s="1"/>
  <c r="C22" i="22" l="1"/>
  <c r="D16" i="22"/>
  <c r="G16" i="22"/>
  <c r="F16" i="31"/>
  <c r="F14" i="31"/>
  <c r="F15" i="31"/>
  <c r="F17" i="31"/>
  <c r="F18" i="31"/>
  <c r="F12" i="25"/>
  <c r="C16" i="22"/>
  <c r="D14" i="25"/>
  <c r="D22" i="22"/>
  <c r="H27" i="30"/>
  <c r="G12" i="25" s="1"/>
  <c r="I27" i="30"/>
  <c r="G13" i="25" s="1"/>
  <c r="F15" i="22"/>
  <c r="F14" i="22"/>
  <c r="C20" i="22"/>
  <c r="D21" i="22" s="1"/>
  <c r="D13" i="25"/>
  <c r="F13" i="25" s="1"/>
  <c r="F16" i="22" l="1"/>
  <c r="C31" i="22" s="1"/>
  <c r="F22" i="22"/>
  <c r="F14" i="25"/>
  <c r="F21" i="22"/>
  <c r="F20" i="22"/>
</calcChain>
</file>

<file path=xl/sharedStrings.xml><?xml version="1.0" encoding="utf-8"?>
<sst xmlns="http://schemas.openxmlformats.org/spreadsheetml/2006/main" count="716" uniqueCount="413">
  <si>
    <t>Australian Skills Guarantee</t>
  </si>
  <si>
    <t>Reporting Worksheet Instructions</t>
  </si>
  <si>
    <t>The Skills Guarantee Reporting Worksheet is provided to enable suppliers and relevant entities of projects subject to the Australian Skills Guarantee to fulfil their reporting obligations. This template provides an interim solution until the department's online reporting tool is available.</t>
  </si>
  <si>
    <r>
      <t xml:space="preserve">DEWR collates all reporting information across all </t>
    </r>
    <r>
      <rPr>
        <i/>
        <sz val="11"/>
        <color theme="1"/>
        <rFont val="Calibri"/>
        <family val="2"/>
        <scheme val="minor"/>
      </rPr>
      <t xml:space="preserve">relevant entities </t>
    </r>
    <r>
      <rPr>
        <sz val="11"/>
        <color theme="1"/>
        <rFont val="Calibri"/>
        <family val="2"/>
        <scheme val="minor"/>
      </rPr>
      <t>and eligible projects to determine overall program performance.</t>
    </r>
  </si>
  <si>
    <t>This template is to be used for all major ICT, major construction and flagship construction projects under the Australian Skills Guarantee.</t>
  </si>
  <si>
    <t>For more information on the Australian Skills Guarantee or the reporting obligations, visit:</t>
  </si>
  <si>
    <t>https://www.dewr.gov.au/australian-skills-guarantee</t>
  </si>
  <si>
    <t>Privacy and collection of personal information</t>
  </si>
  <si>
    <t>Before reporting any personal information, please confirm that the individual has read, understood and agreed to the collection, use and disclosure of their personal information as set out in the privacy notice for the Australian Skills Guarantee available here:</t>
  </si>
  <si>
    <t>https://www.dewr.gov.au/australian-skills-guarantee/resources/australian-skills-guarantee-privacy-notice</t>
  </si>
  <si>
    <t xml:space="preserve">The Department of Employment and Workplace Relations, and the relevant contracting Commonwealth department or agency, also collects personal information about the personnel who submit the Reporting Worksheet. This information will be used to administer the Australian Skills Guarantee, including to contact personnel if further information is required. </t>
  </si>
  <si>
    <r>
      <t xml:space="preserve">Your personal information is protected by law, including the </t>
    </r>
    <r>
      <rPr>
        <i/>
        <sz val="11"/>
        <color theme="1"/>
        <rFont val="Calibri"/>
        <family val="2"/>
        <scheme val="minor"/>
      </rPr>
      <t>Privacy Act 1988</t>
    </r>
    <r>
      <rPr>
        <sz val="11"/>
        <color theme="1"/>
        <rFont val="Calibri"/>
        <family val="2"/>
        <scheme val="minor"/>
      </rPr>
      <t xml:space="preserve"> and will not be disclosed to any third parties, including overseas recipients, unless you consent or it is required or authorised by law. </t>
    </r>
  </si>
  <si>
    <t>More information, including how to make a complaint and how to access and correct your personal information, can be found in the department’s Privacy Policy available at:</t>
  </si>
  <si>
    <t>www.dewr.gov.au/privacy</t>
  </si>
  <si>
    <t>or by requesting a copy from the department at:</t>
  </si>
  <si>
    <t>privacy@dewr.gov.au</t>
  </si>
  <si>
    <t>Using this worksheet - General notes</t>
  </si>
  <si>
    <r>
      <t xml:space="preserve">Suppliers and relevant entities should not amend the reporting worksheet template. If you have any issues with the template, please contact the DEWR team via </t>
    </r>
    <r>
      <rPr>
        <sz val="11"/>
        <rFont val="Calibri"/>
        <family val="2"/>
        <scheme val="minor"/>
      </rPr>
      <t>asg@dewr.gov.au.</t>
    </r>
  </si>
  <si>
    <t xml:space="preserve">Suppliers may submit additional information at the time of reporting by including attachments. </t>
  </si>
  <si>
    <t>Field types</t>
  </si>
  <si>
    <t>These fields are to capture inputs from suppliers and relevant entities.</t>
  </si>
  <si>
    <t>These are calculation fields presenting a value based on your inputs into the worksheet.</t>
  </si>
  <si>
    <t>These are reference fields, displaying information for ease of use that has been provided elsewhere in the worksheet.</t>
  </si>
  <si>
    <t>Project details</t>
  </si>
  <si>
    <t>This page is to be completed by the relevant entity to set up the project details.</t>
  </si>
  <si>
    <t>Information recorded should be entered exactly as per your contract with the supplier, and as per the details provided to AusTender.</t>
  </si>
  <si>
    <t>This page captures summary information describing the project, as well as the agreed Skills Guarantee targets and estimated total hours.</t>
  </si>
  <si>
    <t>If there is one or more variations to your contract while using this worksheet, please update the project details page to show the latest information for the value, timeline and estimated total hours.</t>
  </si>
  <si>
    <t>Gender Equality Action Plan</t>
  </si>
  <si>
    <t>Note: Flagship construction projects are required to propose higher targets for women and have a Gender Equality Action Plan (GEAP), which should be provided as an attachment when submitting this worksheet to the department.</t>
  </si>
  <si>
    <t>Potential suppliers for major construction and major ICT projects are also encouraged to submit a GEAP as part of their tender submission.</t>
  </si>
  <si>
    <t>Upon execution of the work order or contract, the GEAP (as submitted in the response to the approach to market) is considered to be approved by the relevant entity.</t>
  </si>
  <si>
    <t>Participant reporting</t>
  </si>
  <si>
    <t>This page is to be completed by the supplier.</t>
  </si>
  <si>
    <t>Suppliers should record the details of all apprentices and ICT cadets working on their project, and the hours worked to enable accurate reporting on Skills Guarantee targets. Suppliers must also record, track, and report this information on behalf of their sub-contractors.</t>
  </si>
  <si>
    <t>Suppliers must ensure that sub-contractors provide accurate and timely reporting against targets to the supplier, to enable the supplier to meet their reporting obligations to the relevant entity.</t>
  </si>
  <si>
    <t>By submitting participant details, the supplier declares that all necessary consents have been obtained for collection, use and disclosure of the participants’ personal information, including to allow DEWR to verify it against other information held in Australian Apprenticeships records or the USI registry.</t>
  </si>
  <si>
    <t>For ICT projects: All workers on eligible projects are required to have a USI. Where workers do not have a USI they must obtain one through usi.gov.au. USIs are not required to be provided, however, suppliers must indicate 'Yes' to proceed in submitting a report.</t>
  </si>
  <si>
    <t>Please refer to the Skills Guarantee Procurement Connected Policy - (dewr.gov.au) for further details about on-site and off-site hours, and explanations of Trades and other defined terms.</t>
  </si>
  <si>
    <t>Quarterly reports</t>
  </si>
  <si>
    <t>This page is to be completed by both the supplier and the relevant entity. Once suppliers have completed the reporting for each quarter, suppliers must complete the declaration confirming information is true and correct before forwarding the quarterly report to the relevant entity. Suppliers should submit this report to the relevant entity no later than 10 working days after the end of each quarter.</t>
  </si>
  <si>
    <t>Relevant entities submit data to DEWR every 6 months. These reports are due at the end of the calendar month following the end of the second quarter of a financial year.</t>
  </si>
  <si>
    <r>
      <rPr>
        <b/>
        <sz val="11"/>
        <color theme="1"/>
        <rFont val="Calibri"/>
        <family val="2"/>
        <scheme val="minor"/>
      </rPr>
      <t>Note:</t>
    </r>
    <r>
      <rPr>
        <sz val="11"/>
        <color theme="1"/>
        <rFont val="Calibri"/>
        <family val="2"/>
        <scheme val="minor"/>
      </rPr>
      <t xml:space="preserve"> Suppliers may submit reports to contracting agencies early where appropriate, such as prior to Christmas shutdown or at the end of a project. </t>
    </r>
  </si>
  <si>
    <r>
      <rPr>
        <b/>
        <sz val="11"/>
        <color theme="1"/>
        <rFont val="Calibri"/>
        <family val="2"/>
        <scheme val="minor"/>
      </rPr>
      <t xml:space="preserve">ICT projects:  </t>
    </r>
    <r>
      <rPr>
        <sz val="11"/>
        <color theme="1"/>
        <rFont val="Calibri"/>
        <family val="2"/>
        <scheme val="minor"/>
      </rPr>
      <t xml:space="preserve">For the 2024-25 financial year, the department proposes that the relevant entity should notify the department as soon as an approach to market is released for a major ICT project, and that the Contracting Agency sends the first quarterly report as soon as it’s available. </t>
    </r>
  </si>
  <si>
    <t>Financial Year Summary</t>
  </si>
  <si>
    <t>This page does not require direct input from the supplier or the relevant entity.</t>
  </si>
  <si>
    <t>This page provides an overview of progress for the full financial year.</t>
  </si>
  <si>
    <t>End of project report</t>
  </si>
  <si>
    <t>This page is to be completed by the relevant entity. Relevant entities should submit this report to DEWR no later than 20 working days after the end of the project.</t>
  </si>
  <si>
    <t>Version history</t>
  </si>
  <si>
    <t>Below is a summary of updates made since the previous version was released.
In this version of the Skills Guarantee Reporting Worksheet the following tabs have been updated:</t>
  </si>
  <si>
    <r>
      <rPr>
        <u/>
        <sz val="11"/>
        <color theme="1"/>
        <rFont val="Calibri"/>
        <family val="2"/>
        <scheme val="minor"/>
      </rPr>
      <t>Instructions:</t>
    </r>
    <r>
      <rPr>
        <sz val="11"/>
        <color theme="1"/>
        <rFont val="Calibri"/>
        <family val="2"/>
        <scheme val="minor"/>
      </rPr>
      <t xml:space="preserve">
- Project scope clarified
- Updated Privacy and collection of personal information section
- Added note about consent under Participant reporting section
- Updated Quarterly reports section to include a supplier declaration
- Version history section added
</t>
    </r>
    <r>
      <rPr>
        <u/>
        <sz val="11"/>
        <color theme="1"/>
        <rFont val="Calibri"/>
        <family val="2"/>
        <scheme val="minor"/>
      </rPr>
      <t>Project details:</t>
    </r>
    <r>
      <rPr>
        <sz val="11"/>
        <color theme="1"/>
        <rFont val="Calibri"/>
        <family val="2"/>
        <scheme val="minor"/>
      </rPr>
      <t xml:space="preserve">
- Formatting of Agency contact details – Contact Phone number field
- Formatting of Supplier contact details - Contact Phone number field
- Amending ASG Requirements – Rationale drop down reason
</t>
    </r>
    <r>
      <rPr>
        <u/>
        <sz val="11"/>
        <color theme="1"/>
        <rFont val="Calibri"/>
        <family val="2"/>
        <scheme val="minor"/>
      </rPr>
      <t>Participant reporting:</t>
    </r>
    <r>
      <rPr>
        <sz val="11"/>
        <color theme="1"/>
        <rFont val="Calibri"/>
        <family val="2"/>
        <scheme val="minor"/>
      </rPr>
      <t xml:space="preserve">
- Note on privacy consent included 
- Updated Column title ‘Has USI?’
</t>
    </r>
    <r>
      <rPr>
        <u/>
        <sz val="11"/>
        <color theme="1"/>
        <rFont val="Calibri"/>
        <family val="2"/>
        <scheme val="minor"/>
      </rPr>
      <t xml:space="preserve">Quarter 1/2/3/4 reports:
</t>
    </r>
    <r>
      <rPr>
        <sz val="11"/>
        <color theme="1"/>
        <rFont val="Calibri"/>
        <family val="2"/>
        <scheme val="minor"/>
      </rPr>
      <t xml:space="preserve">- Declaration inserted for suppliers to complete
</t>
    </r>
    <r>
      <rPr>
        <u/>
        <sz val="11"/>
        <color theme="1"/>
        <rFont val="Calibri"/>
        <family val="2"/>
        <scheme val="minor"/>
      </rPr>
      <t>End of project report:</t>
    </r>
    <r>
      <rPr>
        <sz val="11"/>
        <color theme="1"/>
        <rFont val="Calibri"/>
        <family val="2"/>
        <scheme val="minor"/>
      </rPr>
      <t xml:space="preserve">
- Contracting Agency Assessment – a new outcome has been added under the ‘Overall assessment outcome’ and with associated drop downs.</t>
    </r>
  </si>
  <si>
    <t>Project Summary details</t>
  </si>
  <si>
    <t>Use this sheet to report the summary and contact details of your project.</t>
  </si>
  <si>
    <t>Project overview</t>
  </si>
  <si>
    <t>Project name</t>
  </si>
  <si>
    <t>Eligible project type</t>
  </si>
  <si>
    <t>UNSPSC Category</t>
  </si>
  <si>
    <t>Primary project location</t>
  </si>
  <si>
    <t>Total estimated labour hours</t>
  </si>
  <si>
    <t>Contract details</t>
  </si>
  <si>
    <t>Workforce Targets</t>
  </si>
  <si>
    <t>Please enter details exactly as in the Contract Notice published on AusTender.</t>
  </si>
  <si>
    <t>Enter the estimated labour hours and, if required, update the default workforce targets as per the executed contract.</t>
  </si>
  <si>
    <t>Contract Number (CN ID)</t>
  </si>
  <si>
    <t>Financial Year</t>
  </si>
  <si>
    <t>Estimated labour hours</t>
  </si>
  <si>
    <t>Overall Apprentices / Cadets</t>
  </si>
  <si>
    <t>Women Apprentices / Cadets</t>
  </si>
  <si>
    <t>Women in Trades</t>
  </si>
  <si>
    <t>Agency</t>
  </si>
  <si>
    <t xml:space="preserve">Contract period start date </t>
  </si>
  <si>
    <t>Contract period end date</t>
  </si>
  <si>
    <t>Contract value (AUD) (inc. GST)</t>
  </si>
  <si>
    <t>Procurement method</t>
  </si>
  <si>
    <t>Supplier name</t>
  </si>
  <si>
    <t>Supplier ABN</t>
  </si>
  <si>
    <t>Latest variation number (CN ID)</t>
  </si>
  <si>
    <t>Latest variation type</t>
  </si>
  <si>
    <t>Agency contact details</t>
  </si>
  <si>
    <t>Contract Manager Name</t>
  </si>
  <si>
    <t>Total / Average</t>
  </si>
  <si>
    <t>Contact email</t>
  </si>
  <si>
    <t>Remaining to allocate</t>
  </si>
  <si>
    <t>Contact phone number</t>
  </si>
  <si>
    <t>Delegate name (if different)</t>
  </si>
  <si>
    <t>Supplier contact details</t>
  </si>
  <si>
    <t>Name</t>
  </si>
  <si>
    <t>Position</t>
  </si>
  <si>
    <t>Registered business address</t>
  </si>
  <si>
    <t>ASG Requirements</t>
  </si>
  <si>
    <t>Custom Skilled Workforce Targets</t>
  </si>
  <si>
    <t>Is there a Gender Equality Action Plan?</t>
  </si>
  <si>
    <t>In-scope for ASG</t>
  </si>
  <si>
    <t>Rationale</t>
  </si>
  <si>
    <t>Other</t>
  </si>
  <si>
    <t>Comments</t>
  </si>
  <si>
    <t>Contact Email</t>
  </si>
  <si>
    <t>Contact Phone number</t>
  </si>
  <si>
    <t>Is there a Gender Equality Action Plan</t>
  </si>
  <si>
    <t>2025 Hours</t>
  </si>
  <si>
    <t>2025 Overall target</t>
  </si>
  <si>
    <t>2025 Women target</t>
  </si>
  <si>
    <t>2025 Women in trades target</t>
  </si>
  <si>
    <t>2026 Hours</t>
  </si>
  <si>
    <t>2026 Overall target</t>
  </si>
  <si>
    <t>2026 Women target</t>
  </si>
  <si>
    <t>2026 Women in trades target</t>
  </si>
  <si>
    <t>2027 Hours</t>
  </si>
  <si>
    <t>2027 Overall target</t>
  </si>
  <si>
    <t>2027 Women target</t>
  </si>
  <si>
    <t>2027 Women in trades target</t>
  </si>
  <si>
    <t>2028 Hours</t>
  </si>
  <si>
    <t>2028 Overall target</t>
  </si>
  <si>
    <t>2028 Women target</t>
  </si>
  <si>
    <t>2028 Women in trades target</t>
  </si>
  <si>
    <t>2029 Hours</t>
  </si>
  <si>
    <t>2029 Overall target</t>
  </si>
  <si>
    <t>2029 Women target</t>
  </si>
  <si>
    <t>2029 Women in trades target</t>
  </si>
  <si>
    <t>2030 Hours</t>
  </si>
  <si>
    <t>2030 Overall target</t>
  </si>
  <si>
    <t>2030 Women target</t>
  </si>
  <si>
    <t>2030 Women in trades target</t>
  </si>
  <si>
    <t>2031 Hours</t>
  </si>
  <si>
    <t>2031 Overall target</t>
  </si>
  <si>
    <t>2031 Women target</t>
  </si>
  <si>
    <t>2031 Women in trades target</t>
  </si>
  <si>
    <t>2032 Hours</t>
  </si>
  <si>
    <t>2032 Overall target</t>
  </si>
  <si>
    <t>2032 Women target</t>
  </si>
  <si>
    <t>2032 Women in trades target</t>
  </si>
  <si>
    <t>2033 Hours</t>
  </si>
  <si>
    <t>2033 Overall target</t>
  </si>
  <si>
    <t>2033 Women target</t>
  </si>
  <si>
    <t>2033 Women in trades target</t>
  </si>
  <si>
    <t>2034 Hours</t>
  </si>
  <si>
    <t>2034 Overall target</t>
  </si>
  <si>
    <t>2034 Women target</t>
  </si>
  <si>
    <t>2034 Women in trades target</t>
  </si>
  <si>
    <t>Participant details</t>
  </si>
  <si>
    <t>Use this sheet to report the details and hours of apprentices and ICT cadets working on your project for each reporting period.</t>
  </si>
  <si>
    <t>Quarter</t>
  </si>
  <si>
    <t>Surname</t>
  </si>
  <si>
    <t>First Name</t>
  </si>
  <si>
    <t>Date of Birth</t>
  </si>
  <si>
    <t>Apprentice ID</t>
  </si>
  <si>
    <t>ICT Cadet</t>
  </si>
  <si>
    <t>Has USI and consents to its use?</t>
  </si>
  <si>
    <t>Gender</t>
  </si>
  <si>
    <t>Trade</t>
  </si>
  <si>
    <t>Hours (on-site)</t>
  </si>
  <si>
    <t>Hours (off-site)</t>
  </si>
  <si>
    <t>Residential Post Code</t>
  </si>
  <si>
    <t>Participant Contact Number</t>
  </si>
  <si>
    <t>Participant Email</t>
  </si>
  <si>
    <t>Finanicial Year</t>
  </si>
  <si>
    <t>Has USI?</t>
  </si>
  <si>
    <t>Quarterly Summary Report</t>
  </si>
  <si>
    <t>Use this sheet to report the quarterly summary information of your project.</t>
  </si>
  <si>
    <t>Please complete the Participant reporting for the relevant quarter first.</t>
  </si>
  <si>
    <t>Project Name</t>
  </si>
  <si>
    <t>Reporting year</t>
  </si>
  <si>
    <t>Quarterly performance</t>
  </si>
  <si>
    <t>Reported hours</t>
  </si>
  <si>
    <t>Total reference hours</t>
  </si>
  <si>
    <t>Actual proportion</t>
  </si>
  <si>
    <t>Annual target</t>
  </si>
  <si>
    <t>Overall Apprentices/Cadets</t>
  </si>
  <si>
    <t>Women Apprentices</t>
  </si>
  <si>
    <t>Project performance to date</t>
  </si>
  <si>
    <t>Overall Apprentices</t>
  </si>
  <si>
    <t>Supplier declaration</t>
  </si>
  <si>
    <t>In submitting this report, the Supplier declares to the best of their knowledge the information reported is true and correct at the time of submission, and understand that giving false or misleading information is a serious offence.</t>
  </si>
  <si>
    <t>Supplier Report details</t>
  </si>
  <si>
    <t>Supplier to complete this section and submit to relevant agency.</t>
  </si>
  <si>
    <t>Quarterly targets met:</t>
  </si>
  <si>
    <t>Reason targets were not met</t>
  </si>
  <si>
    <t>Will this limit you meeting targets in future quarters?</t>
  </si>
  <si>
    <t>How will you address these reasons to meet future targets?</t>
  </si>
  <si>
    <t>Additional report comments</t>
  </si>
  <si>
    <t>Gender equality action plan assessment</t>
  </si>
  <si>
    <t>Recruitment assessment</t>
  </si>
  <si>
    <t>Recruitment comments</t>
  </si>
  <si>
    <t>Retention assessment</t>
  </si>
  <si>
    <t>Retention comments</t>
  </si>
  <si>
    <t>Other goal assessment</t>
  </si>
  <si>
    <t>Other goal comments</t>
  </si>
  <si>
    <t>Contracting Agency Assessment</t>
  </si>
  <si>
    <t>Agency to complete this section and submit to DEWR</t>
  </si>
  <si>
    <t>Assessment outcome</t>
  </si>
  <si>
    <t>Assessment notes</t>
  </si>
  <si>
    <t>Is the supplier well-positioned to meet the targets for future quarters?</t>
  </si>
  <si>
    <t>What actions are required to support the supplier in meeting future targets?</t>
  </si>
  <si>
    <t>Contracting Agency Compliance</t>
  </si>
  <si>
    <t>Were any compliance activities undertaken this quarter?</t>
  </si>
  <si>
    <t>Which stream of non-compliance applies?</t>
  </si>
  <si>
    <t>What action was taken?</t>
  </si>
  <si>
    <t>What were the outcomes of the compliance action?</t>
  </si>
  <si>
    <t>Are there ongoing concerns about performance supplier compliance?</t>
  </si>
  <si>
    <t>What action should be taken to support supplier compliance?</t>
  </si>
  <si>
    <t>Other reason</t>
  </si>
  <si>
    <t>Will this limit you meeting targets in future quarters</t>
  </si>
  <si>
    <t>How will you address these reasons to meet future targets</t>
  </si>
  <si>
    <t>Other outcome</t>
  </si>
  <si>
    <t>Is the supplier well-positioned to meet the targets for future quarters</t>
  </si>
  <si>
    <t>What actions are required to support the supplier in meeting future targets</t>
  </si>
  <si>
    <t>Were any compliance activities undertaken this quarter</t>
  </si>
  <si>
    <t>Which stream of non-compliance applies</t>
  </si>
  <si>
    <t>What action was taken</t>
  </si>
  <si>
    <t>Other action</t>
  </si>
  <si>
    <t>What were the outcomes of the compliance action</t>
  </si>
  <si>
    <t>Are there ongoing concerns about performance supplier compliance</t>
  </si>
  <si>
    <t>What action should be taken to support supplier compliance</t>
  </si>
  <si>
    <t>End of Financial Year Summary</t>
  </si>
  <si>
    <t>Use this sheet to review the annual performance of the supplier for your project.</t>
  </si>
  <si>
    <t>Please complete the Participant reporting for the full financial year first.</t>
  </si>
  <si>
    <t>Target</t>
  </si>
  <si>
    <t>Estimated total hours</t>
  </si>
  <si>
    <t>Quarter 1</t>
  </si>
  <si>
    <t>Quarter 2</t>
  </si>
  <si>
    <t>Quarter 3</t>
  </si>
  <si>
    <t>Quarter 4</t>
  </si>
  <si>
    <t>Annual total</t>
  </si>
  <si>
    <t>Women Apprentice metrics</t>
  </si>
  <si>
    <t xml:space="preserve">Quarter 1 </t>
  </si>
  <si>
    <t>Women in Trades metrics</t>
  </si>
  <si>
    <t>End of Project Report</t>
  </si>
  <si>
    <t>Use this sheet to assess the overall project performance of the supplier for your project.</t>
  </si>
  <si>
    <t>Please complete the Participant reporting for all financial years first.</t>
  </si>
  <si>
    <t>Overall performance</t>
  </si>
  <si>
    <t>Average target</t>
  </si>
  <si>
    <t>Overall assessment outcome</t>
  </si>
  <si>
    <t>Outcome reason</t>
  </si>
  <si>
    <t>What strategies were employed to achieve targets?</t>
  </si>
  <si>
    <t>Were these strategies effective?</t>
  </si>
  <si>
    <t>Additional comments</t>
  </si>
  <si>
    <t>Overall assessment of actions and strategies</t>
  </si>
  <si>
    <t>Overall comments</t>
  </si>
  <si>
    <t>What strategies were employed to improve performance</t>
  </si>
  <si>
    <t>Were these strategies effective</t>
  </si>
  <si>
    <t>Quarterly Estimates</t>
  </si>
  <si>
    <t>Project start</t>
  </si>
  <si>
    <t>Project end</t>
  </si>
  <si>
    <t>Reporting quarters</t>
  </si>
  <si>
    <t>Financial year</t>
  </si>
  <si>
    <t>Quarter name</t>
  </si>
  <si>
    <t>Quarter start</t>
  </si>
  <si>
    <t>Quarter end</t>
  </si>
  <si>
    <t>In range</t>
  </si>
  <si>
    <t>Quarterly estimate</t>
  </si>
  <si>
    <t>2025 Quarter 1</t>
  </si>
  <si>
    <t>2025 Quarter 2</t>
  </si>
  <si>
    <t>2025 Quarter 3</t>
  </si>
  <si>
    <t>2025 Quarter 4</t>
  </si>
  <si>
    <t>2026 Quarter 1</t>
  </si>
  <si>
    <t>2026 Quarter 2</t>
  </si>
  <si>
    <t>2026 Quarter 3</t>
  </si>
  <si>
    <t>2026 Quarter 4</t>
  </si>
  <si>
    <t>2027 Quarter 1</t>
  </si>
  <si>
    <t>2027 Quarter 2</t>
  </si>
  <si>
    <t>2027 Quarter 3</t>
  </si>
  <si>
    <t>2027 Quarter 4</t>
  </si>
  <si>
    <t>2028 Quarter 1</t>
  </si>
  <si>
    <t>2028 Quarter 2</t>
  </si>
  <si>
    <t>2028 Quarter 3</t>
  </si>
  <si>
    <t>2028 Quarter 4</t>
  </si>
  <si>
    <t>2029 Quarter 1</t>
  </si>
  <si>
    <t>2029 Quarter 2</t>
  </si>
  <si>
    <t>2029 Quarter 3</t>
  </si>
  <si>
    <t>2029 Quarter 4</t>
  </si>
  <si>
    <t>2030 Quarter 1</t>
  </si>
  <si>
    <t>2030 Quarter 2</t>
  </si>
  <si>
    <t>2030 Quarter 3</t>
  </si>
  <si>
    <t>2030 Quarter 4</t>
  </si>
  <si>
    <t>2031 Quarter 1</t>
  </si>
  <si>
    <t>2031 Quarter 2</t>
  </si>
  <si>
    <t>2031 Quarter 3</t>
  </si>
  <si>
    <t>2031 Quarter 4</t>
  </si>
  <si>
    <t>2032 Quarter 1</t>
  </si>
  <si>
    <t>2032 Quarter 2</t>
  </si>
  <si>
    <t>2032 Quarter 3</t>
  </si>
  <si>
    <t>2032 Quarter 4</t>
  </si>
  <si>
    <t>2033 Quarter 1</t>
  </si>
  <si>
    <t>2033 Quarter 2</t>
  </si>
  <si>
    <t>2033 Quarter 3</t>
  </si>
  <si>
    <t>2033 Quarter 4</t>
  </si>
  <si>
    <t>2034 Quarter 1</t>
  </si>
  <si>
    <t>2034 Quarter 2</t>
  </si>
  <si>
    <t>2034 Quarter 3</t>
  </si>
  <si>
    <t>2034 Quarter 4</t>
  </si>
  <si>
    <t>Total</t>
  </si>
  <si>
    <t>Project type</t>
  </si>
  <si>
    <t>Variations</t>
  </si>
  <si>
    <t>Years</t>
  </si>
  <si>
    <t>Quarters</t>
  </si>
  <si>
    <t>Boolean</t>
  </si>
  <si>
    <t>UNSPSC</t>
  </si>
  <si>
    <t>Category</t>
  </si>
  <si>
    <t>Out of scope</t>
  </si>
  <si>
    <t>Quarterly Targets not met</t>
  </si>
  <si>
    <t>Quarterly Outcome</t>
  </si>
  <si>
    <t>Quarterly GEAP Assesment</t>
  </si>
  <si>
    <t>Compliance Stream</t>
  </si>
  <si>
    <t>Compliance Actions</t>
  </si>
  <si>
    <t>End of Project Outcome</t>
  </si>
  <si>
    <t>Final GEAP</t>
  </si>
  <si>
    <t>Major ICT</t>
  </si>
  <si>
    <t>Open tender</t>
  </si>
  <si>
    <t>Estimate labour hours</t>
  </si>
  <si>
    <t>Yes</t>
  </si>
  <si>
    <t>Female</t>
  </si>
  <si>
    <t>Building construction and support and maintenance and repair services</t>
  </si>
  <si>
    <t>No/minimal labour hours</t>
  </si>
  <si>
    <t>Recruitment difficulties</t>
  </si>
  <si>
    <t>Satisfactory</t>
  </si>
  <si>
    <t>On track</t>
  </si>
  <si>
    <t>Minor</t>
  </si>
  <si>
    <t>Phone call</t>
  </si>
  <si>
    <t>Effective and milestones met</t>
  </si>
  <si>
    <t>Major Construction</t>
  </si>
  <si>
    <t>Limited tender</t>
  </si>
  <si>
    <t>Contract period</t>
  </si>
  <si>
    <t>No</t>
  </si>
  <si>
    <t>Male</t>
  </si>
  <si>
    <t xml:space="preserve">Building support services </t>
  </si>
  <si>
    <t>Too close to contract end</t>
  </si>
  <si>
    <t>Retention challenges</t>
  </si>
  <si>
    <t>Mitigating factors accepted by Agency</t>
  </si>
  <si>
    <t>Exceeding expectations</t>
  </si>
  <si>
    <t>Moderate</t>
  </si>
  <si>
    <t>Email/Correspondence</t>
  </si>
  <si>
    <t>Excellent</t>
  </si>
  <si>
    <t>Ineffective despite GEAP revisions</t>
  </si>
  <si>
    <t>Flagship Project</t>
  </si>
  <si>
    <t>Contract value</t>
  </si>
  <si>
    <t>Unspecified</t>
  </si>
  <si>
    <t>Pest control</t>
  </si>
  <si>
    <t>Delivery will be entirely overseas</t>
  </si>
  <si>
    <t>Limited recruitment opportunities - Regional/Remote location</t>
  </si>
  <si>
    <t>Agency follow up was required</t>
  </si>
  <si>
    <t>Not meeting milestones and revising GEAP accordingly</t>
  </si>
  <si>
    <t>Major</t>
  </si>
  <si>
    <t>Meeting</t>
  </si>
  <si>
    <t>Unsatisfactory</t>
  </si>
  <si>
    <t>Not implemented</t>
  </si>
  <si>
    <t>Facility maintenance and repair services</t>
  </si>
  <si>
    <t>Domestic delivery component has limited capacity to apply targets</t>
  </si>
  <si>
    <t>Contractual issues</t>
  </si>
  <si>
    <t>Late reporting</t>
  </si>
  <si>
    <t>Not applicable</t>
  </si>
  <si>
    <t>Extreme</t>
  </si>
  <si>
    <t>Training</t>
  </si>
  <si>
    <t>Project terminated</t>
  </si>
  <si>
    <t>Partially implemented</t>
  </si>
  <si>
    <t>Non-residential building construction services</t>
  </si>
  <si>
    <t>CPR Paragraph 2.6 applies</t>
  </si>
  <si>
    <t>Financial issues</t>
  </si>
  <si>
    <t>Insufficient or incomplete detail</t>
  </si>
  <si>
    <t>Performance Improvement Plan</t>
  </si>
  <si>
    <t>Insufficient reporting to determine effectiveness</t>
  </si>
  <si>
    <t>Industrial plant construction services</t>
  </si>
  <si>
    <t>State or Territory based procurement</t>
  </si>
  <si>
    <t>Apprentices/cadets have not commenced</t>
  </si>
  <si>
    <t>Inconsistencies in reporting</t>
  </si>
  <si>
    <t>Contractual compliance actions</t>
  </si>
  <si>
    <t>Heating and cooling and air conditioning HVAC construction and maintenance services</t>
  </si>
  <si>
    <t>Started prior to 1 July 2024</t>
  </si>
  <si>
    <t>Temporary site shutdown</t>
  </si>
  <si>
    <t>False information reported</t>
  </si>
  <si>
    <t>Other (please specify)</t>
  </si>
  <si>
    <t>Targets met</t>
  </si>
  <si>
    <t>Painting and paper hanging services</t>
  </si>
  <si>
    <t>Incorrect UNSPSC Category</t>
  </si>
  <si>
    <t>Unethical conduct</t>
  </si>
  <si>
    <t>Electrical system services</t>
  </si>
  <si>
    <t>Total project does not meet $10M threshold</t>
  </si>
  <si>
    <t>Masonry and stonework services</t>
  </si>
  <si>
    <t>Carpentry services</t>
  </si>
  <si>
    <t>Finish carpentry service</t>
  </si>
  <si>
    <t>Floor laying services</t>
  </si>
  <si>
    <t>Targets exceeded</t>
  </si>
  <si>
    <t>Interior finishing and furnishing and remodelling services</t>
  </si>
  <si>
    <t>Building site preparation services</t>
  </si>
  <si>
    <t>Information technology consultation services</t>
  </si>
  <si>
    <t>Computer services</t>
  </si>
  <si>
    <t>Forensic IT Services</t>
  </si>
  <si>
    <t>Targets not met</t>
  </si>
  <si>
    <t>Software or hardware engineering</t>
  </si>
  <si>
    <t>Reporting issues</t>
  </si>
  <si>
    <t>Application implementation services</t>
  </si>
  <si>
    <t>Mitigating factors not accepted by Agency</t>
  </si>
  <si>
    <t>Computer programmers</t>
  </si>
  <si>
    <t>Management information systems MIS</t>
  </si>
  <si>
    <t>System administrators</t>
  </si>
  <si>
    <t>Infrastructure as a Service (IaaS – Cloud)</t>
  </si>
  <si>
    <t>Information retrieval systems</t>
  </si>
  <si>
    <t>Change of Ownership/Novation</t>
  </si>
  <si>
    <t>Computer hardware maintenance and support</t>
  </si>
  <si>
    <t>Financial reasons</t>
  </si>
  <si>
    <t>Data services</t>
  </si>
  <si>
    <t>Natural disaster/State of Emergency</t>
  </si>
  <si>
    <t>Data processing or preparation services</t>
  </si>
  <si>
    <t>Performance issues</t>
  </si>
  <si>
    <t>Internet services</t>
  </si>
  <si>
    <t>Software maintenance and support</t>
  </si>
  <si>
    <t>Platform as a Service (PaaS – Cloud)</t>
  </si>
  <si>
    <t>Software as a Service (SaaS – Cloud)</t>
  </si>
  <si>
    <t>Maintenance or support fees</t>
  </si>
  <si>
    <t>Safety or risk analysis</t>
  </si>
  <si>
    <t>Information services</t>
  </si>
  <si>
    <t>Online database information retrieval systems</t>
  </si>
  <si>
    <t>Library or documentation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</si>
</sst>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0.0%"/>
  </numFmts>
  <fonts count="22" x14ac:knownFonts="1">
    <font>
      <sz val="11"/>
      <color theme="1"/>
      <name val="Calibri"/>
      <family val="2"/>
      <scheme val="minor"/>
    </font>
    <font>
      <sz val="11"/>
      <color theme="1"/>
      <name val="Calibri"/>
      <family val="2"/>
      <scheme val="minor"/>
    </font>
    <font>
      <i/>
      <sz val="11"/>
      <color theme="1"/>
      <name val="Calibri"/>
      <family val="2"/>
      <scheme val="minor"/>
    </font>
    <font>
      <b/>
      <sz val="11"/>
      <color theme="1"/>
      <name val="Calibri"/>
      <family val="2"/>
      <scheme val="minor"/>
    </font>
    <font>
      <sz val="11"/>
      <color theme="0"/>
      <name val="Calibri"/>
      <family val="2"/>
      <scheme val="minor"/>
    </font>
    <font>
      <b/>
      <sz val="20"/>
      <color theme="0"/>
      <name val="Calibri"/>
      <family val="2"/>
      <scheme val="minor"/>
    </font>
    <font>
      <b/>
      <sz val="16"/>
      <color theme="0"/>
      <name val="Calibri"/>
      <family val="2"/>
      <scheme val="minor"/>
    </font>
    <font>
      <b/>
      <sz val="12"/>
      <color theme="1"/>
      <name val="Calibri"/>
      <family val="2"/>
      <scheme val="minor"/>
    </font>
    <font>
      <sz val="12"/>
      <color theme="1"/>
      <name val="Calibri"/>
      <family val="2"/>
      <scheme val="minor"/>
    </font>
    <font>
      <b/>
      <sz val="11"/>
      <color rgb="FF3F3F3F"/>
      <name val="Calibri"/>
      <family val="2"/>
      <scheme val="minor"/>
    </font>
    <font>
      <sz val="8"/>
      <name val="Calibri"/>
      <family val="2"/>
      <scheme val="minor"/>
    </font>
    <font>
      <b/>
      <sz val="11"/>
      <color theme="9"/>
      <name val="Calibri"/>
      <family val="2"/>
      <scheme val="minor"/>
    </font>
    <font>
      <i/>
      <sz val="11"/>
      <color rgb="FF7F7F7F"/>
      <name val="Calibri"/>
      <family val="2"/>
      <scheme val="minor"/>
    </font>
    <font>
      <i/>
      <sz val="11"/>
      <color rgb="FFC00000"/>
      <name val="Calibri"/>
      <family val="2"/>
      <scheme val="minor"/>
    </font>
    <font>
      <sz val="11"/>
      <color rgb="FFFF0000"/>
      <name val="Calibri"/>
      <family val="2"/>
      <scheme val="minor"/>
    </font>
    <font>
      <i/>
      <sz val="11"/>
      <color rgb="FFFF0000"/>
      <name val="Calibri"/>
      <family val="2"/>
      <scheme val="minor"/>
    </font>
    <font>
      <u/>
      <sz val="11"/>
      <color theme="10"/>
      <name val="Calibri"/>
      <family val="2"/>
      <scheme val="minor"/>
    </font>
    <font>
      <b/>
      <sz val="15"/>
      <color theme="3"/>
      <name val="Calibri"/>
      <family val="2"/>
      <scheme val="minor"/>
    </font>
    <font>
      <b/>
      <sz val="11"/>
      <color theme="3"/>
      <name val="Calibri"/>
      <family val="2"/>
      <scheme val="minor"/>
    </font>
    <font>
      <sz val="11"/>
      <name val="Calibri"/>
      <family val="2"/>
      <scheme val="minor"/>
    </font>
    <font>
      <u/>
      <sz val="11"/>
      <color theme="1"/>
      <name val="Calibri"/>
      <family val="2"/>
      <scheme val="minor"/>
    </font>
    <font>
      <b/>
      <sz val="11"/>
      <color rgb="FFE00000"/>
      <name val="Calibri"/>
      <family val="2"/>
      <scheme val="minor"/>
    </font>
  </fonts>
  <fills count="9">
    <fill>
      <patternFill patternType="none"/>
    </fill>
    <fill>
      <patternFill patternType="gray125"/>
    </fill>
    <fill>
      <patternFill patternType="solid">
        <fgColor theme="4"/>
        <bgColor indexed="64"/>
      </patternFill>
    </fill>
    <fill>
      <patternFill patternType="solid">
        <fgColor theme="5"/>
        <bgColor indexed="64"/>
      </patternFill>
    </fill>
    <fill>
      <patternFill patternType="solid">
        <fgColor theme="5" tint="0.79998168889431442"/>
        <bgColor indexed="64"/>
      </patternFill>
    </fill>
    <fill>
      <patternFill patternType="solid">
        <fgColor rgb="FFF2F2F2"/>
      </patternFill>
    </fill>
    <fill>
      <patternFill patternType="solid">
        <fgColor theme="7" tint="0.79998168889431442"/>
        <bgColor indexed="64"/>
      </patternFill>
    </fill>
    <fill>
      <patternFill patternType="solid">
        <fgColor theme="3" tint="0.79998168889431442"/>
        <bgColor indexed="64"/>
      </patternFill>
    </fill>
    <fill>
      <patternFill patternType="solid">
        <fgColor theme="7"/>
        <bgColor indexed="64"/>
      </patternFill>
    </fill>
  </fills>
  <borders count="34">
    <border>
      <left/>
      <right/>
      <top/>
      <bottom/>
      <diagonal/>
    </border>
    <border>
      <left style="thin">
        <color rgb="FF7F7F7F"/>
      </left>
      <right style="thin">
        <color rgb="FF7F7F7F"/>
      </right>
      <top style="thin">
        <color rgb="FF7F7F7F"/>
      </top>
      <bottom style="thin">
        <color rgb="FF7F7F7F"/>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3F3F3F"/>
      </left>
      <right style="thin">
        <color rgb="FF3F3F3F"/>
      </right>
      <top style="thin">
        <color rgb="FF3F3F3F"/>
      </top>
      <bottom style="thin">
        <color rgb="FF3F3F3F"/>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style="medium">
        <color indexed="64"/>
      </top>
      <bottom/>
      <diagonal/>
    </border>
    <border>
      <left/>
      <right/>
      <top/>
      <bottom style="medium">
        <color indexed="64"/>
      </bottom>
      <diagonal/>
    </border>
    <border>
      <left style="thin">
        <color theme="7"/>
      </left>
      <right style="thin">
        <color theme="7"/>
      </right>
      <top style="thin">
        <color theme="7"/>
      </top>
      <bottom style="thin">
        <color theme="7"/>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right/>
      <top/>
      <bottom style="thick">
        <color theme="4"/>
      </bottom>
      <diagonal/>
    </border>
    <border>
      <left/>
      <right/>
      <top/>
      <bottom style="medium">
        <color theme="4" tint="0.39997558519241921"/>
      </bottom>
      <diagonal/>
    </border>
    <border>
      <left/>
      <right/>
      <top style="thick">
        <color theme="4" tint="0.499984740745262"/>
      </top>
      <bottom/>
      <diagonal/>
    </border>
    <border>
      <left style="thin">
        <color rgb="FF7F7F7F"/>
      </left>
      <right/>
      <top/>
      <bottom/>
      <diagonal/>
    </border>
    <border>
      <left style="thin">
        <color rgb="FF3F3F3F"/>
      </left>
      <right/>
      <top/>
      <bottom/>
      <diagonal/>
    </border>
    <border>
      <left/>
      <right/>
      <top style="medium">
        <color theme="4" tint="0.39997558519241921"/>
      </top>
      <bottom/>
      <diagonal/>
    </border>
    <border>
      <left/>
      <right/>
      <top style="thick">
        <color theme="4"/>
      </top>
      <bottom/>
      <diagonal/>
    </border>
    <border>
      <left/>
      <right/>
      <top style="thin">
        <color rgb="FF7F7F7F"/>
      </top>
      <bottom/>
      <diagonal/>
    </border>
    <border>
      <left style="medium">
        <color theme="1" tint="0.499984740745262"/>
      </left>
      <right/>
      <top style="medium">
        <color theme="1" tint="0.499984740745262"/>
      </top>
      <bottom/>
      <diagonal/>
    </border>
    <border>
      <left/>
      <right/>
      <top style="medium">
        <color theme="1" tint="0.499984740745262"/>
      </top>
      <bottom/>
      <diagonal/>
    </border>
    <border>
      <left/>
      <right style="medium">
        <color theme="1" tint="0.499984740745262"/>
      </right>
      <top style="medium">
        <color theme="1" tint="0.499984740745262"/>
      </top>
      <bottom/>
      <diagonal/>
    </border>
    <border>
      <left style="medium">
        <color theme="1" tint="0.499984740745262"/>
      </left>
      <right/>
      <top/>
      <bottom/>
      <diagonal/>
    </border>
    <border>
      <left/>
      <right style="medium">
        <color theme="1" tint="0.499984740745262"/>
      </right>
      <top/>
      <bottom/>
      <diagonal/>
    </border>
    <border>
      <left style="medium">
        <color theme="1" tint="0.499984740745262"/>
      </left>
      <right style="thin">
        <color theme="1" tint="0.499984740745262"/>
      </right>
      <top style="thin">
        <color auto="1"/>
      </top>
      <bottom style="medium">
        <color theme="1" tint="0.499984740745262"/>
      </bottom>
      <diagonal/>
    </border>
    <border>
      <left/>
      <right/>
      <top/>
      <bottom style="medium">
        <color theme="1" tint="0.499984740745262"/>
      </bottom>
      <diagonal/>
    </border>
    <border>
      <left/>
      <right style="medium">
        <color theme="1" tint="0.499984740745262"/>
      </right>
      <top/>
      <bottom style="medium">
        <color theme="1" tint="0.499984740745262"/>
      </bottom>
      <diagonal/>
    </border>
  </borders>
  <cellStyleXfs count="9">
    <xf numFmtId="0" fontId="0" fillId="0" borderId="0"/>
    <xf numFmtId="0" fontId="1" fillId="6" borderId="1" applyNumberFormat="0" applyAlignment="0" applyProtection="0"/>
    <xf numFmtId="0" fontId="9" fillId="5" borderId="5" applyNumberFormat="0" applyAlignment="0" applyProtection="0"/>
    <xf numFmtId="0" fontId="11" fillId="7" borderId="1" applyNumberFormat="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6" fillId="0" borderId="0" applyNumberFormat="0" applyFill="0" applyBorder="0" applyAlignment="0" applyProtection="0"/>
    <xf numFmtId="0" fontId="17" fillId="0" borderId="18" applyNumberFormat="0" applyFill="0" applyAlignment="0" applyProtection="0"/>
    <xf numFmtId="0" fontId="18" fillId="0" borderId="19" applyNumberFormat="0" applyFill="0" applyAlignment="0" applyProtection="0"/>
  </cellStyleXfs>
  <cellXfs count="132">
    <xf numFmtId="0" fontId="0" fillId="0" borderId="0" xfId="0"/>
    <xf numFmtId="0" fontId="3" fillId="0" borderId="0" xfId="0" applyFont="1"/>
    <xf numFmtId="0" fontId="0" fillId="0" borderId="2" xfId="0" applyBorder="1"/>
    <xf numFmtId="0" fontId="0" fillId="0" borderId="3" xfId="0" applyBorder="1"/>
    <xf numFmtId="0" fontId="0" fillId="0" borderId="4" xfId="0" applyBorder="1"/>
    <xf numFmtId="0" fontId="5" fillId="2" borderId="0" xfId="0" applyFont="1" applyFill="1" applyAlignment="1">
      <alignment vertical="center"/>
    </xf>
    <xf numFmtId="0" fontId="6" fillId="3" borderId="0" xfId="0" applyFont="1" applyFill="1" applyAlignment="1">
      <alignment vertical="center"/>
    </xf>
    <xf numFmtId="0" fontId="0" fillId="2" borderId="0" xfId="0" applyFill="1" applyAlignment="1">
      <alignment vertical="center"/>
    </xf>
    <xf numFmtId="0" fontId="4" fillId="2" borderId="0" xfId="0" applyFont="1" applyFill="1" applyAlignment="1">
      <alignment vertical="center"/>
    </xf>
    <xf numFmtId="0" fontId="0" fillId="3" borderId="0" xfId="0" applyFill="1" applyAlignment="1">
      <alignment vertical="center"/>
    </xf>
    <xf numFmtId="0" fontId="4" fillId="3" borderId="0" xfId="0" applyFont="1" applyFill="1" applyAlignment="1">
      <alignment vertical="center"/>
    </xf>
    <xf numFmtId="0" fontId="0" fillId="4" borderId="0" xfId="0" applyFill="1" applyAlignment="1">
      <alignment vertical="center"/>
    </xf>
    <xf numFmtId="0" fontId="8" fillId="4" borderId="0" xfId="0" applyFont="1" applyFill="1" applyAlignment="1">
      <alignment vertical="center"/>
    </xf>
    <xf numFmtId="0" fontId="0" fillId="0" borderId="0" xfId="0" applyAlignment="1">
      <alignment vertical="center"/>
    </xf>
    <xf numFmtId="0" fontId="7" fillId="0" borderId="0" xfId="0" applyFont="1" applyAlignment="1">
      <alignment vertical="center"/>
    </xf>
    <xf numFmtId="14" fontId="0" fillId="0" borderId="0" xfId="0" applyNumberFormat="1"/>
    <xf numFmtId="0" fontId="0" fillId="0" borderId="6" xfId="0" applyBorder="1"/>
    <xf numFmtId="0" fontId="0" fillId="0" borderId="7" xfId="0" applyBorder="1"/>
    <xf numFmtId="0" fontId="0" fillId="0" borderId="8" xfId="0" applyBorder="1"/>
    <xf numFmtId="0" fontId="0" fillId="0" borderId="0" xfId="0" applyAlignment="1">
      <alignment vertical="center" wrapText="1"/>
    </xf>
    <xf numFmtId="0" fontId="0" fillId="0" borderId="9" xfId="0" applyBorder="1"/>
    <xf numFmtId="0" fontId="0" fillId="0" borderId="10" xfId="0" applyBorder="1"/>
    <xf numFmtId="0" fontId="0" fillId="0" borderId="11" xfId="0" applyBorder="1"/>
    <xf numFmtId="1" fontId="11" fillId="7" borderId="1" xfId="3" applyNumberFormat="1" applyAlignment="1">
      <alignment horizontal="center" vertical="center"/>
    </xf>
    <xf numFmtId="2" fontId="0" fillId="0" borderId="0" xfId="0" applyNumberFormat="1" applyAlignment="1">
      <alignment vertical="center"/>
    </xf>
    <xf numFmtId="0" fontId="0" fillId="0" borderId="0" xfId="0" applyAlignment="1">
      <alignment horizontal="center"/>
    </xf>
    <xf numFmtId="0" fontId="0" fillId="0" borderId="0" xfId="0" applyAlignment="1">
      <alignment horizontal="center" vertical="center"/>
    </xf>
    <xf numFmtId="0" fontId="11" fillId="7" borderId="1" xfId="3" applyAlignment="1">
      <alignment horizontal="center" vertical="center"/>
    </xf>
    <xf numFmtId="0" fontId="3" fillId="0" borderId="0" xfId="0" applyFont="1" applyAlignment="1">
      <alignment horizontal="center" vertical="center"/>
    </xf>
    <xf numFmtId="0" fontId="1" fillId="6" borderId="1" xfId="1" applyAlignment="1" applyProtection="1">
      <alignment vertical="center"/>
      <protection locked="0"/>
    </xf>
    <xf numFmtId="0" fontId="1" fillId="6" borderId="1" xfId="1" applyAlignment="1" applyProtection="1">
      <alignment horizontal="left" vertical="center" wrapText="1"/>
      <protection locked="0"/>
    </xf>
    <xf numFmtId="0" fontId="1" fillId="6" borderId="1" xfId="1" applyAlignment="1" applyProtection="1">
      <alignment horizontal="left" vertical="center"/>
      <protection locked="0"/>
    </xf>
    <xf numFmtId="0" fontId="9" fillId="5" borderId="5" xfId="2" applyAlignment="1">
      <alignment vertical="center" wrapText="1"/>
    </xf>
    <xf numFmtId="0" fontId="1" fillId="6" borderId="1" xfId="1" applyAlignment="1" applyProtection="1">
      <alignment vertical="center" wrapText="1"/>
      <protection locked="0"/>
    </xf>
    <xf numFmtId="14" fontId="1" fillId="6" borderId="1" xfId="1" applyNumberFormat="1" applyAlignment="1" applyProtection="1">
      <alignment horizontal="center" vertical="center"/>
      <protection locked="0"/>
    </xf>
    <xf numFmtId="44" fontId="1" fillId="6" borderId="1" xfId="1" applyNumberFormat="1" applyAlignment="1" applyProtection="1">
      <alignment horizontal="center" vertical="center"/>
      <protection locked="0"/>
    </xf>
    <xf numFmtId="164" fontId="9" fillId="5" borderId="5" xfId="2" applyNumberFormat="1" applyAlignment="1">
      <alignment horizontal="center" vertical="center"/>
    </xf>
    <xf numFmtId="0" fontId="9" fillId="5" borderId="5" xfId="2" applyAlignment="1" applyProtection="1">
      <alignment vertical="center"/>
    </xf>
    <xf numFmtId="0" fontId="12" fillId="0" borderId="0" xfId="4" applyAlignment="1">
      <alignment vertical="center"/>
    </xf>
    <xf numFmtId="0" fontId="0" fillId="0" borderId="0" xfId="0" applyProtection="1">
      <protection locked="0"/>
    </xf>
    <xf numFmtId="14" fontId="0" fillId="0" borderId="0" xfId="0" applyNumberFormat="1" applyProtection="1">
      <protection locked="0"/>
    </xf>
    <xf numFmtId="164" fontId="11" fillId="7" borderId="1" xfId="3" applyNumberFormat="1" applyAlignment="1">
      <alignment horizontal="center" vertical="center"/>
    </xf>
    <xf numFmtId="0" fontId="0" fillId="0" borderId="0" xfId="0" applyAlignment="1">
      <alignment horizontal="center" vertical="center" wrapText="1"/>
    </xf>
    <xf numFmtId="0" fontId="13" fillId="0" borderId="0" xfId="5" applyAlignment="1">
      <alignment vertical="center"/>
    </xf>
    <xf numFmtId="0" fontId="3" fillId="0" borderId="0" xfId="0" applyFont="1" applyAlignment="1">
      <alignment vertical="center"/>
    </xf>
    <xf numFmtId="0" fontId="3" fillId="0" borderId="0" xfId="0" applyFont="1" applyAlignment="1">
      <alignment horizontal="center" vertical="center" wrapText="1"/>
    </xf>
    <xf numFmtId="9" fontId="9" fillId="5" borderId="5" xfId="2" applyNumberFormat="1" applyAlignment="1" applyProtection="1">
      <alignment horizontal="center" vertical="center"/>
      <protection locked="0"/>
    </xf>
    <xf numFmtId="0" fontId="0" fillId="6" borderId="0" xfId="0" applyFill="1"/>
    <xf numFmtId="0" fontId="14" fillId="0" borderId="0" xfId="0" applyFont="1" applyAlignment="1">
      <alignment vertical="center"/>
    </xf>
    <xf numFmtId="0" fontId="12" fillId="0" borderId="0" xfId="4"/>
    <xf numFmtId="0" fontId="2" fillId="0" borderId="0" xfId="0" applyFont="1"/>
    <xf numFmtId="0" fontId="13" fillId="0" borderId="0" xfId="5"/>
    <xf numFmtId="0" fontId="1" fillId="6" borderId="1" xfId="1"/>
    <xf numFmtId="0" fontId="1" fillId="6" borderId="1" xfId="1" applyProtection="1">
      <protection locked="0"/>
    </xf>
    <xf numFmtId="0" fontId="2" fillId="0" borderId="0" xfId="0" applyFont="1" applyAlignment="1">
      <alignment vertical="center"/>
    </xf>
    <xf numFmtId="0" fontId="3" fillId="0" borderId="0" xfId="0" applyFont="1" applyAlignment="1">
      <alignment horizontal="left" vertical="center"/>
    </xf>
    <xf numFmtId="0" fontId="0" fillId="0" borderId="12" xfId="0" applyBorder="1"/>
    <xf numFmtId="0" fontId="0" fillId="0" borderId="13" xfId="0" applyBorder="1"/>
    <xf numFmtId="0" fontId="9" fillId="5" borderId="5" xfId="2" applyAlignment="1" applyProtection="1">
      <alignment vertical="center" wrapText="1"/>
    </xf>
    <xf numFmtId="0" fontId="7" fillId="0" borderId="0" xfId="0" applyFont="1" applyAlignment="1">
      <alignment horizontal="center" vertical="center"/>
    </xf>
    <xf numFmtId="164" fontId="9" fillId="5" borderId="5" xfId="2" applyNumberFormat="1" applyAlignment="1" applyProtection="1">
      <alignment horizontal="center" vertical="center"/>
    </xf>
    <xf numFmtId="164" fontId="11" fillId="7" borderId="1" xfId="3" applyNumberFormat="1" applyAlignment="1" applyProtection="1">
      <alignment horizontal="center" vertical="center"/>
    </xf>
    <xf numFmtId="0" fontId="15" fillId="0" borderId="0" xfId="0" applyFont="1"/>
    <xf numFmtId="0" fontId="12" fillId="0" borderId="0" xfId="4" applyAlignment="1" applyProtection="1">
      <alignment vertical="center"/>
    </xf>
    <xf numFmtId="0" fontId="13" fillId="0" borderId="0" xfId="5" applyFill="1" applyProtection="1"/>
    <xf numFmtId="0" fontId="16" fillId="0" borderId="0" xfId="6" applyAlignment="1">
      <alignment vertical="center"/>
    </xf>
    <xf numFmtId="0" fontId="18" fillId="0" borderId="19" xfId="8" applyAlignment="1">
      <alignment vertical="center"/>
    </xf>
    <xf numFmtId="0" fontId="18" fillId="0" borderId="19" xfId="8" applyAlignment="1">
      <alignment vertical="center" wrapText="1"/>
    </xf>
    <xf numFmtId="0" fontId="17" fillId="0" borderId="18" xfId="7" applyAlignment="1">
      <alignment vertical="center"/>
    </xf>
    <xf numFmtId="0" fontId="17" fillId="0" borderId="18" xfId="7" applyAlignment="1">
      <alignment vertical="center" wrapText="1"/>
    </xf>
    <xf numFmtId="0" fontId="1" fillId="6" borderId="1" xfId="1" applyAlignment="1">
      <alignment vertical="center" wrapText="1"/>
    </xf>
    <xf numFmtId="0" fontId="11" fillId="7" borderId="1" xfId="3" applyAlignment="1">
      <alignment vertical="center" wrapText="1"/>
    </xf>
    <xf numFmtId="0" fontId="3" fillId="0" borderId="0" xfId="0" applyFont="1" applyAlignment="1">
      <alignment vertical="center" wrapText="1"/>
    </xf>
    <xf numFmtId="3" fontId="11" fillId="7" borderId="1" xfId="3" applyNumberFormat="1" applyAlignment="1" applyProtection="1">
      <alignment horizontal="center" vertical="center"/>
    </xf>
    <xf numFmtId="3" fontId="11" fillId="7" borderId="1" xfId="3" applyNumberFormat="1" applyAlignment="1" applyProtection="1">
      <alignment horizontal="center"/>
    </xf>
    <xf numFmtId="3" fontId="1" fillId="6" borderId="1" xfId="1" applyNumberFormat="1" applyAlignment="1" applyProtection="1">
      <alignment horizontal="center" vertical="center"/>
      <protection locked="0"/>
    </xf>
    <xf numFmtId="3" fontId="1" fillId="6" borderId="1" xfId="1" applyNumberFormat="1" applyAlignment="1" applyProtection="1">
      <alignment horizontal="left" vertical="center"/>
      <protection locked="0"/>
    </xf>
    <xf numFmtId="3" fontId="11" fillId="7" borderId="1" xfId="3" applyNumberFormat="1" applyAlignment="1">
      <alignment horizontal="center" vertical="center"/>
    </xf>
    <xf numFmtId="0" fontId="12" fillId="0" borderId="0" xfId="4" applyAlignment="1">
      <alignment horizontal="center" vertical="center"/>
    </xf>
    <xf numFmtId="0" fontId="1" fillId="6" borderId="1" xfId="1" applyAlignment="1" applyProtection="1">
      <alignment wrapText="1"/>
      <protection locked="0"/>
    </xf>
    <xf numFmtId="0" fontId="1" fillId="6" borderId="1" xfId="1" applyAlignment="1" applyProtection="1">
      <alignment horizontal="center" vertical="center" wrapText="1"/>
      <protection locked="0"/>
    </xf>
    <xf numFmtId="0" fontId="0" fillId="6" borderId="1" xfId="1" applyFont="1" applyAlignment="1" applyProtection="1">
      <alignment vertical="center" wrapText="1"/>
      <protection locked="0"/>
    </xf>
    <xf numFmtId="0" fontId="0" fillId="0" borderId="14" xfId="0" applyBorder="1" applyAlignment="1">
      <alignment vertical="center"/>
    </xf>
    <xf numFmtId="0" fontId="0" fillId="0" borderId="14" xfId="0" applyBorder="1" applyAlignment="1">
      <alignment horizontal="center" vertical="center"/>
    </xf>
    <xf numFmtId="14" fontId="0" fillId="0" borderId="0" xfId="0" applyNumberFormat="1" applyAlignment="1">
      <alignment vertical="center"/>
    </xf>
    <xf numFmtId="1" fontId="0" fillId="0" borderId="0" xfId="0" applyNumberFormat="1" applyAlignment="1">
      <alignment vertical="center"/>
    </xf>
    <xf numFmtId="0" fontId="3" fillId="8" borderId="0" xfId="0" applyFont="1" applyFill="1" applyAlignment="1">
      <alignment vertical="center"/>
    </xf>
    <xf numFmtId="14" fontId="0" fillId="0" borderId="14" xfId="0" applyNumberFormat="1" applyBorder="1" applyAlignment="1">
      <alignment vertical="center"/>
    </xf>
    <xf numFmtId="0" fontId="3" fillId="0" borderId="14" xfId="0" applyFont="1" applyBorder="1" applyAlignment="1">
      <alignment vertical="center"/>
    </xf>
    <xf numFmtId="14" fontId="3" fillId="0" borderId="14" xfId="0" applyNumberFormat="1" applyFont="1" applyBorder="1" applyAlignment="1">
      <alignment vertical="center"/>
    </xf>
    <xf numFmtId="3" fontId="0" fillId="0" borderId="0" xfId="0" applyNumberFormat="1"/>
    <xf numFmtId="2" fontId="0" fillId="0" borderId="0" xfId="0" applyNumberFormat="1"/>
    <xf numFmtId="49" fontId="0" fillId="2" borderId="0" xfId="0" applyNumberFormat="1" applyFill="1" applyAlignment="1">
      <alignment vertical="center"/>
    </xf>
    <xf numFmtId="49" fontId="0" fillId="3" borderId="0" xfId="0" applyNumberFormat="1" applyFill="1" applyAlignment="1">
      <alignment vertical="center"/>
    </xf>
    <xf numFmtId="49" fontId="0" fillId="0" borderId="0" xfId="0" applyNumberFormat="1"/>
    <xf numFmtId="49" fontId="0" fillId="0" borderId="0" xfId="0" applyNumberFormat="1" applyProtection="1">
      <protection locked="0"/>
    </xf>
    <xf numFmtId="0" fontId="0" fillId="6" borderId="1" xfId="1" applyFont="1" applyAlignment="1" applyProtection="1">
      <alignment wrapText="1"/>
      <protection locked="0"/>
    </xf>
    <xf numFmtId="0" fontId="16" fillId="0" borderId="0" xfId="6" applyAlignment="1">
      <alignment horizontal="left" vertical="center" wrapText="1"/>
    </xf>
    <xf numFmtId="49" fontId="1" fillId="6" borderId="1" xfId="1" applyNumberFormat="1" applyAlignment="1" applyProtection="1">
      <alignment horizontal="left" vertical="center"/>
      <protection locked="0"/>
    </xf>
    <xf numFmtId="49" fontId="0" fillId="6" borderId="1" xfId="1" applyNumberFormat="1" applyFont="1" applyAlignment="1" applyProtection="1">
      <alignment horizontal="left" vertical="center"/>
      <protection locked="0"/>
    </xf>
    <xf numFmtId="0" fontId="21" fillId="0" borderId="0" xfId="0" applyFont="1" applyAlignment="1">
      <alignment horizontal="left" vertical="center" wrapText="1"/>
    </xf>
    <xf numFmtId="3" fontId="11" fillId="0" borderId="25" xfId="3" applyNumberFormat="1" applyFill="1" applyBorder="1" applyAlignment="1">
      <alignment horizontal="center" vertical="center"/>
    </xf>
    <xf numFmtId="164" fontId="11" fillId="0" borderId="25" xfId="3" applyNumberFormat="1" applyFill="1" applyBorder="1" applyAlignment="1">
      <alignment horizontal="center" vertical="center"/>
    </xf>
    <xf numFmtId="0" fontId="7" fillId="0" borderId="26" xfId="0" applyFont="1" applyBorder="1" applyAlignment="1">
      <alignment vertical="center"/>
    </xf>
    <xf numFmtId="3" fontId="11" fillId="0" borderId="27" xfId="3" applyNumberFormat="1" applyFill="1" applyBorder="1" applyAlignment="1">
      <alignment horizontal="center" vertical="center"/>
    </xf>
    <xf numFmtId="0" fontId="0" fillId="0" borderId="27" xfId="0" applyBorder="1"/>
    <xf numFmtId="164" fontId="11" fillId="0" borderId="27" xfId="3" applyNumberFormat="1" applyFill="1" applyBorder="1" applyAlignment="1">
      <alignment horizontal="center" vertical="center"/>
    </xf>
    <xf numFmtId="0" fontId="0" fillId="0" borderId="28" xfId="0" applyBorder="1"/>
    <xf numFmtId="0" fontId="21" fillId="0" borderId="32" xfId="0" applyFont="1" applyBorder="1" applyAlignment="1">
      <alignment horizontal="left" vertical="center" wrapText="1"/>
    </xf>
    <xf numFmtId="0" fontId="0" fillId="0" borderId="33" xfId="0" applyBorder="1" applyAlignment="1">
      <alignment horizontal="center" vertical="center"/>
    </xf>
    <xf numFmtId="0" fontId="19" fillId="6" borderId="31" xfId="0" applyFont="1" applyFill="1" applyBorder="1" applyAlignment="1" applyProtection="1">
      <alignment horizontal="left" vertical="center" wrapText="1"/>
      <protection locked="0"/>
    </xf>
    <xf numFmtId="0" fontId="0" fillId="0" borderId="20" xfId="0" applyBorder="1" applyAlignment="1">
      <alignment vertical="center" wrapText="1"/>
    </xf>
    <xf numFmtId="0" fontId="0" fillId="0" borderId="0" xfId="0" applyAlignment="1">
      <alignment vertical="center" wrapText="1"/>
    </xf>
    <xf numFmtId="0" fontId="0" fillId="0" borderId="23" xfId="0" applyBorder="1" applyAlignment="1">
      <alignment vertical="center" wrapText="1"/>
    </xf>
    <xf numFmtId="0" fontId="16" fillId="0" borderId="0" xfId="6" applyAlignment="1">
      <alignment horizontal="left" vertical="center" wrapText="1"/>
    </xf>
    <xf numFmtId="0" fontId="0" fillId="0" borderId="0" xfId="0" applyAlignment="1">
      <alignment horizontal="left" vertical="center" wrapText="1"/>
    </xf>
    <xf numFmtId="0" fontId="0" fillId="0" borderId="22" xfId="0" applyBorder="1" applyAlignment="1">
      <alignment vertical="center" wrapText="1"/>
    </xf>
    <xf numFmtId="0" fontId="20" fillId="0" borderId="0" xfId="0" applyFont="1" applyAlignment="1">
      <alignment horizontal="left" vertical="center" wrapText="1"/>
    </xf>
    <xf numFmtId="0" fontId="0" fillId="0" borderId="24" xfId="0" applyBorder="1" applyAlignment="1">
      <alignment horizontal="left" vertical="center" wrapText="1"/>
    </xf>
    <xf numFmtId="0" fontId="0" fillId="0" borderId="21" xfId="0" applyBorder="1" applyAlignment="1">
      <alignment vertical="center" wrapText="1"/>
    </xf>
    <xf numFmtId="0" fontId="8" fillId="4" borderId="0" xfId="0" applyFont="1" applyFill="1" applyAlignment="1">
      <alignment horizontal="left" vertical="center" wrapText="1"/>
    </xf>
    <xf numFmtId="0" fontId="21" fillId="0" borderId="0" xfId="0" applyFont="1" applyAlignment="1">
      <alignment horizontal="left" vertical="center"/>
    </xf>
    <xf numFmtId="0" fontId="21" fillId="0" borderId="29" xfId="0" applyFont="1" applyBorder="1" applyAlignment="1">
      <alignment horizontal="left" vertical="center" wrapText="1"/>
    </xf>
    <xf numFmtId="0" fontId="21" fillId="0" borderId="0" xfId="0" applyFont="1" applyAlignment="1">
      <alignment horizontal="left" vertical="center" wrapText="1"/>
    </xf>
    <xf numFmtId="0" fontId="21" fillId="0" borderId="30" xfId="0" applyFont="1" applyBorder="1" applyAlignment="1">
      <alignment horizontal="left" vertical="center" wrapText="1"/>
    </xf>
    <xf numFmtId="0" fontId="1" fillId="6" borderId="15" xfId="1" applyBorder="1" applyAlignment="1" applyProtection="1">
      <alignment horizontal="left" vertical="center" wrapText="1"/>
      <protection locked="0"/>
    </xf>
    <xf numFmtId="0" fontId="1" fillId="6" borderId="16" xfId="1" applyBorder="1" applyAlignment="1" applyProtection="1">
      <alignment horizontal="left" vertical="center" wrapText="1"/>
      <protection locked="0"/>
    </xf>
    <xf numFmtId="0" fontId="1" fillId="6" borderId="17" xfId="1" applyBorder="1" applyAlignment="1" applyProtection="1">
      <alignment horizontal="left" vertical="center" wrapText="1"/>
      <protection locked="0"/>
    </xf>
    <xf numFmtId="0" fontId="1" fillId="6" borderId="1" xfId="1" applyAlignment="1" applyProtection="1">
      <alignment horizontal="center" vertical="center" wrapText="1"/>
      <protection locked="0"/>
    </xf>
    <xf numFmtId="0" fontId="1" fillId="6" borderId="1" xfId="1" applyAlignment="1" applyProtection="1">
      <alignment horizontal="left" vertical="center" wrapText="1"/>
      <protection locked="0"/>
    </xf>
    <xf numFmtId="0" fontId="0" fillId="6" borderId="1" xfId="1" applyFont="1" applyAlignment="1" applyProtection="1">
      <alignment horizontal="left" vertical="center" wrapText="1"/>
      <protection locked="0"/>
    </xf>
    <xf numFmtId="0" fontId="0" fillId="6" borderId="15" xfId="1" applyFont="1" applyBorder="1" applyAlignment="1" applyProtection="1">
      <alignment horizontal="left" vertical="center" wrapText="1"/>
      <protection locked="0"/>
    </xf>
  </cellXfs>
  <cellStyles count="9">
    <cellStyle name="Calculation" xfId="3" builtinId="22" customBuiltin="1"/>
    <cellStyle name="Explanatory Text" xfId="4" builtinId="53"/>
    <cellStyle name="Heading 1" xfId="7" builtinId="16"/>
    <cellStyle name="Heading 3" xfId="8" builtinId="18"/>
    <cellStyle name="Hyperlink" xfId="6" builtinId="8"/>
    <cellStyle name="Input" xfId="1" builtinId="20" customBuiltin="1"/>
    <cellStyle name="Normal" xfId="0" builtinId="0"/>
    <cellStyle name="Output" xfId="2" builtinId="21"/>
    <cellStyle name="Warning Text" xfId="5" builtinId="11" customBuiltin="1"/>
  </cellStyles>
  <dxfs count="109">
    <dxf>
      <font>
        <color theme="0"/>
      </font>
      <fill>
        <patternFill>
          <bgColor theme="0"/>
        </patternFill>
      </fill>
      <border>
        <left/>
        <right/>
        <top/>
        <bottom/>
      </border>
    </dxf>
    <dxf>
      <font>
        <color rgb="FF006100"/>
      </font>
      <fill>
        <patternFill>
          <bgColor rgb="FFC6EFCE"/>
        </patternFill>
      </fill>
    </dxf>
    <dxf>
      <font>
        <color rgb="FF9C0006"/>
      </font>
      <fill>
        <patternFill>
          <bgColor rgb="FFFFC7CE"/>
        </patternFill>
      </fill>
    </dxf>
    <dxf>
      <font>
        <color rgb="FF9C0006"/>
      </font>
      <fill>
        <patternFill>
          <bgColor theme="0"/>
        </patternFill>
      </fill>
    </dxf>
    <dxf>
      <font>
        <color rgb="FF9C5700"/>
      </font>
      <fill>
        <patternFill>
          <bgColor rgb="FFFFEB9C"/>
        </patternFill>
      </fill>
    </dxf>
    <dxf>
      <fill>
        <patternFill patternType="lightUp">
          <fgColor theme="0"/>
          <bgColor theme="0" tint="-0.1499374370555742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lightUp">
          <fgColor theme="0"/>
          <bgColor theme="0" tint="-0.1499374370555742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theme="0"/>
        </patternFill>
      </fill>
    </dxf>
    <dxf>
      <font>
        <color theme="0"/>
      </font>
      <fill>
        <patternFill>
          <bgColor theme="0"/>
        </patternFill>
      </fill>
      <border>
        <left/>
        <right/>
        <top/>
        <bottom style="thin">
          <color theme="1" tint="0.499984740745262"/>
        </bottom>
      </border>
    </dxf>
    <dxf>
      <font>
        <color theme="0"/>
      </font>
      <fill>
        <patternFill>
          <bgColor theme="0"/>
        </patternFill>
      </fill>
      <border>
        <left/>
        <right/>
        <top/>
        <bottom style="thin">
          <color theme="1" tint="0.499984740745262"/>
        </bottom>
      </border>
    </dxf>
    <dxf>
      <font>
        <color theme="0"/>
      </font>
      <fill>
        <patternFill>
          <bgColor theme="0"/>
        </patternFill>
      </fill>
      <border>
        <left/>
        <right/>
        <top/>
        <bottom/>
      </border>
    </dxf>
    <dxf>
      <font>
        <color rgb="FF006100"/>
      </font>
      <fill>
        <patternFill>
          <bgColor rgb="FFC6EFCE"/>
        </patternFill>
      </fill>
    </dxf>
    <dxf>
      <font>
        <color rgb="FF9C0006"/>
      </font>
      <fill>
        <patternFill>
          <bgColor rgb="FFFFC7CE"/>
        </patternFill>
      </fill>
    </dxf>
    <dxf>
      <font>
        <color rgb="FF9C0006"/>
      </font>
      <fill>
        <patternFill>
          <bgColor theme="0"/>
        </patternFill>
      </fill>
    </dxf>
    <dxf>
      <font>
        <color rgb="FF9C5700"/>
      </font>
      <fill>
        <patternFill>
          <bgColor rgb="FFFFEB9C"/>
        </patternFill>
      </fill>
    </dxf>
    <dxf>
      <fill>
        <patternFill patternType="lightUp">
          <fgColor theme="0"/>
          <bgColor theme="0" tint="-0.14993743705557422"/>
        </patternFill>
      </fill>
    </dxf>
    <dxf>
      <fill>
        <patternFill patternType="lightUp">
          <fgColor theme="0"/>
          <bgColor theme="0" tint="-0.14993743705557422"/>
        </patternFill>
      </fill>
    </dxf>
    <dxf>
      <font>
        <color theme="1" tint="0.499984740745262"/>
      </font>
      <fill>
        <patternFill patternType="lightUp">
          <fgColor theme="0" tint="-4.9989318521683403E-2"/>
          <bgColor theme="0" tint="-0.24994659260841701"/>
        </patternFill>
      </fill>
    </dxf>
    <dxf>
      <font>
        <color theme="1" tint="0.499984740745262"/>
      </font>
      <fill>
        <patternFill patternType="lightUp">
          <fgColor theme="0" tint="-4.9989318521683403E-2"/>
          <bgColor theme="0" tint="-0.24994659260841701"/>
        </patternFill>
      </fill>
    </dxf>
    <dxf>
      <font>
        <color theme="1" tint="0.499984740745262"/>
      </font>
      <fill>
        <patternFill patternType="lightUp">
          <fgColor theme="0" tint="-4.9989318521683403E-2"/>
          <bgColor theme="0" tint="-0.24994659260841701"/>
        </patternFill>
      </fill>
    </dxf>
    <dxf>
      <font>
        <color theme="1" tint="0.499984740745262"/>
      </font>
      <fill>
        <patternFill patternType="lightUp">
          <fgColor theme="0" tint="-4.9989318521683403E-2"/>
          <bgColor theme="0" tint="-0.24994659260841701"/>
        </patternFill>
      </fill>
    </dxf>
    <dxf>
      <font>
        <color theme="1" tint="0.499984740745262"/>
      </font>
      <fill>
        <patternFill patternType="lightUp">
          <fgColor theme="0" tint="-4.9989318521683403E-2"/>
          <bgColor theme="0" tint="-0.24994659260841701"/>
        </patternFill>
      </fill>
    </dxf>
    <dxf>
      <font>
        <color rgb="FF9C0006"/>
      </font>
      <fill>
        <patternFill>
          <bgColor rgb="FFFFC7CE"/>
        </patternFill>
      </fill>
    </dxf>
    <dxf>
      <font>
        <color rgb="FF006100"/>
      </font>
      <fill>
        <patternFill>
          <bgColor rgb="FFC6EFCE"/>
        </patternFill>
      </fill>
    </dxf>
    <dxf>
      <font>
        <color theme="0"/>
      </font>
      <fill>
        <patternFill>
          <bgColor theme="0"/>
        </patternFill>
      </fill>
      <border>
        <left/>
        <right/>
        <top/>
        <bottom style="thin">
          <color theme="1" tint="0.499984740745262"/>
        </bottom>
      </border>
    </dxf>
    <dxf>
      <font>
        <color theme="0"/>
      </font>
      <fill>
        <patternFill>
          <bgColor theme="0"/>
        </patternFill>
      </fill>
      <border>
        <left/>
        <right/>
        <top/>
        <bottom style="thin">
          <color theme="1" tint="0.499984740745262"/>
        </bottom>
      </border>
    </dxf>
    <dxf>
      <font>
        <color theme="0"/>
      </font>
      <fill>
        <patternFill>
          <bgColor theme="0"/>
        </patternFill>
      </fill>
      <border>
        <left/>
        <right/>
        <top/>
        <bottom/>
      </border>
    </dxf>
    <dxf>
      <fill>
        <patternFill patternType="lightUp">
          <fgColor theme="0"/>
          <bgColor theme="0" tint="-0.149937437055574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theme="0"/>
        </patternFill>
      </fill>
    </dxf>
    <dxf>
      <fill>
        <patternFill patternType="lightUp">
          <fgColor theme="0"/>
          <bgColor theme="0" tint="-0.14993743705557422"/>
        </patternFill>
      </fill>
    </dxf>
    <dxf>
      <fill>
        <patternFill patternType="lightUp">
          <fgColor theme="0"/>
          <bgColor theme="0" tint="-0.14993743705557422"/>
        </patternFill>
      </fill>
    </dxf>
    <dxf>
      <fill>
        <patternFill patternType="lightUp">
          <fgColor theme="0"/>
          <bgColor theme="0" tint="-0.14993743705557422"/>
        </patternFill>
      </fill>
    </dxf>
    <dxf>
      <font>
        <color theme="1" tint="0.499984740745262"/>
      </font>
      <fill>
        <patternFill patternType="lightUp">
          <fgColor theme="0" tint="-4.9989318521683403E-2"/>
          <bgColor theme="0" tint="-0.24994659260841701"/>
        </patternFill>
      </fill>
    </dxf>
    <dxf>
      <font>
        <color theme="1" tint="0.499984740745262"/>
      </font>
      <fill>
        <patternFill patternType="lightUp">
          <fgColor theme="0" tint="-4.9989318521683403E-2"/>
          <bgColor theme="0" tint="-0.24994659260841701"/>
        </patternFill>
      </fill>
    </dxf>
    <dxf>
      <font>
        <color theme="1" tint="0.499984740745262"/>
      </font>
      <fill>
        <patternFill patternType="lightUp">
          <fgColor theme="0" tint="-4.9989318521683403E-2"/>
          <bgColor theme="0" tint="-0.24994659260841701"/>
        </patternFill>
      </fill>
    </dxf>
    <dxf>
      <font>
        <color theme="1" tint="0.499984740745262"/>
      </font>
      <fill>
        <patternFill patternType="lightUp">
          <fgColor theme="0" tint="-4.9989318521683403E-2"/>
          <bgColor theme="0" tint="-0.24994659260841701"/>
        </patternFill>
      </fill>
    </dxf>
    <dxf>
      <font>
        <color theme="1" tint="0.499984740745262"/>
      </font>
      <fill>
        <patternFill patternType="lightUp">
          <fgColor theme="0" tint="-4.9989318521683403E-2"/>
          <bgColor theme="0" tint="-0.24994659260841701"/>
        </patternFill>
      </fill>
    </dxf>
    <dxf>
      <font>
        <color rgb="FF9C0006"/>
      </font>
      <fill>
        <patternFill>
          <bgColor rgb="FFFFC7CE"/>
        </patternFill>
      </fill>
    </dxf>
    <dxf>
      <font>
        <color rgb="FF006100"/>
      </font>
      <fill>
        <patternFill>
          <bgColor rgb="FFC6EFCE"/>
        </patternFill>
      </fill>
    </dxf>
    <dxf>
      <font>
        <color theme="0"/>
      </font>
      <fill>
        <patternFill>
          <bgColor theme="0"/>
        </patternFill>
      </fill>
      <border>
        <left/>
        <right/>
        <top/>
        <bottom style="thin">
          <color theme="1" tint="0.499984740745262"/>
        </bottom>
      </border>
    </dxf>
    <dxf>
      <font>
        <color theme="0"/>
      </font>
      <fill>
        <patternFill>
          <bgColor theme="0"/>
        </patternFill>
      </fill>
      <border>
        <left/>
        <right/>
        <top/>
        <bottom style="thin">
          <color theme="1" tint="0.499984740745262"/>
        </bottom>
      </border>
    </dxf>
    <dxf>
      <font>
        <color theme="0"/>
      </font>
      <fill>
        <patternFill>
          <bgColor theme="0"/>
        </patternFill>
      </fill>
      <border>
        <left/>
        <right/>
        <top/>
        <bottom/>
      </border>
    </dxf>
    <dxf>
      <fill>
        <patternFill patternType="lightUp">
          <fgColor theme="0"/>
          <bgColor theme="0" tint="-0.149937437055574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theme="0"/>
        </patternFill>
      </fill>
    </dxf>
    <dxf>
      <fill>
        <patternFill patternType="lightUp">
          <fgColor theme="0"/>
          <bgColor theme="0" tint="-0.14993743705557422"/>
        </patternFill>
      </fill>
    </dxf>
    <dxf>
      <fill>
        <patternFill patternType="lightUp">
          <fgColor theme="0"/>
          <bgColor theme="0" tint="-0.14993743705557422"/>
        </patternFill>
      </fill>
    </dxf>
    <dxf>
      <fill>
        <patternFill patternType="lightUp">
          <fgColor theme="0"/>
          <bgColor theme="0" tint="-0.14993743705557422"/>
        </patternFill>
      </fill>
    </dxf>
    <dxf>
      <font>
        <color theme="1" tint="0.499984740745262"/>
      </font>
      <fill>
        <patternFill patternType="lightUp">
          <fgColor theme="0" tint="-4.9989318521683403E-2"/>
          <bgColor theme="0" tint="-0.24994659260841701"/>
        </patternFill>
      </fill>
    </dxf>
    <dxf>
      <font>
        <color theme="1" tint="0.499984740745262"/>
      </font>
      <fill>
        <patternFill patternType="lightUp">
          <fgColor theme="0" tint="-4.9989318521683403E-2"/>
          <bgColor theme="0" tint="-0.24994659260841701"/>
        </patternFill>
      </fill>
    </dxf>
    <dxf>
      <font>
        <color theme="1" tint="0.499984740745262"/>
      </font>
      <fill>
        <patternFill patternType="lightUp">
          <fgColor theme="0" tint="-4.9989318521683403E-2"/>
          <bgColor theme="0" tint="-0.24994659260841701"/>
        </patternFill>
      </fill>
    </dxf>
    <dxf>
      <font>
        <color theme="1" tint="0.499984740745262"/>
      </font>
      <fill>
        <patternFill patternType="lightUp">
          <fgColor theme="0" tint="-4.9989318521683403E-2"/>
          <bgColor theme="0" tint="-0.24994659260841701"/>
        </patternFill>
      </fill>
    </dxf>
    <dxf>
      <font>
        <color theme="1" tint="0.499984740745262"/>
      </font>
      <fill>
        <patternFill patternType="lightUp">
          <fgColor theme="0" tint="-4.9989318521683403E-2"/>
          <bgColor theme="0" tint="-0.24994659260841701"/>
        </patternFill>
      </fill>
    </dxf>
    <dxf>
      <font>
        <color rgb="FF9C0006"/>
      </font>
      <fill>
        <patternFill>
          <bgColor rgb="FFFFC7CE"/>
        </patternFill>
      </fill>
    </dxf>
    <dxf>
      <font>
        <color rgb="FF006100"/>
      </font>
      <fill>
        <patternFill>
          <bgColor rgb="FFC6EFCE"/>
        </patternFill>
      </fill>
    </dxf>
    <dxf>
      <font>
        <color theme="0"/>
      </font>
      <fill>
        <patternFill>
          <bgColor theme="0"/>
        </patternFill>
      </fill>
      <border>
        <left/>
        <right/>
        <top/>
        <bottom style="thin">
          <color theme="1" tint="0.499984740745262"/>
        </bottom>
      </border>
    </dxf>
    <dxf>
      <font>
        <color theme="0"/>
      </font>
      <fill>
        <patternFill>
          <bgColor theme="0"/>
        </patternFill>
      </fill>
      <border>
        <left/>
        <right/>
        <top/>
        <bottom style="thin">
          <color theme="1" tint="0.499984740745262"/>
        </bottom>
      </border>
    </dxf>
    <dxf>
      <font>
        <color theme="0"/>
      </font>
      <fill>
        <patternFill>
          <bgColor theme="0"/>
        </patternFill>
      </fill>
      <border>
        <left/>
        <right/>
        <top/>
        <bottom/>
      </border>
    </dxf>
    <dxf>
      <fill>
        <patternFill patternType="lightUp">
          <fgColor theme="0"/>
          <bgColor theme="0" tint="-0.14993743705557422"/>
        </patternFill>
      </fill>
    </dxf>
    <dxf>
      <fill>
        <patternFill patternType="lightUp">
          <fgColor theme="0"/>
          <bgColor theme="0" tint="-0.149937437055574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theme="0"/>
        </patternFill>
      </fill>
    </dxf>
    <dxf>
      <fill>
        <patternFill patternType="lightUp">
          <fgColor theme="0"/>
          <bgColor theme="0" tint="-0.14993743705557422"/>
        </patternFill>
      </fill>
    </dxf>
    <dxf>
      <font>
        <color theme="1" tint="0.499984740745262"/>
      </font>
      <fill>
        <patternFill patternType="lightUp">
          <fgColor theme="0" tint="-4.9989318521683403E-2"/>
          <bgColor theme="0" tint="-0.24994659260841701"/>
        </patternFill>
      </fill>
    </dxf>
    <dxf>
      <font>
        <color theme="1" tint="0.499984740745262"/>
      </font>
      <fill>
        <patternFill patternType="lightUp">
          <fgColor theme="0" tint="-4.9989318521683403E-2"/>
          <bgColor theme="0" tint="-0.24994659260841701"/>
        </patternFill>
      </fill>
    </dxf>
    <dxf>
      <font>
        <color theme="1" tint="0.499984740745262"/>
      </font>
      <fill>
        <patternFill patternType="lightUp">
          <fgColor theme="0" tint="-4.9989318521683403E-2"/>
          <bgColor theme="0" tint="-0.24994659260841701"/>
        </patternFill>
      </fill>
    </dxf>
    <dxf>
      <font>
        <color theme="1" tint="0.499984740745262"/>
      </font>
      <fill>
        <patternFill patternType="lightUp">
          <fgColor theme="0" tint="-4.9989318521683403E-2"/>
          <bgColor theme="0" tint="-0.24994659260841701"/>
        </patternFill>
      </fill>
    </dxf>
    <dxf>
      <font>
        <color theme="1" tint="0.499984740745262"/>
      </font>
      <fill>
        <patternFill patternType="lightUp">
          <fgColor theme="0" tint="-4.9989318521683403E-2"/>
          <bgColor theme="0" tint="-0.24994659260841701"/>
        </patternFill>
      </fill>
    </dxf>
    <dxf>
      <font>
        <color rgb="FF9C0006"/>
      </font>
      <fill>
        <patternFill>
          <bgColor rgb="FFFFC7CE"/>
        </patternFill>
      </fill>
    </dxf>
    <dxf>
      <font>
        <color rgb="FF006100"/>
      </font>
      <fill>
        <patternFill>
          <bgColor rgb="FFC6EFCE"/>
        </patternFill>
      </fill>
    </dxf>
    <dxf>
      <fill>
        <patternFill>
          <bgColor rgb="FFEAF1E3"/>
        </patternFill>
      </fill>
    </dxf>
    <dxf>
      <font>
        <b val="0"/>
        <i val="0"/>
        <color theme="0" tint="-0.14996795556505021"/>
      </font>
      <fill>
        <patternFill patternType="solid">
          <fgColor theme="0" tint="-0.14993743705557422"/>
          <bgColor theme="0" tint="-0.14996795556505021"/>
        </patternFill>
      </fill>
    </dxf>
    <dxf>
      <font>
        <b val="0"/>
        <i val="0"/>
        <color theme="1"/>
      </font>
      <fill>
        <patternFill patternType="lightUp">
          <fgColor theme="0" tint="-4.9989318521683403E-2"/>
          <bgColor theme="7" tint="0.7999816888943144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theme="0"/>
      </font>
      <fill>
        <patternFill>
          <bgColor theme="0"/>
        </patternFill>
      </fill>
      <border>
        <left/>
        <right/>
        <top/>
        <bottom/>
      </border>
    </dxf>
    <dxf>
      <font>
        <color theme="1" tint="0.499984740745262"/>
      </font>
      <fill>
        <patternFill patternType="lightUp">
          <fgColor theme="0" tint="-4.9989318521683403E-2"/>
          <bgColor theme="0" tint="-0.24994659260841701"/>
        </patternFill>
      </fill>
    </dxf>
    <dxf>
      <protection locked="0" hidden="0"/>
    </dxf>
    <dxf>
      <numFmt numFmtId="30" formatCode="@"/>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numFmt numFmtId="19" formatCode="d/mm/yyyy"/>
      <protection locked="0" hidden="0"/>
    </dxf>
    <dxf>
      <protection locked="0" hidden="0"/>
    </dxf>
    <dxf>
      <protection locked="0" hidden="0"/>
    </dxf>
    <dxf>
      <protection locked="0" hidden="0"/>
    </dxf>
    <dxf>
      <protection locked="0" hidden="0"/>
    </dxf>
    <dxf>
      <border outline="0">
        <bottom style="thin">
          <color theme="1" tint="0.499984740745262"/>
        </bottom>
      </border>
    </dxf>
    <dxf>
      <protection locked="0" hidden="0"/>
    </dxf>
  </dxfs>
  <tableStyles count="0" defaultTableStyle="TableStyleMedium2" defaultPivotStyle="PivotStyleLight16"/>
  <colors>
    <mruColors>
      <color rgb="FFE00000"/>
      <color rgb="FFB30000"/>
      <color rgb="FFC90000"/>
      <color rgb="FFE4EDDA"/>
      <color rgb="FFEAF1E3"/>
      <color rgb="FFD6E2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299619E-A877-4F04-9932-43D910E13010}" name="Table6" displayName="Table6" ref="A5:O256" dataDxfId="108" tableBorderDxfId="107">
  <autoFilter ref="A5:O256" xr:uid="{4299619E-A877-4F04-9932-43D910E13010}"/>
  <tableColumns count="15">
    <tableColumn id="1" xr3:uid="{1A4A42DF-92EF-4865-8187-91A01D4DBD3F}" name="Financial Year" totalsRowLabel="Total" dataDxfId="106"/>
    <tableColumn id="2" xr3:uid="{C9C018BE-C1A3-49BE-8D8D-3A5104BE3691}" name="Quarter" dataDxfId="105"/>
    <tableColumn id="3" xr3:uid="{037869DB-3CDC-49C9-B8C7-C2F660F1686D}" name="Surname" dataDxfId="104"/>
    <tableColumn id="4" xr3:uid="{64444226-188B-4DB3-8CB0-AA66DE56E320}" name="First Name" dataDxfId="103"/>
    <tableColumn id="5" xr3:uid="{16630C15-22E0-47FF-B73B-C28B54A6822A}" name="Date of Birth" dataDxfId="102"/>
    <tableColumn id="6" xr3:uid="{501B4EB8-6E34-461C-869F-26C312E04ECB}" name="Apprentice ID" dataDxfId="101"/>
    <tableColumn id="7" xr3:uid="{E24AA509-DDEC-4586-A308-A3AD0E504772}" name="ICT Cadet" dataDxfId="100"/>
    <tableColumn id="8" xr3:uid="{5ABC6C96-3971-4931-9042-68491A6495A9}" name="Has USI and consents to its use?" dataDxfId="99"/>
    <tableColumn id="9" xr3:uid="{4A075359-C393-4A97-B3FC-8D781AB5BF5B}" name="Gender" dataDxfId="98"/>
    <tableColumn id="10" xr3:uid="{6C8A7154-1FAD-418A-897D-5421F7AA19E8}" name="Trade" dataDxfId="97"/>
    <tableColumn id="11" xr3:uid="{29F15F9B-71DE-49D0-AE22-0489BD49F054}" name="Hours (on-site)" dataDxfId="96"/>
    <tableColumn id="12" xr3:uid="{CC1C452A-E418-45A6-9B5B-26D7E1D317F7}" name="Hours (off-site)" dataDxfId="95"/>
    <tableColumn id="13" xr3:uid="{DF159293-87B7-4F98-9E3C-49F394282C0C}" name="Residential Post Code" dataDxfId="94"/>
    <tableColumn id="14" xr3:uid="{62A8EFE4-C0B9-4F59-ADFE-710EDA77F626}" name="Participant Contact Number" dataDxfId="93"/>
    <tableColumn id="15" xr3:uid="{58C2C830-DA1E-4DE7-8358-98CFBA4883B7}" name="Participant Email" totalsRowFunction="count" dataDxfId="92"/>
  </tableColumns>
  <tableStyleInfo name="TableStyleLight9" showFirstColumn="0" showLastColumn="0" showRowStripes="1" showColumnStripes="1"/>
</table>
</file>

<file path=xl/theme/theme1.xml><?xml version="1.0" encoding="utf-8"?>
<a:theme xmlns:a="http://schemas.openxmlformats.org/drawingml/2006/main" name="Office Theme">
  <a:themeElements>
    <a:clrScheme name="DEWR">
      <a:dk1>
        <a:sysClr val="windowText" lastClr="000000"/>
      </a:dk1>
      <a:lt1>
        <a:sysClr val="window" lastClr="FFFFFF"/>
      </a:lt1>
      <a:dk2>
        <a:srgbClr val="44546A"/>
      </a:dk2>
      <a:lt2>
        <a:srgbClr val="E7E6E6"/>
      </a:lt2>
      <a:accent1>
        <a:srgbClr val="404246"/>
      </a:accent1>
      <a:accent2>
        <a:srgbClr val="7A9F4C"/>
      </a:accent2>
      <a:accent3>
        <a:srgbClr val="62165C"/>
      </a:accent3>
      <a:accent4>
        <a:srgbClr val="B5C427"/>
      </a:accent4>
      <a:accent5>
        <a:srgbClr val="009B9F"/>
      </a:accent5>
      <a:accent6>
        <a:srgbClr val="0D2C6C"/>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dewr.gov.au/privacy" TargetMode="External"/><Relationship Id="rId2" Type="http://schemas.openxmlformats.org/officeDocument/2006/relationships/hyperlink" Target="https://www.dewr.gov.au/australian-skills-guarantee/resources/australian-skills-guarantee-privacy-notice" TargetMode="External"/><Relationship Id="rId1" Type="http://schemas.openxmlformats.org/officeDocument/2006/relationships/hyperlink" Target="https://www.dewr.gov.au/australian-skills-guarantee" TargetMode="External"/><Relationship Id="rId5" Type="http://schemas.openxmlformats.org/officeDocument/2006/relationships/printerSettings" Target="../printerSettings/printerSettings1.bin"/><Relationship Id="rId4" Type="http://schemas.openxmlformats.org/officeDocument/2006/relationships/hyperlink" Target="mailto:privacy@dewr.gov.au"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CDAC0-5426-4823-97A1-6FBA40B37733}">
  <sheetPr>
    <tabColor theme="4"/>
  </sheetPr>
  <dimension ref="A1:K70"/>
  <sheetViews>
    <sheetView showGridLines="0" tabSelected="1" zoomScaleNormal="100" workbookViewId="0">
      <selection activeCell="F12" sqref="F12"/>
    </sheetView>
  </sheetViews>
  <sheetFormatPr defaultColWidth="0" defaultRowHeight="15" zeroHeight="1" x14ac:dyDescent="0.25"/>
  <cols>
    <col min="1" max="1" width="4.5703125" style="13" customWidth="1"/>
    <col min="2" max="2" width="8.7109375" style="115" customWidth="1"/>
    <col min="3" max="10" width="14.5703125" style="115" customWidth="1"/>
    <col min="11" max="11" width="4.5703125" style="13" customWidth="1"/>
    <col min="12" max="16384" width="8.7109375" style="13" hidden="1"/>
  </cols>
  <sheetData>
    <row r="1" spans="1:11" x14ac:dyDescent="0.25">
      <c r="B1" s="13"/>
      <c r="C1" s="13"/>
      <c r="D1" s="13"/>
      <c r="E1" s="13"/>
      <c r="F1" s="13"/>
      <c r="G1" s="13"/>
      <c r="H1" s="13"/>
      <c r="I1" s="13"/>
      <c r="J1" s="13"/>
    </row>
    <row r="2" spans="1:11" ht="26.25" x14ac:dyDescent="0.25">
      <c r="A2" s="7"/>
      <c r="B2" s="5" t="s">
        <v>0</v>
      </c>
      <c r="C2" s="8"/>
      <c r="D2" s="8"/>
      <c r="E2" s="8"/>
      <c r="F2" s="7"/>
      <c r="G2" s="7"/>
      <c r="H2" s="7"/>
      <c r="I2" s="7"/>
      <c r="J2" s="7"/>
      <c r="K2" s="7"/>
    </row>
    <row r="3" spans="1:11" ht="21" x14ac:dyDescent="0.25">
      <c r="A3" s="9"/>
      <c r="B3" s="6" t="s">
        <v>1</v>
      </c>
      <c r="C3" s="10"/>
      <c r="D3" s="10"/>
      <c r="E3" s="10"/>
      <c r="F3" s="9"/>
      <c r="G3" s="9"/>
      <c r="H3" s="9"/>
      <c r="I3" s="9"/>
      <c r="J3" s="9"/>
      <c r="K3" s="9"/>
    </row>
    <row r="4" spans="1:11" ht="15.75" x14ac:dyDescent="0.25">
      <c r="A4" s="11"/>
      <c r="B4" s="12"/>
      <c r="C4" s="11"/>
      <c r="D4" s="11"/>
      <c r="E4" s="11"/>
      <c r="F4" s="11"/>
      <c r="G4" s="11"/>
      <c r="H4" s="11"/>
      <c r="I4" s="11"/>
      <c r="J4" s="11"/>
      <c r="K4" s="11"/>
    </row>
    <row r="5" spans="1:11" x14ac:dyDescent="0.25">
      <c r="B5" s="13"/>
      <c r="C5" s="13"/>
      <c r="D5" s="13"/>
      <c r="E5" s="13"/>
      <c r="F5" s="13"/>
      <c r="G5" s="13"/>
      <c r="H5" s="13"/>
      <c r="I5" s="13"/>
      <c r="J5" s="13"/>
    </row>
    <row r="6" spans="1:11" ht="30" customHeight="1" x14ac:dyDescent="0.25">
      <c r="B6" s="112" t="s">
        <v>2</v>
      </c>
      <c r="C6" s="112"/>
      <c r="D6" s="112"/>
      <c r="E6" s="112"/>
      <c r="F6" s="112"/>
      <c r="G6" s="112"/>
      <c r="H6" s="112"/>
      <c r="I6" s="112"/>
      <c r="J6" s="112"/>
    </row>
    <row r="7" spans="1:11" x14ac:dyDescent="0.25">
      <c r="B7" s="112" t="s">
        <v>3</v>
      </c>
      <c r="C7" s="112"/>
      <c r="D7" s="112"/>
      <c r="E7" s="112"/>
      <c r="F7" s="112"/>
      <c r="G7" s="112"/>
      <c r="H7" s="112"/>
      <c r="I7" s="112"/>
      <c r="J7" s="112"/>
    </row>
    <row r="8" spans="1:11" x14ac:dyDescent="0.25">
      <c r="B8" s="112" t="s">
        <v>4</v>
      </c>
      <c r="C8" s="112"/>
      <c r="D8" s="112"/>
      <c r="E8" s="112"/>
      <c r="F8" s="112"/>
      <c r="G8" s="112"/>
      <c r="H8" s="112"/>
      <c r="I8" s="112"/>
      <c r="J8" s="112"/>
    </row>
    <row r="9" spans="1:11" x14ac:dyDescent="0.25">
      <c r="B9" s="112" t="s">
        <v>5</v>
      </c>
      <c r="C9" s="112"/>
      <c r="D9" s="112"/>
      <c r="E9" s="112"/>
      <c r="F9" s="112"/>
      <c r="G9" s="112"/>
      <c r="H9" s="112"/>
      <c r="I9" s="112"/>
      <c r="J9" s="112"/>
    </row>
    <row r="10" spans="1:11" x14ac:dyDescent="0.25">
      <c r="B10" s="65" t="s">
        <v>6</v>
      </c>
      <c r="C10" s="19"/>
      <c r="D10" s="19"/>
      <c r="E10" s="19"/>
      <c r="F10" s="19"/>
      <c r="G10" s="19"/>
      <c r="H10" s="19"/>
      <c r="I10" s="19"/>
      <c r="J10" s="19"/>
    </row>
    <row r="11" spans="1:11" x14ac:dyDescent="0.25">
      <c r="B11" s="19"/>
      <c r="C11" s="19"/>
      <c r="D11" s="19"/>
      <c r="E11" s="19"/>
      <c r="F11" s="19"/>
      <c r="G11" s="19"/>
      <c r="H11" s="19"/>
      <c r="I11" s="19"/>
      <c r="J11" s="19"/>
    </row>
    <row r="12" spans="1:11" ht="15.75" thickBot="1" x14ac:dyDescent="0.3">
      <c r="B12" s="66" t="s">
        <v>7</v>
      </c>
      <c r="C12" s="67"/>
      <c r="D12" s="67"/>
      <c r="E12" s="67"/>
      <c r="F12" s="67"/>
      <c r="G12" s="67"/>
      <c r="H12" s="67"/>
      <c r="I12" s="67"/>
      <c r="J12" s="67"/>
    </row>
    <row r="13" spans="1:11" ht="27.6" customHeight="1" x14ac:dyDescent="0.25">
      <c r="B13" s="112" t="s">
        <v>8</v>
      </c>
      <c r="C13" s="112"/>
      <c r="D13" s="112"/>
      <c r="E13" s="112"/>
      <c r="F13" s="112"/>
      <c r="G13" s="112"/>
      <c r="H13" s="112"/>
      <c r="I13" s="112"/>
      <c r="J13" s="112"/>
    </row>
    <row r="14" spans="1:11" x14ac:dyDescent="0.25">
      <c r="B14" s="114" t="s">
        <v>9</v>
      </c>
      <c r="C14" s="114"/>
      <c r="D14" s="114"/>
      <c r="E14" s="114"/>
      <c r="F14" s="114"/>
      <c r="G14" s="114"/>
      <c r="H14" s="114"/>
      <c r="I14" s="114"/>
      <c r="J14" s="114"/>
    </row>
    <row r="15" spans="1:11" ht="43.5" customHeight="1" x14ac:dyDescent="0.25">
      <c r="B15" s="112" t="s">
        <v>10</v>
      </c>
      <c r="C15" s="112"/>
      <c r="D15" s="112"/>
      <c r="E15" s="112"/>
      <c r="F15" s="112"/>
      <c r="G15" s="112"/>
      <c r="H15" s="112"/>
      <c r="I15" s="112"/>
      <c r="J15" s="112"/>
    </row>
    <row r="16" spans="1:11" ht="28.5" customHeight="1" x14ac:dyDescent="0.25">
      <c r="B16" s="112" t="s">
        <v>11</v>
      </c>
      <c r="C16" s="112"/>
      <c r="D16" s="112"/>
      <c r="E16" s="112"/>
      <c r="F16" s="112"/>
      <c r="G16" s="112"/>
      <c r="H16" s="112"/>
      <c r="I16" s="112"/>
      <c r="J16" s="112"/>
    </row>
    <row r="17" spans="2:10" ht="28.5" customHeight="1" x14ac:dyDescent="0.25">
      <c r="B17" s="115" t="s">
        <v>12</v>
      </c>
    </row>
    <row r="18" spans="2:10" x14ac:dyDescent="0.25">
      <c r="B18" s="114" t="s">
        <v>13</v>
      </c>
      <c r="C18" s="114"/>
      <c r="D18" s="114"/>
      <c r="E18" s="114"/>
      <c r="F18" s="114"/>
      <c r="G18" s="114"/>
      <c r="H18" s="114"/>
      <c r="I18" s="114"/>
      <c r="J18" s="114"/>
    </row>
    <row r="19" spans="2:10" x14ac:dyDescent="0.25">
      <c r="B19" s="115" t="s">
        <v>14</v>
      </c>
    </row>
    <row r="20" spans="2:10" x14ac:dyDescent="0.25">
      <c r="B20" s="114" t="s">
        <v>15</v>
      </c>
      <c r="C20" s="114"/>
      <c r="D20" s="114"/>
      <c r="E20" s="114"/>
      <c r="F20" s="114"/>
      <c r="G20" s="114"/>
      <c r="H20" s="114"/>
      <c r="I20" s="114"/>
      <c r="J20" s="114"/>
    </row>
    <row r="21" spans="2:10" x14ac:dyDescent="0.25">
      <c r="B21" s="97"/>
      <c r="C21" s="97"/>
      <c r="D21" s="97"/>
      <c r="E21" s="97"/>
      <c r="F21" s="97"/>
      <c r="G21" s="97"/>
      <c r="H21" s="97"/>
      <c r="I21" s="97"/>
      <c r="J21" s="97"/>
    </row>
    <row r="22" spans="2:10" ht="20.25" thickBot="1" x14ac:dyDescent="0.3">
      <c r="B22" s="68" t="s">
        <v>16</v>
      </c>
      <c r="C22" s="69"/>
      <c r="D22" s="69"/>
      <c r="E22" s="69"/>
      <c r="F22" s="69"/>
      <c r="G22" s="69"/>
      <c r="H22" s="69"/>
      <c r="I22" s="69"/>
      <c r="J22" s="69"/>
    </row>
    <row r="23" spans="2:10" ht="30" customHeight="1" thickTop="1" x14ac:dyDescent="0.25">
      <c r="B23" s="111" t="s">
        <v>17</v>
      </c>
      <c r="C23" s="111"/>
      <c r="D23" s="111"/>
      <c r="E23" s="111"/>
      <c r="F23" s="111"/>
      <c r="G23" s="111"/>
      <c r="H23" s="111"/>
      <c r="I23" s="111"/>
      <c r="J23" s="111"/>
    </row>
    <row r="24" spans="2:10" x14ac:dyDescent="0.25">
      <c r="B24" s="112" t="s">
        <v>18</v>
      </c>
      <c r="C24" s="112"/>
      <c r="D24" s="112"/>
      <c r="E24" s="112"/>
      <c r="F24" s="112"/>
      <c r="G24" s="112"/>
      <c r="H24" s="112"/>
      <c r="I24" s="112"/>
      <c r="J24" s="112"/>
    </row>
    <row r="25" spans="2:10" x14ac:dyDescent="0.25">
      <c r="B25" s="19"/>
      <c r="C25" s="19"/>
      <c r="D25" s="19"/>
      <c r="E25" s="19"/>
      <c r="F25" s="19"/>
      <c r="G25" s="19"/>
      <c r="H25" s="19"/>
      <c r="I25" s="19"/>
      <c r="J25" s="19"/>
    </row>
    <row r="26" spans="2:10" ht="15.75" thickBot="1" x14ac:dyDescent="0.3">
      <c r="B26" s="66" t="s">
        <v>19</v>
      </c>
      <c r="C26" s="67"/>
      <c r="D26" s="67"/>
      <c r="E26" s="67"/>
      <c r="F26" s="67"/>
      <c r="G26" s="67"/>
      <c r="H26" s="67"/>
      <c r="I26" s="67"/>
      <c r="J26" s="67"/>
    </row>
    <row r="27" spans="2:10" x14ac:dyDescent="0.25">
      <c r="B27" s="19"/>
      <c r="C27" s="19"/>
      <c r="D27" s="19"/>
      <c r="E27" s="19"/>
      <c r="F27" s="19"/>
      <c r="G27" s="19"/>
      <c r="H27" s="19"/>
      <c r="I27" s="19"/>
      <c r="J27" s="19"/>
    </row>
    <row r="28" spans="2:10" x14ac:dyDescent="0.25">
      <c r="B28" s="70"/>
      <c r="C28" s="119" t="s">
        <v>20</v>
      </c>
      <c r="D28" s="112"/>
      <c r="E28" s="112"/>
      <c r="F28" s="112"/>
      <c r="G28" s="112"/>
      <c r="H28" s="112"/>
      <c r="I28" s="112"/>
      <c r="J28" s="112"/>
    </row>
    <row r="29" spans="2:10" x14ac:dyDescent="0.25">
      <c r="B29" s="71"/>
      <c r="C29" s="119" t="s">
        <v>21</v>
      </c>
      <c r="D29" s="112"/>
      <c r="E29" s="112"/>
      <c r="F29" s="112"/>
      <c r="G29" s="112"/>
      <c r="H29" s="112"/>
      <c r="I29" s="112"/>
      <c r="J29" s="112"/>
    </row>
    <row r="30" spans="2:10" x14ac:dyDescent="0.25">
      <c r="B30" s="32"/>
      <c r="C30" s="116" t="s">
        <v>22</v>
      </c>
      <c r="D30" s="112"/>
      <c r="E30" s="112"/>
      <c r="F30" s="112"/>
      <c r="G30" s="112"/>
      <c r="H30" s="112"/>
      <c r="I30" s="112"/>
      <c r="J30" s="112"/>
    </row>
    <row r="31" spans="2:10" x14ac:dyDescent="0.25">
      <c r="B31" s="19"/>
      <c r="C31" s="19"/>
      <c r="D31" s="19"/>
      <c r="E31" s="19"/>
      <c r="F31" s="19"/>
      <c r="G31" s="19"/>
      <c r="H31" s="19"/>
      <c r="I31" s="19"/>
      <c r="J31" s="19"/>
    </row>
    <row r="32" spans="2:10" ht="20.25" thickBot="1" x14ac:dyDescent="0.3">
      <c r="B32" s="68" t="s">
        <v>23</v>
      </c>
      <c r="C32" s="69"/>
      <c r="D32" s="69"/>
      <c r="E32" s="69"/>
      <c r="F32" s="69"/>
      <c r="G32" s="69"/>
      <c r="H32" s="69"/>
      <c r="I32" s="69"/>
      <c r="J32" s="69"/>
    </row>
    <row r="33" spans="2:10" ht="15.75" thickTop="1" x14ac:dyDescent="0.25">
      <c r="B33" s="111" t="s">
        <v>24</v>
      </c>
      <c r="C33" s="111"/>
      <c r="D33" s="111"/>
      <c r="E33" s="111"/>
      <c r="F33" s="111"/>
      <c r="G33" s="111"/>
      <c r="H33" s="111"/>
      <c r="I33" s="111"/>
      <c r="J33" s="111"/>
    </row>
    <row r="34" spans="2:10" x14ac:dyDescent="0.25">
      <c r="B34" s="112" t="s">
        <v>25</v>
      </c>
      <c r="C34" s="112"/>
      <c r="D34" s="112"/>
      <c r="E34" s="112"/>
      <c r="F34" s="112"/>
      <c r="G34" s="112"/>
      <c r="H34" s="112"/>
      <c r="I34" s="112"/>
      <c r="J34" s="112"/>
    </row>
    <row r="35" spans="2:10" x14ac:dyDescent="0.25">
      <c r="B35" s="112" t="s">
        <v>26</v>
      </c>
      <c r="C35" s="112"/>
      <c r="D35" s="112"/>
      <c r="E35" s="112"/>
      <c r="F35" s="112"/>
      <c r="G35" s="112"/>
      <c r="H35" s="112"/>
      <c r="I35" s="112"/>
      <c r="J35" s="112"/>
    </row>
    <row r="36" spans="2:10" ht="30" customHeight="1" x14ac:dyDescent="0.25">
      <c r="B36" s="112" t="s">
        <v>27</v>
      </c>
      <c r="C36" s="112"/>
      <c r="D36" s="112"/>
      <c r="E36" s="112"/>
      <c r="F36" s="112"/>
      <c r="G36" s="112"/>
      <c r="H36" s="112"/>
      <c r="I36" s="112"/>
      <c r="J36" s="112"/>
    </row>
    <row r="37" spans="2:10" x14ac:dyDescent="0.25">
      <c r="B37" s="19"/>
      <c r="C37" s="19"/>
      <c r="D37" s="19"/>
      <c r="E37" s="19"/>
      <c r="F37" s="19"/>
      <c r="G37" s="19"/>
      <c r="H37" s="19"/>
      <c r="I37" s="19"/>
      <c r="J37" s="19"/>
    </row>
    <row r="38" spans="2:10" ht="15.75" thickBot="1" x14ac:dyDescent="0.3">
      <c r="B38" s="66" t="s">
        <v>28</v>
      </c>
      <c r="C38" s="67"/>
      <c r="D38" s="67"/>
      <c r="E38" s="67"/>
      <c r="F38" s="67"/>
      <c r="G38" s="67"/>
      <c r="H38" s="67"/>
      <c r="I38" s="67"/>
      <c r="J38" s="67"/>
    </row>
    <row r="39" spans="2:10" ht="30" customHeight="1" x14ac:dyDescent="0.25">
      <c r="B39" s="113" t="s">
        <v>29</v>
      </c>
      <c r="C39" s="113"/>
      <c r="D39" s="113"/>
      <c r="E39" s="113"/>
      <c r="F39" s="113"/>
      <c r="G39" s="113"/>
      <c r="H39" s="113"/>
      <c r="I39" s="113"/>
      <c r="J39" s="113"/>
    </row>
    <row r="40" spans="2:10" x14ac:dyDescent="0.25">
      <c r="B40" s="112" t="s">
        <v>30</v>
      </c>
      <c r="C40" s="112"/>
      <c r="D40" s="112"/>
      <c r="E40" s="112"/>
      <c r="F40" s="112"/>
      <c r="G40" s="112"/>
      <c r="H40" s="112"/>
      <c r="I40" s="112"/>
      <c r="J40" s="112"/>
    </row>
    <row r="41" spans="2:10" ht="30" customHeight="1" x14ac:dyDescent="0.25">
      <c r="B41" s="112" t="s">
        <v>31</v>
      </c>
      <c r="C41" s="112"/>
      <c r="D41" s="112"/>
      <c r="E41" s="112"/>
      <c r="F41" s="112"/>
      <c r="G41" s="112"/>
      <c r="H41" s="112"/>
      <c r="I41" s="112"/>
      <c r="J41" s="112"/>
    </row>
    <row r="42" spans="2:10" x14ac:dyDescent="0.25">
      <c r="B42" s="19"/>
      <c r="C42" s="19"/>
      <c r="D42" s="19"/>
      <c r="E42" s="19"/>
      <c r="F42" s="19"/>
      <c r="G42" s="19"/>
      <c r="H42" s="19"/>
      <c r="I42" s="19"/>
      <c r="J42" s="19"/>
    </row>
    <row r="43" spans="2:10" ht="20.25" thickBot="1" x14ac:dyDescent="0.3">
      <c r="B43" s="68" t="s">
        <v>32</v>
      </c>
      <c r="C43" s="69"/>
      <c r="D43" s="69"/>
      <c r="E43" s="69"/>
      <c r="F43" s="69"/>
      <c r="G43" s="69"/>
      <c r="H43" s="69"/>
      <c r="I43" s="69"/>
      <c r="J43" s="69"/>
    </row>
    <row r="44" spans="2:10" ht="15.75" hidden="1" thickTop="1" x14ac:dyDescent="0.25">
      <c r="B44" s="111" t="s">
        <v>33</v>
      </c>
      <c r="C44" s="111"/>
      <c r="D44" s="111"/>
      <c r="E44" s="111"/>
      <c r="F44" s="111"/>
      <c r="G44" s="111"/>
      <c r="H44" s="111"/>
      <c r="I44" s="111"/>
      <c r="J44" s="111"/>
    </row>
    <row r="45" spans="2:10" ht="30" customHeight="1" thickTop="1" x14ac:dyDescent="0.25">
      <c r="B45" s="112" t="s">
        <v>34</v>
      </c>
      <c r="C45" s="112"/>
      <c r="D45" s="112"/>
      <c r="E45" s="112"/>
      <c r="F45" s="112"/>
      <c r="G45" s="112"/>
      <c r="H45" s="112"/>
      <c r="I45" s="112"/>
      <c r="J45" s="112"/>
    </row>
    <row r="46" spans="2:10" ht="29.45" customHeight="1" x14ac:dyDescent="0.25">
      <c r="B46" s="112" t="s">
        <v>35</v>
      </c>
      <c r="C46" s="112"/>
      <c r="D46" s="112"/>
      <c r="E46" s="112"/>
      <c r="F46" s="112"/>
      <c r="G46" s="112"/>
      <c r="H46" s="112"/>
      <c r="I46" s="112"/>
      <c r="J46" s="112"/>
    </row>
    <row r="47" spans="2:10" ht="41.45" customHeight="1" x14ac:dyDescent="0.25">
      <c r="B47" s="115" t="s">
        <v>36</v>
      </c>
    </row>
    <row r="48" spans="2:10" ht="30" customHeight="1" x14ac:dyDescent="0.25">
      <c r="B48" s="112" t="s">
        <v>37</v>
      </c>
      <c r="C48" s="112"/>
      <c r="D48" s="112"/>
      <c r="E48" s="112"/>
      <c r="F48" s="112"/>
      <c r="G48" s="112"/>
      <c r="H48" s="112"/>
      <c r="I48" s="112"/>
      <c r="J48" s="112"/>
    </row>
    <row r="49" spans="2:10" ht="30" customHeight="1" x14ac:dyDescent="0.25">
      <c r="B49" s="112" t="s">
        <v>38</v>
      </c>
      <c r="C49" s="112"/>
      <c r="D49" s="112"/>
      <c r="E49" s="112"/>
      <c r="F49" s="112"/>
      <c r="G49" s="112"/>
      <c r="H49" s="112"/>
      <c r="I49" s="112"/>
      <c r="J49" s="112"/>
    </row>
    <row r="50" spans="2:10" x14ac:dyDescent="0.25">
      <c r="B50" s="19"/>
      <c r="C50" s="19"/>
      <c r="D50" s="19"/>
      <c r="E50" s="19"/>
      <c r="F50" s="19"/>
      <c r="G50" s="19"/>
      <c r="H50" s="19"/>
      <c r="I50" s="19"/>
      <c r="J50" s="19"/>
    </row>
    <row r="51" spans="2:10" ht="20.25" thickBot="1" x14ac:dyDescent="0.3">
      <c r="B51" s="68" t="s">
        <v>39</v>
      </c>
      <c r="C51" s="69"/>
      <c r="D51" s="69"/>
      <c r="E51" s="69"/>
      <c r="F51" s="69"/>
      <c r="G51" s="69"/>
      <c r="H51" s="69"/>
      <c r="I51" s="69"/>
      <c r="J51" s="69"/>
    </row>
    <row r="52" spans="2:10" ht="43.5" customHeight="1" thickTop="1" x14ac:dyDescent="0.25">
      <c r="B52" s="111" t="s">
        <v>40</v>
      </c>
      <c r="C52" s="111"/>
      <c r="D52" s="111"/>
      <c r="E52" s="111"/>
      <c r="F52" s="111"/>
      <c r="G52" s="111"/>
      <c r="H52" s="111"/>
      <c r="I52" s="111"/>
      <c r="J52" s="111"/>
    </row>
    <row r="53" spans="2:10" ht="30" customHeight="1" x14ac:dyDescent="0.25">
      <c r="B53" s="112" t="s">
        <v>41</v>
      </c>
      <c r="C53" s="112"/>
      <c r="D53" s="112"/>
      <c r="E53" s="112"/>
      <c r="F53" s="112"/>
      <c r="G53" s="112"/>
      <c r="H53" s="112"/>
      <c r="I53" s="112"/>
      <c r="J53" s="112"/>
    </row>
    <row r="54" spans="2:10" ht="30" customHeight="1" x14ac:dyDescent="0.25">
      <c r="B54" s="112" t="s">
        <v>42</v>
      </c>
      <c r="C54" s="112"/>
      <c r="D54" s="112"/>
      <c r="E54" s="112"/>
      <c r="F54" s="112"/>
      <c r="G54" s="112"/>
      <c r="H54" s="112"/>
      <c r="I54" s="112"/>
      <c r="J54" s="112"/>
    </row>
    <row r="55" spans="2:10" ht="30" customHeight="1" x14ac:dyDescent="0.25">
      <c r="B55" s="112" t="s">
        <v>43</v>
      </c>
      <c r="C55" s="112"/>
      <c r="D55" s="112"/>
      <c r="E55" s="112"/>
      <c r="F55" s="112"/>
      <c r="G55" s="112"/>
      <c r="H55" s="112"/>
      <c r="I55" s="112"/>
      <c r="J55" s="112"/>
    </row>
    <row r="56" spans="2:10" x14ac:dyDescent="0.25">
      <c r="B56" s="19"/>
      <c r="C56" s="72"/>
      <c r="D56" s="19"/>
      <c r="E56" s="19"/>
      <c r="F56" s="19"/>
      <c r="G56" s="19"/>
      <c r="H56" s="19"/>
      <c r="I56" s="19"/>
      <c r="J56" s="19"/>
    </row>
    <row r="57" spans="2:10" ht="20.25" thickBot="1" x14ac:dyDescent="0.3">
      <c r="B57" s="68" t="s">
        <v>44</v>
      </c>
      <c r="C57" s="69"/>
      <c r="D57" s="69"/>
      <c r="E57" s="69"/>
      <c r="F57" s="69"/>
      <c r="G57" s="69"/>
      <c r="H57" s="69"/>
      <c r="I57" s="69"/>
      <c r="J57" s="69"/>
    </row>
    <row r="58" spans="2:10" ht="15.75" thickTop="1" x14ac:dyDescent="0.25">
      <c r="B58" s="111" t="s">
        <v>45</v>
      </c>
      <c r="C58" s="111"/>
      <c r="D58" s="111"/>
      <c r="E58" s="111"/>
      <c r="F58" s="111"/>
      <c r="G58" s="111"/>
      <c r="H58" s="111"/>
      <c r="I58" s="111"/>
      <c r="J58" s="111"/>
    </row>
    <row r="59" spans="2:10" x14ac:dyDescent="0.25">
      <c r="B59" s="112" t="s">
        <v>46</v>
      </c>
      <c r="C59" s="112"/>
      <c r="D59" s="112"/>
      <c r="E59" s="112"/>
      <c r="F59" s="112"/>
      <c r="G59" s="112"/>
      <c r="H59" s="112"/>
      <c r="I59" s="112"/>
      <c r="J59" s="112"/>
    </row>
    <row r="60" spans="2:10" x14ac:dyDescent="0.25">
      <c r="B60" s="19"/>
      <c r="C60" s="19"/>
      <c r="D60" s="19"/>
      <c r="E60" s="19"/>
      <c r="F60" s="19"/>
      <c r="G60" s="19"/>
      <c r="H60" s="19"/>
      <c r="I60" s="19"/>
      <c r="J60" s="19"/>
    </row>
    <row r="61" spans="2:10" ht="20.25" thickBot="1" x14ac:dyDescent="0.3">
      <c r="B61" s="68" t="s">
        <v>47</v>
      </c>
      <c r="C61" s="69"/>
      <c r="D61" s="69"/>
      <c r="E61" s="69"/>
      <c r="F61" s="69"/>
      <c r="G61" s="69"/>
      <c r="H61" s="69"/>
      <c r="I61" s="69"/>
      <c r="J61" s="69"/>
    </row>
    <row r="62" spans="2:10" ht="30" customHeight="1" thickTop="1" x14ac:dyDescent="0.25">
      <c r="B62" s="111" t="s">
        <v>48</v>
      </c>
      <c r="C62" s="111"/>
      <c r="D62" s="111"/>
      <c r="E62" s="111"/>
      <c r="F62" s="111"/>
      <c r="G62" s="111"/>
      <c r="H62" s="111"/>
      <c r="I62" s="111"/>
      <c r="J62" s="111"/>
    </row>
    <row r="63" spans="2:10" x14ac:dyDescent="0.25">
      <c r="B63" s="13"/>
      <c r="C63" s="13"/>
      <c r="D63" s="13"/>
      <c r="E63" s="13"/>
      <c r="F63" s="13"/>
      <c r="G63" s="13"/>
      <c r="H63" s="13"/>
      <c r="I63" s="13"/>
      <c r="J63" s="13"/>
    </row>
    <row r="64" spans="2:10" ht="20.25" thickBot="1" x14ac:dyDescent="0.3">
      <c r="B64" s="68" t="s">
        <v>49</v>
      </c>
      <c r="C64" s="69"/>
      <c r="D64" s="69"/>
      <c r="E64" s="69"/>
      <c r="F64" s="69"/>
      <c r="G64" s="69"/>
      <c r="H64" s="69"/>
      <c r="I64" s="69"/>
      <c r="J64" s="69"/>
    </row>
    <row r="65" spans="2:10" ht="35.1" customHeight="1" thickTop="1" x14ac:dyDescent="0.25">
      <c r="B65" s="118" t="s">
        <v>50</v>
      </c>
      <c r="C65" s="118"/>
      <c r="D65" s="118"/>
      <c r="E65" s="118"/>
      <c r="F65" s="118"/>
      <c r="G65" s="118"/>
      <c r="H65" s="118"/>
      <c r="I65" s="118"/>
      <c r="J65" s="118"/>
    </row>
    <row r="66" spans="2:10" ht="256.5" customHeight="1" x14ac:dyDescent="0.25">
      <c r="B66" s="115" t="s">
        <v>51</v>
      </c>
    </row>
    <row r="67" spans="2:10" x14ac:dyDescent="0.25"/>
    <row r="68" spans="2:10" x14ac:dyDescent="0.25"/>
    <row r="69" spans="2:10" x14ac:dyDescent="0.25">
      <c r="B69" s="117"/>
    </row>
    <row r="70" spans="2:10" x14ac:dyDescent="0.25"/>
  </sheetData>
  <sheetProtection algorithmName="SHA-256" hashValue="eNgMFNHU4SbfDW14V1r2I5rZeNVMCCT1kKWtTyVBGzs=" saltValue="P5pL93/NeeK+4MvY6pLoCA==" spinCount="100000" sheet="1" selectLockedCells="1"/>
  <mergeCells count="43">
    <mergeCell ref="B68:J68"/>
    <mergeCell ref="B69:J69"/>
    <mergeCell ref="B70:J1048576"/>
    <mergeCell ref="B14:J14"/>
    <mergeCell ref="B47:J47"/>
    <mergeCell ref="B65:J65"/>
    <mergeCell ref="B66:J66"/>
    <mergeCell ref="B67:J67"/>
    <mergeCell ref="C29:J29"/>
    <mergeCell ref="B15:J15"/>
    <mergeCell ref="B20:J20"/>
    <mergeCell ref="B16:J16"/>
    <mergeCell ref="B17:J17"/>
    <mergeCell ref="B23:J23"/>
    <mergeCell ref="B24:J24"/>
    <mergeCell ref="C28:J28"/>
    <mergeCell ref="B6:J6"/>
    <mergeCell ref="B7:J7"/>
    <mergeCell ref="B8:J8"/>
    <mergeCell ref="B9:J9"/>
    <mergeCell ref="B13:J13"/>
    <mergeCell ref="B18:J18"/>
    <mergeCell ref="B19:J19"/>
    <mergeCell ref="C30:J30"/>
    <mergeCell ref="B33:J33"/>
    <mergeCell ref="B34:J34"/>
    <mergeCell ref="B35:J35"/>
    <mergeCell ref="B36:J36"/>
    <mergeCell ref="B39:J39"/>
    <mergeCell ref="B40:J40"/>
    <mergeCell ref="B41:J41"/>
    <mergeCell ref="B44:J44"/>
    <mergeCell ref="B45:J45"/>
    <mergeCell ref="B46:J46"/>
    <mergeCell ref="B62:J62"/>
    <mergeCell ref="B52:J52"/>
    <mergeCell ref="B53:J53"/>
    <mergeCell ref="B54:J54"/>
    <mergeCell ref="B55:J55"/>
    <mergeCell ref="B58:J58"/>
    <mergeCell ref="B59:J59"/>
    <mergeCell ref="B49:J49"/>
    <mergeCell ref="B48:J48"/>
  </mergeCells>
  <hyperlinks>
    <hyperlink ref="B10" r:id="rId1" xr:uid="{ED098DAC-4C16-4643-B8B5-DADE7774AB9D}"/>
    <hyperlink ref="B14:J14" r:id="rId2" display="https://www.dewr.gov.au/australian-skills-guarantee/resources/australian-skills-guarantee-privacy-notice" xr:uid="{7859BA05-A46D-4A1D-AC96-76E9ED4DDEB4}"/>
    <hyperlink ref="B18:J18" r:id="rId3" display="www.dewr.gov.au/privacy" xr:uid="{F2E3754C-2896-4E77-8DD8-8A794F13456E}"/>
    <hyperlink ref="B20:J20" r:id="rId4" display="privacy@dewr.gov.au" xr:uid="{45143F91-1658-472C-8CC7-34C2295FAF5D}"/>
  </hyperlinks>
  <pageMargins left="0.7" right="0.7" top="0.75" bottom="0.75" header="0.3" footer="0.3"/>
  <pageSetup paperSize="9"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96BA1-7CC0-4E7C-9D17-717D2E93371F}">
  <sheetPr>
    <tabColor theme="5" tint="0.39997558519241921"/>
  </sheetPr>
  <dimension ref="A1:M46"/>
  <sheetViews>
    <sheetView showGridLines="0" topLeftCell="A19" zoomScale="110" zoomScaleNormal="110" workbookViewId="0">
      <selection activeCell="F20" sqref="F20"/>
    </sheetView>
  </sheetViews>
  <sheetFormatPr defaultColWidth="0" defaultRowHeight="15" zeroHeight="1" x14ac:dyDescent="0.25"/>
  <cols>
    <col min="1" max="1" width="4.5703125" customWidth="1"/>
    <col min="2" max="2" width="35.7109375" customWidth="1"/>
    <col min="3" max="3" width="30.7109375" customWidth="1"/>
    <col min="4" max="4" width="6.5703125" customWidth="1"/>
    <col min="5" max="5" width="18.85546875" customWidth="1"/>
    <col min="6" max="6" width="21.85546875" bestFit="1" customWidth="1"/>
    <col min="7" max="7" width="2.5703125" customWidth="1"/>
    <col min="8" max="10" width="20.5703125" customWidth="1"/>
    <col min="11" max="11" width="8.5703125" customWidth="1"/>
    <col min="12" max="13" width="0" hidden="1" customWidth="1"/>
    <col min="14" max="16384" width="9.140625" hidden="1"/>
  </cols>
  <sheetData>
    <row r="1" spans="1:11" s="13" customFormat="1" x14ac:dyDescent="0.25"/>
    <row r="2" spans="1:11" s="13" customFormat="1" ht="26.25" x14ac:dyDescent="0.25">
      <c r="A2" s="7"/>
      <c r="B2" s="5" t="s">
        <v>0</v>
      </c>
      <c r="C2" s="8"/>
      <c r="D2" s="8"/>
      <c r="E2" s="8"/>
      <c r="F2" s="8"/>
      <c r="G2" s="8"/>
      <c r="H2" s="8"/>
      <c r="I2" s="8"/>
      <c r="J2" s="8"/>
      <c r="K2" s="8"/>
    </row>
    <row r="3" spans="1:11" s="13" customFormat="1" ht="21" x14ac:dyDescent="0.25">
      <c r="A3" s="9"/>
      <c r="B3" s="6" t="s">
        <v>52</v>
      </c>
      <c r="C3" s="10"/>
      <c r="D3" s="10"/>
      <c r="E3" s="10"/>
      <c r="F3" s="10"/>
      <c r="G3" s="10"/>
      <c r="H3" s="10"/>
      <c r="I3" s="10"/>
      <c r="J3" s="10"/>
      <c r="K3" s="10"/>
    </row>
    <row r="4" spans="1:11" s="13" customFormat="1" ht="15.75" x14ac:dyDescent="0.25">
      <c r="A4" s="11"/>
      <c r="B4" s="12" t="s">
        <v>53</v>
      </c>
      <c r="C4" s="11"/>
      <c r="D4" s="11"/>
      <c r="E4" s="11"/>
      <c r="F4" s="11"/>
      <c r="G4" s="11"/>
      <c r="H4" s="11"/>
      <c r="I4" s="11"/>
      <c r="J4" s="11"/>
      <c r="K4" s="11"/>
    </row>
    <row r="5" spans="1:11" s="13" customFormat="1" x14ac:dyDescent="0.25"/>
    <row r="6" spans="1:11" s="13" customFormat="1" ht="15.75" x14ac:dyDescent="0.25">
      <c r="B6" s="14" t="s">
        <v>54</v>
      </c>
      <c r="E6"/>
    </row>
    <row r="7" spans="1:11" s="13" customFormat="1" x14ac:dyDescent="0.25">
      <c r="B7" s="13" t="s">
        <v>55</v>
      </c>
      <c r="C7" s="33"/>
      <c r="E7"/>
    </row>
    <row r="8" spans="1:11" s="13" customFormat="1" x14ac:dyDescent="0.25">
      <c r="B8" s="13" t="s">
        <v>56</v>
      </c>
      <c r="C8" s="29"/>
    </row>
    <row r="9" spans="1:11" s="13" customFormat="1" x14ac:dyDescent="0.25">
      <c r="B9" s="13" t="s">
        <v>57</v>
      </c>
      <c r="C9" s="33"/>
    </row>
    <row r="10" spans="1:11" s="13" customFormat="1" x14ac:dyDescent="0.25">
      <c r="B10" s="13" t="s">
        <v>58</v>
      </c>
      <c r="C10" s="33"/>
      <c r="D10" s="54"/>
    </row>
    <row r="11" spans="1:11" s="13" customFormat="1" x14ac:dyDescent="0.25">
      <c r="B11" s="13" t="s">
        <v>59</v>
      </c>
      <c r="C11" s="76"/>
    </row>
    <row r="12" spans="1:11" s="13" customFormat="1" x14ac:dyDescent="0.25"/>
    <row r="13" spans="1:11" s="13" customFormat="1" ht="15.75" x14ac:dyDescent="0.25">
      <c r="B13" s="14" t="s">
        <v>60</v>
      </c>
      <c r="E13" s="14" t="s">
        <v>61</v>
      </c>
      <c r="G13"/>
    </row>
    <row r="14" spans="1:11" s="13" customFormat="1" ht="15.75" x14ac:dyDescent="0.25">
      <c r="B14" s="38" t="s">
        <v>62</v>
      </c>
      <c r="E14" s="38" t="s">
        <v>63</v>
      </c>
      <c r="G14"/>
      <c r="H14" s="14"/>
    </row>
    <row r="15" spans="1:11" s="13" customFormat="1" ht="30" x14ac:dyDescent="0.25">
      <c r="B15" s="13" t="s">
        <v>64</v>
      </c>
      <c r="C15" s="31"/>
      <c r="E15" s="44" t="s">
        <v>65</v>
      </c>
      <c r="F15" s="44" t="s">
        <v>66</v>
      </c>
      <c r="G15" s="1"/>
      <c r="H15" s="45" t="s">
        <v>67</v>
      </c>
      <c r="I15" s="45" t="s">
        <v>68</v>
      </c>
      <c r="J15" s="45" t="s">
        <v>69</v>
      </c>
    </row>
    <row r="16" spans="1:11" s="13" customFormat="1" x14ac:dyDescent="0.25">
      <c r="B16" s="13" t="s">
        <v>70</v>
      </c>
      <c r="C16" s="30"/>
      <c r="E16" s="28">
        <v>2025</v>
      </c>
      <c r="F16" s="75"/>
      <c r="G16"/>
      <c r="H16" s="46">
        <v>0.1</v>
      </c>
      <c r="I16" s="46">
        <v>0.06</v>
      </c>
      <c r="J16" s="46">
        <v>0.04</v>
      </c>
    </row>
    <row r="17" spans="2:10" s="13" customFormat="1" x14ac:dyDescent="0.25">
      <c r="B17" s="13" t="s">
        <v>71</v>
      </c>
      <c r="C17" s="34"/>
      <c r="D17"/>
      <c r="E17" s="28">
        <v>2026</v>
      </c>
      <c r="F17" s="75"/>
      <c r="G17"/>
      <c r="H17" s="46">
        <v>0.1</v>
      </c>
      <c r="I17" s="46">
        <v>7.0000000000000007E-2</v>
      </c>
      <c r="J17" s="46">
        <v>0.05</v>
      </c>
    </row>
    <row r="18" spans="2:10" s="13" customFormat="1" x14ac:dyDescent="0.25">
      <c r="B18" s="13" t="s">
        <v>72</v>
      </c>
      <c r="C18" s="34"/>
      <c r="E18" s="28">
        <v>2027</v>
      </c>
      <c r="F18" s="75"/>
      <c r="G18"/>
      <c r="H18" s="46">
        <v>0.1</v>
      </c>
      <c r="I18" s="46">
        <v>0.08</v>
      </c>
      <c r="J18" s="46">
        <v>0.06</v>
      </c>
    </row>
    <row r="19" spans="2:10" s="13" customFormat="1" x14ac:dyDescent="0.25">
      <c r="B19" s="13" t="s">
        <v>73</v>
      </c>
      <c r="C19" s="35"/>
      <c r="E19" s="28">
        <v>2028</v>
      </c>
      <c r="F19" s="75"/>
      <c r="G19"/>
      <c r="H19" s="46">
        <v>0.1</v>
      </c>
      <c r="I19" s="46">
        <v>0.09</v>
      </c>
      <c r="J19" s="46">
        <v>7.0000000000000007E-2</v>
      </c>
    </row>
    <row r="20" spans="2:10" s="13" customFormat="1" x14ac:dyDescent="0.25">
      <c r="B20" s="13" t="s">
        <v>74</v>
      </c>
      <c r="C20" s="31"/>
      <c r="E20" s="28">
        <v>2029</v>
      </c>
      <c r="F20" s="75"/>
      <c r="G20"/>
      <c r="H20" s="46">
        <v>0.1</v>
      </c>
      <c r="I20" s="46">
        <v>0.1</v>
      </c>
      <c r="J20" s="46">
        <v>0.08</v>
      </c>
    </row>
    <row r="21" spans="2:10" s="13" customFormat="1" x14ac:dyDescent="0.25">
      <c r="B21" s="13" t="s">
        <v>75</v>
      </c>
      <c r="C21" s="31"/>
      <c r="E21" s="28">
        <v>2030</v>
      </c>
      <c r="F21" s="75"/>
      <c r="G21"/>
      <c r="H21" s="46">
        <v>0.1</v>
      </c>
      <c r="I21" s="46">
        <v>0.11</v>
      </c>
      <c r="J21" s="46">
        <v>0.09</v>
      </c>
    </row>
    <row r="22" spans="2:10" s="13" customFormat="1" x14ac:dyDescent="0.25">
      <c r="B22" s="13" t="s">
        <v>76</v>
      </c>
      <c r="C22" s="31"/>
      <c r="E22" s="28">
        <v>2031</v>
      </c>
      <c r="F22" s="75"/>
      <c r="G22"/>
      <c r="H22" s="46">
        <v>0.1</v>
      </c>
      <c r="I22" s="46">
        <v>0.12</v>
      </c>
      <c r="J22" s="46">
        <v>0.1</v>
      </c>
    </row>
    <row r="23" spans="2:10" s="13" customFormat="1" x14ac:dyDescent="0.25">
      <c r="B23" s="13" t="s">
        <v>77</v>
      </c>
      <c r="C23" s="31"/>
      <c r="D23" s="48"/>
      <c r="E23" s="28">
        <v>2032</v>
      </c>
      <c r="F23" s="75"/>
      <c r="G23"/>
      <c r="H23" s="46">
        <v>0.1</v>
      </c>
      <c r="I23" s="46">
        <v>0.12</v>
      </c>
      <c r="J23" s="46">
        <v>0.1</v>
      </c>
    </row>
    <row r="24" spans="2:10" s="13" customFormat="1" x14ac:dyDescent="0.25">
      <c r="B24" s="13" t="s">
        <v>78</v>
      </c>
      <c r="C24" s="31"/>
      <c r="E24" s="28">
        <v>2033</v>
      </c>
      <c r="F24" s="75"/>
      <c r="G24"/>
      <c r="H24" s="46">
        <v>0.1</v>
      </c>
      <c r="I24" s="46">
        <v>0.12</v>
      </c>
      <c r="J24" s="46">
        <v>0.1</v>
      </c>
    </row>
    <row r="25" spans="2:10" s="13" customFormat="1" x14ac:dyDescent="0.25">
      <c r="E25" s="28">
        <v>2034</v>
      </c>
      <c r="F25" s="75"/>
      <c r="G25"/>
      <c r="H25" s="46">
        <v>0.1</v>
      </c>
      <c r="I25" s="46">
        <v>0.12</v>
      </c>
      <c r="J25" s="46">
        <v>0.1</v>
      </c>
    </row>
    <row r="26" spans="2:10" s="13" customFormat="1" ht="15.75" x14ac:dyDescent="0.25">
      <c r="B26" s="14" t="s">
        <v>79</v>
      </c>
      <c r="E26" s="44"/>
      <c r="G26"/>
      <c r="H26" s="26"/>
      <c r="I26" s="26"/>
      <c r="J26" s="26"/>
    </row>
    <row r="27" spans="2:10" s="13" customFormat="1" x14ac:dyDescent="0.25">
      <c r="B27" s="13" t="s">
        <v>80</v>
      </c>
      <c r="C27" s="31"/>
      <c r="E27" s="55" t="s">
        <v>81</v>
      </c>
      <c r="F27" s="77">
        <f>SUM(F16:F25)</f>
        <v>0</v>
      </c>
      <c r="G27"/>
      <c r="H27" s="41" t="str">
        <f>IFERROR(SUMPRODUCT(F16:F25,H16:H25)/F27,"INPUT DATA")</f>
        <v>INPUT DATA</v>
      </c>
      <c r="I27" s="41" t="str">
        <f>IFERROR(SUMPRODUCT(F16:F25,I16:I25)/F27,"INPUT DATA")</f>
        <v>INPUT DATA</v>
      </c>
      <c r="J27" s="41" t="str">
        <f>IFERROR(SUMPRODUCT(F16:F25,J16:J25)/F27,"INPUT DATA")</f>
        <v>INPUT DATA</v>
      </c>
    </row>
    <row r="28" spans="2:10" s="13" customFormat="1" x14ac:dyDescent="0.25">
      <c r="B28" s="13" t="s">
        <v>82</v>
      </c>
      <c r="C28" s="31"/>
      <c r="E28" s="13" t="s">
        <v>83</v>
      </c>
      <c r="F28" s="23">
        <f>C11-SUM(F16:F25)</f>
        <v>0</v>
      </c>
      <c r="G28"/>
    </row>
    <row r="29" spans="2:10" s="13" customFormat="1" x14ac:dyDescent="0.25">
      <c r="B29" s="13" t="s">
        <v>84</v>
      </c>
      <c r="C29" s="98"/>
      <c r="F29" s="78" t="str">
        <f>IF(F28&gt;0,"More to allocate",IF(F28&lt;0,"Overestimated","Complete"))</f>
        <v>Complete</v>
      </c>
    </row>
    <row r="30" spans="2:10" s="13" customFormat="1" x14ac:dyDescent="0.25">
      <c r="B30" s="13" t="s">
        <v>85</v>
      </c>
      <c r="C30" s="31"/>
    </row>
    <row r="31" spans="2:10" s="13" customFormat="1" x14ac:dyDescent="0.25"/>
    <row r="32" spans="2:10" s="13" customFormat="1" ht="15.75" x14ac:dyDescent="0.25">
      <c r="B32" s="14" t="s">
        <v>86</v>
      </c>
    </row>
    <row r="33" spans="2:9" s="13" customFormat="1" x14ac:dyDescent="0.25">
      <c r="B33" s="13" t="s">
        <v>87</v>
      </c>
      <c r="C33" s="31"/>
    </row>
    <row r="34" spans="2:9" s="13" customFormat="1" x14ac:dyDescent="0.25">
      <c r="B34" s="13" t="s">
        <v>88</v>
      </c>
      <c r="C34" s="31"/>
      <c r="G34" s="42"/>
      <c r="H34" s="42"/>
      <c r="I34" s="42"/>
    </row>
    <row r="35" spans="2:9" s="13" customFormat="1" x14ac:dyDescent="0.25">
      <c r="B35" s="13" t="s">
        <v>82</v>
      </c>
      <c r="C35" s="31"/>
      <c r="G35"/>
      <c r="H35"/>
      <c r="I35"/>
    </row>
    <row r="36" spans="2:9" s="13" customFormat="1" x14ac:dyDescent="0.25">
      <c r="B36" s="13" t="s">
        <v>84</v>
      </c>
      <c r="C36" s="99"/>
      <c r="G36"/>
      <c r="H36"/>
      <c r="I36"/>
    </row>
    <row r="37" spans="2:9" s="13" customFormat="1" x14ac:dyDescent="0.25">
      <c r="B37" s="13" t="s">
        <v>89</v>
      </c>
      <c r="C37" s="31"/>
      <c r="G37"/>
      <c r="H37"/>
      <c r="I37"/>
    </row>
    <row r="38" spans="2:9" s="13" customFormat="1" x14ac:dyDescent="0.25">
      <c r="C38" s="24"/>
      <c r="G38"/>
      <c r="H38"/>
      <c r="I38"/>
    </row>
    <row r="39" spans="2:9" s="13" customFormat="1" ht="15.75" x14ac:dyDescent="0.25">
      <c r="B39" s="14" t="s">
        <v>90</v>
      </c>
      <c r="G39"/>
      <c r="H39"/>
      <c r="I39"/>
    </row>
    <row r="40" spans="2:9" s="13" customFormat="1" x14ac:dyDescent="0.25">
      <c r="B40" s="13" t="s">
        <v>91</v>
      </c>
      <c r="C40" s="33"/>
      <c r="D40" s="48"/>
      <c r="E40" s="43" t="str">
        <f>IF(C40="Yes","Update the default values above per financial year with the agreed targets in the executed Supplier contract.","")</f>
        <v/>
      </c>
    </row>
    <row r="41" spans="2:9" s="13" customFormat="1" x14ac:dyDescent="0.25">
      <c r="B41" s="13" t="s">
        <v>92</v>
      </c>
      <c r="C41" s="33"/>
      <c r="D41" s="48"/>
      <c r="E41" s="43" t="str">
        <f>IF(C41="Yes","Submit a copy of the Gender Equality Action Plan to the department when submitting this report.",IF(AND(C8='List values'!B5,'Project details'!C41="No"),"A GEAP is required for all Flagship projects.",""))</f>
        <v/>
      </c>
    </row>
    <row r="42" spans="2:9" s="13" customFormat="1" ht="8.4499999999999993" customHeight="1" x14ac:dyDescent="0.25">
      <c r="C42" s="51"/>
      <c r="E42" s="43"/>
    </row>
    <row r="43" spans="2:9" s="13" customFormat="1" x14ac:dyDescent="0.25">
      <c r="B43" s="13" t="s">
        <v>93</v>
      </c>
      <c r="C43" s="33"/>
      <c r="E43" s="43" t="str">
        <f>IF(C43="No","Provide the rationale below for ASG not being applicable before submitting to DEWR for confirmation.","")</f>
        <v/>
      </c>
    </row>
    <row r="44" spans="2:9" s="13" customFormat="1" x14ac:dyDescent="0.25">
      <c r="B44" s="13" t="s">
        <v>94</v>
      </c>
      <c r="C44" s="29"/>
      <c r="E44" s="13" t="s">
        <v>95</v>
      </c>
      <c r="F44" s="53"/>
      <c r="G44"/>
      <c r="H44"/>
      <c r="I44"/>
    </row>
    <row r="45" spans="2:9" s="13" customFormat="1" ht="60" customHeight="1" x14ac:dyDescent="0.25">
      <c r="B45" s="13" t="s">
        <v>96</v>
      </c>
      <c r="C45" s="29"/>
      <c r="G45"/>
      <c r="H45"/>
      <c r="I45"/>
    </row>
    <row r="46" spans="2:9" s="13" customFormat="1" x14ac:dyDescent="0.25">
      <c r="G46"/>
      <c r="H46"/>
      <c r="I46"/>
    </row>
  </sheetData>
  <sheetProtection algorithmName="SHA-256" hashValue="Mx+d8pDYR6//XS94NqqElu7dVRgc2JTLg7MTLPfmsWU=" saltValue="m8Xnb+eem6ltRX7WjyZQRw==" spinCount="100000" sheet="1" selectLockedCells="1"/>
  <conditionalFormatting sqref="C44:C45">
    <cfRule type="expression" dxfId="91" priority="30">
      <formula>$C$43="Yes"</formula>
    </cfRule>
  </conditionalFormatting>
  <conditionalFormatting sqref="E44:F44">
    <cfRule type="expression" dxfId="90" priority="4">
      <formula>$C44&lt;&gt;"Other (please specify)"</formula>
    </cfRule>
  </conditionalFormatting>
  <conditionalFormatting sqref="F28">
    <cfRule type="cellIs" dxfId="89" priority="1" operator="lessThan">
      <formula>0</formula>
    </cfRule>
    <cfRule type="cellIs" dxfId="88" priority="2" operator="greaterThan">
      <formula>0</formula>
    </cfRule>
    <cfRule type="cellIs" dxfId="87" priority="3" operator="equal">
      <formula>0</formula>
    </cfRule>
  </conditionalFormatting>
  <conditionalFormatting sqref="H16:J25">
    <cfRule type="expression" dxfId="86" priority="31">
      <formula>$C$40="Yes"</formula>
    </cfRule>
  </conditionalFormatting>
  <conditionalFormatting sqref="J16:J25 J27">
    <cfRule type="expression" dxfId="85" priority="6" stopIfTrue="1">
      <formula>$C$8="Major ICT"</formula>
    </cfRule>
  </conditionalFormatting>
  <dataValidations count="13">
    <dataValidation type="decimal" errorStyle="warning" operator="greaterThanOrEqual" allowBlank="1" showInputMessage="1" showErrorMessage="1" errorTitle="Check Contract Value" error="The Australian Skills Guarantee only applies to projects with a Contract Value of $10 million or more." sqref="C19" xr:uid="{FE1EC4B7-9B15-4139-898F-68E13F144C48}">
      <formula1>10000000</formula1>
    </dataValidation>
    <dataValidation type="date" operator="greaterThan" allowBlank="1" showInputMessage="1" showErrorMessage="1" errorTitle="Invalid entry" error="End date must be after start date" sqref="C18" xr:uid="{508D41E7-D93F-4233-9D13-953729DE09A0}">
      <formula1>C17</formula1>
    </dataValidation>
    <dataValidation type="date" errorStyle="warning" operator="greaterThanOrEqual" allowBlank="1" showInputMessage="1" showErrorMessage="1" errorTitle="Check start date" error="Projects are only in scope for the Australian Skills Guarantee if they start from 1 July 2024." sqref="C17" xr:uid="{C389C727-84C7-4B57-B6E3-29E8D0F928D6}">
      <formula1>45474</formula1>
    </dataValidation>
    <dataValidation type="list" allowBlank="1" showInputMessage="1" showErrorMessage="1" sqref="C9" xr:uid="{4BB08F31-38DD-4801-9B3F-96256F2BCA6A}">
      <formula1>Category</formula1>
    </dataValidation>
    <dataValidation type="list" allowBlank="1" showInputMessage="1" showErrorMessage="1" sqref="C20" xr:uid="{84646C61-CA74-4A62-9A5C-9D3F094001B1}">
      <formula1>Procurement</formula1>
    </dataValidation>
    <dataValidation type="custom" allowBlank="1" showInputMessage="1" showErrorMessage="1" sqref="C16" xr:uid="{FFF5136B-F483-4A1E-A923-0D157E723794}">
      <formula1>ISTEXT(C16)</formula1>
    </dataValidation>
    <dataValidation type="list" allowBlank="1" showInputMessage="1" showErrorMessage="1" sqref="C8" xr:uid="{AB83FF19-66E5-4E4C-9EA4-8715DB50B5A2}">
      <formula1>ProjectType</formula1>
    </dataValidation>
    <dataValidation type="custom" allowBlank="1" showInputMessage="1" showErrorMessage="1" errorTitle="Invalid entry" error="Contract Number must start with CN, exactly as per AusTender." sqref="C15" xr:uid="{E3BF71D4-E4E7-425E-9FF4-8DA5F3F0BAA5}">
      <formula1>COUNTIF(C15,"CN*")</formula1>
    </dataValidation>
    <dataValidation type="list" allowBlank="1" showInputMessage="1" showErrorMessage="1" sqref="C44" xr:uid="{9A705605-30AC-46A6-ACF9-9FBC08FBEED6}">
      <formula1>Scope</formula1>
    </dataValidation>
    <dataValidation type="list" allowBlank="1" showInputMessage="1" showErrorMessage="1" sqref="C40:C41 C43" xr:uid="{F57AB4B8-F8D9-4C70-9233-C2C6B1CA4901}">
      <formula1>Boolean</formula1>
    </dataValidation>
    <dataValidation type="whole" operator="greaterThanOrEqual" allowBlank="1" showInputMessage="1" showErrorMessage="1" errorTitle="Error" error="Please input a whole number value" sqref="C11 F16:F25" xr:uid="{F8BA1802-E62E-4D7C-9F1D-C279B9BF0C58}">
      <formula1>0</formula1>
    </dataValidation>
    <dataValidation allowBlank="1" showInputMessage="1" showErrorMessage="1" promptTitle="Estimated hours" prompt="Once hours have been recorded for all relevant financial years, this should be zero. If it is more or less, your annual estimates do not equal your total." sqref="F28" xr:uid="{4DBAAF8C-0237-4AA0-847C-D2A33E81A461}"/>
    <dataValidation type="list" allowBlank="1" showInputMessage="1" showErrorMessage="1" sqref="C24" xr:uid="{FDB276DF-F85D-4EF7-884B-D6BAAFF32733}">
      <formula1>Variations</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15A39-A898-4D99-9340-B4E2445B0E10}">
  <dimension ref="A1:BR2"/>
  <sheetViews>
    <sheetView workbookViewId="0">
      <selection activeCell="C44" sqref="C44"/>
    </sheetView>
  </sheetViews>
  <sheetFormatPr defaultRowHeight="15" x14ac:dyDescent="0.25"/>
  <cols>
    <col min="1" max="1" width="12.140625" bestFit="1" customWidth="1"/>
    <col min="2" max="2" width="18.140625" bestFit="1" customWidth="1"/>
    <col min="3" max="3" width="22.85546875" bestFit="1" customWidth="1"/>
    <col min="4" max="4" width="21.5703125" bestFit="1" customWidth="1"/>
    <col min="5" max="5" width="25.7109375" bestFit="1" customWidth="1"/>
    <col min="6" max="6" width="22.140625" bestFit="1" customWidth="1"/>
    <col min="7" max="7" width="7.140625" bestFit="1" customWidth="1"/>
    <col min="8" max="8" width="23.28515625" bestFit="1" customWidth="1"/>
    <col min="9" max="9" width="22.42578125" bestFit="1" customWidth="1"/>
    <col min="10" max="10" width="27.42578125" bestFit="1" customWidth="1"/>
    <col min="11" max="11" width="19.42578125" bestFit="1" customWidth="1"/>
    <col min="12" max="12" width="13.42578125" bestFit="1" customWidth="1"/>
    <col min="13" max="13" width="12.140625" bestFit="1" customWidth="1"/>
    <col min="14" max="14" width="27.85546875" bestFit="1" customWidth="1"/>
    <col min="15" max="15" width="18.42578125" bestFit="1" customWidth="1"/>
    <col min="16" max="16" width="21.5703125" bestFit="1" customWidth="1"/>
    <col min="17" max="17" width="12.5703125" bestFit="1" customWidth="1"/>
    <col min="18" max="18" width="20.7109375" bestFit="1" customWidth="1"/>
    <col min="19" max="19" width="25.42578125" bestFit="1" customWidth="1"/>
    <col min="20" max="20" width="6" bestFit="1" customWidth="1"/>
    <col min="21" max="21" width="7.85546875" bestFit="1" customWidth="1"/>
    <col min="22" max="22" width="12.5703125" bestFit="1" customWidth="1"/>
    <col min="23" max="23" width="20.7109375" bestFit="1" customWidth="1"/>
    <col min="24" max="24" width="25.42578125" bestFit="1" customWidth="1"/>
    <col min="25" max="25" width="30" bestFit="1" customWidth="1"/>
    <col min="26" max="26" width="34.42578125" bestFit="1" customWidth="1"/>
    <col min="27" max="27" width="15" bestFit="1" customWidth="1"/>
    <col min="28" max="28" width="19.85546875" bestFit="1" customWidth="1"/>
    <col min="29" max="29" width="19.85546875" customWidth="1"/>
    <col min="30" max="30" width="10.140625" bestFit="1" customWidth="1"/>
    <col min="31" max="31" width="10.28515625" bestFit="1" customWidth="1"/>
    <col min="32" max="32" width="17" bestFit="1" customWidth="1"/>
    <col min="33" max="33" width="17.5703125" bestFit="1" customWidth="1"/>
    <col min="34" max="34" width="25.5703125" bestFit="1" customWidth="1"/>
    <col min="35" max="35" width="10.28515625" bestFit="1" customWidth="1"/>
    <col min="36" max="36" width="17" bestFit="1" customWidth="1"/>
    <col min="37" max="37" width="17.5703125" bestFit="1" customWidth="1"/>
    <col min="38" max="38" width="25.5703125" bestFit="1" customWidth="1"/>
    <col min="39" max="39" width="10.28515625" bestFit="1" customWidth="1"/>
    <col min="40" max="40" width="17" bestFit="1" customWidth="1"/>
    <col min="41" max="41" width="17.5703125" bestFit="1" customWidth="1"/>
    <col min="42" max="42" width="25.5703125" bestFit="1" customWidth="1"/>
    <col min="43" max="43" width="10.28515625" bestFit="1" customWidth="1"/>
    <col min="44" max="44" width="17" bestFit="1" customWidth="1"/>
    <col min="45" max="45" width="17.5703125" bestFit="1" customWidth="1"/>
    <col min="46" max="46" width="25.5703125" bestFit="1" customWidth="1"/>
    <col min="47" max="47" width="10.28515625" bestFit="1" customWidth="1"/>
    <col min="48" max="48" width="17" bestFit="1" customWidth="1"/>
    <col min="49" max="49" width="17.5703125" bestFit="1" customWidth="1"/>
    <col min="50" max="50" width="25.5703125" bestFit="1" customWidth="1"/>
    <col min="51" max="51" width="10.28515625" bestFit="1" customWidth="1"/>
    <col min="52" max="52" width="17" bestFit="1" customWidth="1"/>
    <col min="53" max="53" width="17.5703125" bestFit="1" customWidth="1"/>
    <col min="54" max="54" width="25.5703125" bestFit="1" customWidth="1"/>
    <col min="55" max="55" width="10.28515625" bestFit="1" customWidth="1"/>
    <col min="56" max="56" width="17" bestFit="1" customWidth="1"/>
    <col min="57" max="57" width="17.5703125" bestFit="1" customWidth="1"/>
    <col min="58" max="58" width="25.5703125" bestFit="1" customWidth="1"/>
    <col min="59" max="59" width="10.28515625" bestFit="1" customWidth="1"/>
    <col min="60" max="60" width="17" bestFit="1" customWidth="1"/>
    <col min="61" max="61" width="17.5703125" bestFit="1" customWidth="1"/>
    <col min="62" max="62" width="25.5703125" bestFit="1" customWidth="1"/>
    <col min="63" max="63" width="10.28515625" bestFit="1" customWidth="1"/>
    <col min="64" max="64" width="17" bestFit="1" customWidth="1"/>
    <col min="65" max="65" width="17.5703125" bestFit="1" customWidth="1"/>
    <col min="66" max="66" width="25.5703125" bestFit="1" customWidth="1"/>
    <col min="67" max="67" width="10.28515625" bestFit="1" customWidth="1"/>
    <col min="68" max="68" width="17" bestFit="1" customWidth="1"/>
    <col min="69" max="69" width="17.5703125" bestFit="1" customWidth="1"/>
    <col min="70" max="70" width="25.5703125" bestFit="1" customWidth="1"/>
  </cols>
  <sheetData>
    <row r="1" spans="1:70" x14ac:dyDescent="0.25">
      <c r="A1" s="13" t="s">
        <v>55</v>
      </c>
      <c r="B1" s="13" t="s">
        <v>56</v>
      </c>
      <c r="C1" s="13" t="s">
        <v>57</v>
      </c>
      <c r="D1" s="13" t="s">
        <v>58</v>
      </c>
      <c r="E1" s="13" t="s">
        <v>59</v>
      </c>
      <c r="F1" s="13" t="s">
        <v>64</v>
      </c>
      <c r="G1" s="13" t="s">
        <v>70</v>
      </c>
      <c r="H1" s="13" t="s">
        <v>71</v>
      </c>
      <c r="I1" s="13" t="s">
        <v>72</v>
      </c>
      <c r="J1" s="13" t="s">
        <v>73</v>
      </c>
      <c r="K1" s="13" t="s">
        <v>74</v>
      </c>
      <c r="L1" s="13" t="s">
        <v>75</v>
      </c>
      <c r="M1" s="13" t="s">
        <v>76</v>
      </c>
      <c r="N1" s="13" t="s">
        <v>77</v>
      </c>
      <c r="O1" s="13" t="s">
        <v>78</v>
      </c>
      <c r="P1" s="13" t="s">
        <v>80</v>
      </c>
      <c r="Q1" s="13" t="s">
        <v>97</v>
      </c>
      <c r="R1" s="13" t="s">
        <v>98</v>
      </c>
      <c r="S1" s="13" t="s">
        <v>85</v>
      </c>
      <c r="T1" s="13" t="s">
        <v>87</v>
      </c>
      <c r="U1" s="13" t="s">
        <v>88</v>
      </c>
      <c r="V1" s="13" t="s">
        <v>82</v>
      </c>
      <c r="W1" s="13" t="s">
        <v>84</v>
      </c>
      <c r="X1" s="13" t="s">
        <v>89</v>
      </c>
      <c r="Y1" s="13" t="s">
        <v>91</v>
      </c>
      <c r="Z1" s="13" t="s">
        <v>99</v>
      </c>
      <c r="AA1" s="13" t="s">
        <v>93</v>
      </c>
      <c r="AB1" s="13" t="s">
        <v>94</v>
      </c>
      <c r="AC1" s="13" t="s">
        <v>95</v>
      </c>
      <c r="AD1" s="13" t="s">
        <v>96</v>
      </c>
      <c r="AE1" t="s">
        <v>100</v>
      </c>
      <c r="AF1" t="s">
        <v>101</v>
      </c>
      <c r="AG1" t="s">
        <v>102</v>
      </c>
      <c r="AH1" t="s">
        <v>103</v>
      </c>
      <c r="AI1" t="s">
        <v>104</v>
      </c>
      <c r="AJ1" t="s">
        <v>105</v>
      </c>
      <c r="AK1" t="s">
        <v>106</v>
      </c>
      <c r="AL1" t="s">
        <v>107</v>
      </c>
      <c r="AM1" t="s">
        <v>108</v>
      </c>
      <c r="AN1" t="s">
        <v>109</v>
      </c>
      <c r="AO1" t="s">
        <v>110</v>
      </c>
      <c r="AP1" t="s">
        <v>111</v>
      </c>
      <c r="AQ1" t="s">
        <v>112</v>
      </c>
      <c r="AR1" t="s">
        <v>113</v>
      </c>
      <c r="AS1" t="s">
        <v>114</v>
      </c>
      <c r="AT1" t="s">
        <v>115</v>
      </c>
      <c r="AU1" t="s">
        <v>116</v>
      </c>
      <c r="AV1" t="s">
        <v>117</v>
      </c>
      <c r="AW1" t="s">
        <v>118</v>
      </c>
      <c r="AX1" t="s">
        <v>119</v>
      </c>
      <c r="AY1" t="s">
        <v>120</v>
      </c>
      <c r="AZ1" t="s">
        <v>121</v>
      </c>
      <c r="BA1" t="s">
        <v>122</v>
      </c>
      <c r="BB1" t="s">
        <v>123</v>
      </c>
      <c r="BC1" t="s">
        <v>124</v>
      </c>
      <c r="BD1" t="s">
        <v>125</v>
      </c>
      <c r="BE1" t="s">
        <v>126</v>
      </c>
      <c r="BF1" t="s">
        <v>127</v>
      </c>
      <c r="BG1" t="s">
        <v>128</v>
      </c>
      <c r="BH1" t="s">
        <v>129</v>
      </c>
      <c r="BI1" t="s">
        <v>130</v>
      </c>
      <c r="BJ1" t="s">
        <v>131</v>
      </c>
      <c r="BK1" t="s">
        <v>132</v>
      </c>
      <c r="BL1" t="s">
        <v>133</v>
      </c>
      <c r="BM1" t="s">
        <v>134</v>
      </c>
      <c r="BN1" t="s">
        <v>135</v>
      </c>
      <c r="BO1" t="s">
        <v>136</v>
      </c>
      <c r="BP1" t="s">
        <v>137</v>
      </c>
      <c r="BQ1" t="s">
        <v>138</v>
      </c>
      <c r="BR1" t="s">
        <v>139</v>
      </c>
    </row>
    <row r="2" spans="1:70" x14ac:dyDescent="0.25">
      <c r="A2">
        <f>'Project details'!C7</f>
        <v>0</v>
      </c>
      <c r="B2">
        <f>'Project details'!C8</f>
        <v>0</v>
      </c>
      <c r="C2">
        <f>'Project details'!C9</f>
        <v>0</v>
      </c>
      <c r="D2">
        <f>'Project details'!C10</f>
        <v>0</v>
      </c>
      <c r="E2" s="90">
        <f>'Project details'!C11</f>
        <v>0</v>
      </c>
      <c r="F2">
        <f>'Project details'!C15</f>
        <v>0</v>
      </c>
      <c r="G2">
        <f>'Project details'!C16</f>
        <v>0</v>
      </c>
      <c r="H2" s="15">
        <f>'Project details'!C17</f>
        <v>0</v>
      </c>
      <c r="I2" s="15">
        <f>'Project details'!C18</f>
        <v>0</v>
      </c>
      <c r="J2" s="91">
        <f>'Project details'!C19</f>
        <v>0</v>
      </c>
      <c r="K2">
        <f>'Project details'!C20</f>
        <v>0</v>
      </c>
      <c r="L2">
        <f>'Project details'!C21</f>
        <v>0</v>
      </c>
      <c r="M2">
        <f>'Project details'!C22</f>
        <v>0</v>
      </c>
      <c r="N2">
        <f>'Project details'!C23</f>
        <v>0</v>
      </c>
      <c r="O2">
        <f>'Project details'!C24</f>
        <v>0</v>
      </c>
      <c r="P2">
        <f>'Project details'!C27</f>
        <v>0</v>
      </c>
      <c r="Q2">
        <f>'Project details'!C28</f>
        <v>0</v>
      </c>
      <c r="R2">
        <f>'Project details'!C29</f>
        <v>0</v>
      </c>
      <c r="S2">
        <f>'Project details'!C30</f>
        <v>0</v>
      </c>
      <c r="T2">
        <f>'Project details'!C33</f>
        <v>0</v>
      </c>
      <c r="U2">
        <f>'Project details'!C34</f>
        <v>0</v>
      </c>
      <c r="V2">
        <f>'Project details'!C35</f>
        <v>0</v>
      </c>
      <c r="W2">
        <f>'Project details'!C36</f>
        <v>0</v>
      </c>
      <c r="X2">
        <f>'Project details'!C37</f>
        <v>0</v>
      </c>
      <c r="Y2">
        <f>'Project details'!C40</f>
        <v>0</v>
      </c>
      <c r="Z2">
        <f>'Project details'!C41</f>
        <v>0</v>
      </c>
      <c r="AA2">
        <f>'Project details'!C43</f>
        <v>0</v>
      </c>
      <c r="AB2">
        <f>'Project details'!C44</f>
        <v>0</v>
      </c>
      <c r="AC2">
        <f>'Project details'!F44</f>
        <v>0</v>
      </c>
      <c r="AD2">
        <f>'Project details'!C45</f>
        <v>0</v>
      </c>
      <c r="AE2" s="91">
        <f>'Project details'!F16</f>
        <v>0</v>
      </c>
      <c r="AF2" s="91">
        <f>'Project details'!H16</f>
        <v>0.1</v>
      </c>
      <c r="AG2" s="91">
        <f>'Project details'!I16</f>
        <v>0.06</v>
      </c>
      <c r="AH2" s="91">
        <f>'Project details'!J16</f>
        <v>0.04</v>
      </c>
      <c r="AI2" s="91">
        <f>'Project details'!F17</f>
        <v>0</v>
      </c>
      <c r="AJ2" s="91">
        <f>'Project details'!H17</f>
        <v>0.1</v>
      </c>
      <c r="AK2" s="91">
        <f>'Project details'!I17</f>
        <v>7.0000000000000007E-2</v>
      </c>
      <c r="AL2" s="91">
        <f>'Project details'!J17</f>
        <v>0.05</v>
      </c>
      <c r="AM2" s="91">
        <f>'Project details'!F18</f>
        <v>0</v>
      </c>
      <c r="AN2" s="91">
        <f>'Project details'!H18</f>
        <v>0.1</v>
      </c>
      <c r="AO2" s="91">
        <f>'Project details'!I18</f>
        <v>0.08</v>
      </c>
      <c r="AP2" s="91">
        <f>'Project details'!J18</f>
        <v>0.06</v>
      </c>
      <c r="AQ2" s="91">
        <f>'Project details'!F19</f>
        <v>0</v>
      </c>
      <c r="AR2" s="91">
        <f>'Project details'!H19</f>
        <v>0.1</v>
      </c>
      <c r="AS2" s="91">
        <f>'Project details'!I19</f>
        <v>0.09</v>
      </c>
      <c r="AT2" s="91">
        <f>'Project details'!J19</f>
        <v>7.0000000000000007E-2</v>
      </c>
      <c r="AU2" s="91">
        <f>'Project details'!F20</f>
        <v>0</v>
      </c>
      <c r="AV2" s="91">
        <f>'Project details'!H20</f>
        <v>0.1</v>
      </c>
      <c r="AW2" s="91">
        <f>'Project details'!I20</f>
        <v>0.1</v>
      </c>
      <c r="AX2" s="91">
        <f>'Project details'!J20</f>
        <v>0.08</v>
      </c>
      <c r="AY2" s="91">
        <f>'Project details'!F21</f>
        <v>0</v>
      </c>
      <c r="AZ2" s="91">
        <f>'Project details'!H21</f>
        <v>0.1</v>
      </c>
      <c r="BA2" s="91">
        <f>'Project details'!I21</f>
        <v>0.11</v>
      </c>
      <c r="BB2" s="91">
        <f>'Project details'!J21</f>
        <v>0.09</v>
      </c>
      <c r="BC2" s="91">
        <f>'Project details'!F22</f>
        <v>0</v>
      </c>
      <c r="BD2" s="91">
        <f>'Project details'!H22</f>
        <v>0.1</v>
      </c>
      <c r="BE2" s="91">
        <f>'Project details'!I22</f>
        <v>0.12</v>
      </c>
      <c r="BF2" s="91">
        <f>'Project details'!J22</f>
        <v>0.1</v>
      </c>
      <c r="BG2" s="91">
        <f>'Project details'!F23</f>
        <v>0</v>
      </c>
      <c r="BH2" s="91">
        <f>'Project details'!H23</f>
        <v>0.1</v>
      </c>
      <c r="BI2" s="91">
        <f>'Project details'!I23</f>
        <v>0.12</v>
      </c>
      <c r="BJ2" s="91">
        <f>'Project details'!J23</f>
        <v>0.1</v>
      </c>
      <c r="BK2" s="91">
        <f>'Project details'!F24</f>
        <v>0</v>
      </c>
      <c r="BL2" s="91">
        <f>'Project details'!H24</f>
        <v>0.1</v>
      </c>
      <c r="BM2" s="91">
        <f>'Project details'!I24</f>
        <v>0.12</v>
      </c>
      <c r="BN2" s="91">
        <f>'Project details'!J24</f>
        <v>0.1</v>
      </c>
      <c r="BO2" s="91">
        <f>'Project details'!F25</f>
        <v>0</v>
      </c>
      <c r="BP2" s="91">
        <f>'Project details'!H25</f>
        <v>0.1</v>
      </c>
      <c r="BQ2" s="91">
        <f>'Project details'!I25</f>
        <v>0.12</v>
      </c>
      <c r="BR2" s="91">
        <f>'Project details'!J25</f>
        <v>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C9298-161F-4507-9664-615E9E3B4E48}">
  <sheetPr>
    <tabColor theme="6"/>
  </sheetPr>
  <dimension ref="A1:P256"/>
  <sheetViews>
    <sheetView showGridLines="0" zoomScaleNormal="100" workbookViewId="0">
      <pane ySplit="5" topLeftCell="A6" activePane="bottomLeft" state="frozen"/>
      <selection pane="bottomLeft" activeCell="C29" sqref="C29"/>
    </sheetView>
  </sheetViews>
  <sheetFormatPr defaultColWidth="0" defaultRowHeight="15" x14ac:dyDescent="0.25"/>
  <cols>
    <col min="1" max="1" width="16.140625" customWidth="1"/>
    <col min="2" max="2" width="9.7109375" bestFit="1" customWidth="1"/>
    <col min="3" max="4" width="18.5703125" customWidth="1"/>
    <col min="5" max="5" width="13.85546875" bestFit="1" customWidth="1"/>
    <col min="6" max="6" width="15" bestFit="1" customWidth="1"/>
    <col min="7" max="7" width="12.5703125" customWidth="1"/>
    <col min="8" max="8" width="32.140625" customWidth="1"/>
    <col min="9" max="9" width="11.5703125" bestFit="1" customWidth="1"/>
    <col min="10" max="10" width="8.7109375" customWidth="1"/>
    <col min="11" max="11" width="16.140625" bestFit="1" customWidth="1"/>
    <col min="12" max="12" width="16.42578125" bestFit="1" customWidth="1"/>
    <col min="13" max="13" width="21.85546875" customWidth="1"/>
    <col min="14" max="14" width="27.140625" style="94" bestFit="1" customWidth="1"/>
    <col min="15" max="15" width="24.85546875" bestFit="1" customWidth="1"/>
    <col min="16" max="16" width="0" hidden="1" customWidth="1"/>
    <col min="17" max="16384" width="8.7109375" hidden="1"/>
  </cols>
  <sheetData>
    <row r="1" spans="1:15" ht="26.25" x14ac:dyDescent="0.25">
      <c r="A1" s="5" t="s">
        <v>0</v>
      </c>
      <c r="B1" s="8"/>
      <c r="C1" s="8"/>
      <c r="D1" s="8"/>
      <c r="E1" s="7"/>
      <c r="F1" s="7"/>
      <c r="G1" s="7"/>
      <c r="H1" s="7"/>
      <c r="I1" s="7"/>
      <c r="J1" s="7"/>
      <c r="K1" s="7"/>
      <c r="L1" s="7"/>
      <c r="M1" s="7"/>
      <c r="N1" s="92"/>
      <c r="O1" s="7"/>
    </row>
    <row r="2" spans="1:15" ht="21" x14ac:dyDescent="0.25">
      <c r="A2" s="6" t="s">
        <v>140</v>
      </c>
      <c r="B2" s="10"/>
      <c r="C2" s="10"/>
      <c r="D2" s="10"/>
      <c r="E2" s="9"/>
      <c r="F2" s="9"/>
      <c r="G2" s="9"/>
      <c r="H2" s="9"/>
      <c r="I2" s="9"/>
      <c r="J2" s="9"/>
      <c r="K2" s="9"/>
      <c r="L2" s="9"/>
      <c r="M2" s="9"/>
      <c r="N2" s="93"/>
      <c r="O2" s="9"/>
    </row>
    <row r="3" spans="1:15" ht="21" customHeight="1" x14ac:dyDescent="0.25">
      <c r="A3" s="120" t="s">
        <v>141</v>
      </c>
      <c r="B3" s="120"/>
      <c r="C3" s="120"/>
      <c r="D3" s="120"/>
      <c r="E3" s="120"/>
      <c r="F3" s="120"/>
      <c r="G3" s="120"/>
      <c r="H3" s="120"/>
      <c r="I3" s="120"/>
      <c r="J3" s="120"/>
      <c r="K3" s="120"/>
      <c r="L3" s="120"/>
      <c r="M3" s="120"/>
      <c r="N3" s="120"/>
      <c r="O3" s="120"/>
    </row>
    <row r="4" spans="1:15" ht="30" customHeight="1" x14ac:dyDescent="0.25">
      <c r="A4" s="121" t="s">
        <v>36</v>
      </c>
      <c r="B4" s="121"/>
      <c r="C4" s="121"/>
      <c r="D4" s="121"/>
      <c r="E4" s="121"/>
      <c r="F4" s="121"/>
      <c r="G4" s="121"/>
      <c r="H4" s="121"/>
      <c r="I4" s="121"/>
      <c r="J4" s="121"/>
      <c r="K4" s="121"/>
      <c r="L4" s="121"/>
      <c r="M4" s="121"/>
      <c r="N4" s="121"/>
      <c r="O4" s="121"/>
    </row>
    <row r="5" spans="1:15" x14ac:dyDescent="0.25">
      <c r="A5" t="s">
        <v>65</v>
      </c>
      <c r="B5" t="s">
        <v>142</v>
      </c>
      <c r="C5" t="s">
        <v>143</v>
      </c>
      <c r="D5" t="s">
        <v>144</v>
      </c>
      <c r="E5" t="s">
        <v>145</v>
      </c>
      <c r="F5" t="s">
        <v>146</v>
      </c>
      <c r="G5" t="s">
        <v>147</v>
      </c>
      <c r="H5" t="s">
        <v>148</v>
      </c>
      <c r="I5" t="s">
        <v>149</v>
      </c>
      <c r="J5" t="s">
        <v>150</v>
      </c>
      <c r="K5" t="s">
        <v>151</v>
      </c>
      <c r="L5" t="s">
        <v>152</v>
      </c>
      <c r="M5" t="s">
        <v>153</v>
      </c>
      <c r="N5" s="94" t="s">
        <v>154</v>
      </c>
      <c r="O5" t="s">
        <v>155</v>
      </c>
    </row>
    <row r="6" spans="1:15" s="47" customFormat="1" x14ac:dyDescent="0.25">
      <c r="A6" s="39"/>
      <c r="B6" s="39"/>
      <c r="C6" s="39"/>
      <c r="D6" s="39"/>
      <c r="E6" s="40"/>
      <c r="F6" s="39"/>
      <c r="G6" s="39"/>
      <c r="H6" s="39"/>
      <c r="I6" s="39"/>
      <c r="J6" s="39"/>
      <c r="K6" s="39"/>
      <c r="L6" s="39"/>
      <c r="M6" s="39"/>
      <c r="N6" s="95"/>
      <c r="O6" s="39"/>
    </row>
    <row r="7" spans="1:15" s="47" customFormat="1" x14ac:dyDescent="0.25">
      <c r="A7" s="39"/>
      <c r="B7" s="39"/>
      <c r="C7" s="39"/>
      <c r="D7" s="39"/>
      <c r="E7" s="40"/>
      <c r="F7" s="39"/>
      <c r="G7" s="39"/>
      <c r="H7" s="39"/>
      <c r="I7" s="39"/>
      <c r="J7" s="39"/>
      <c r="K7" s="39"/>
      <c r="L7" s="39"/>
      <c r="M7" s="39"/>
      <c r="N7" s="95"/>
      <c r="O7" s="39"/>
    </row>
    <row r="8" spans="1:15" s="47" customFormat="1" x14ac:dyDescent="0.25">
      <c r="A8" s="39"/>
      <c r="B8" s="39"/>
      <c r="C8" s="39"/>
      <c r="D8" s="39"/>
      <c r="E8" s="40"/>
      <c r="F8" s="39"/>
      <c r="G8" s="39"/>
      <c r="H8" s="39"/>
      <c r="I8" s="39"/>
      <c r="J8" s="39"/>
      <c r="K8" s="39"/>
      <c r="L8" s="39"/>
      <c r="M8" s="39"/>
      <c r="N8" s="95"/>
      <c r="O8" s="39"/>
    </row>
    <row r="9" spans="1:15" s="47" customFormat="1" x14ac:dyDescent="0.25">
      <c r="A9" s="39"/>
      <c r="B9" s="39"/>
      <c r="C9" s="39"/>
      <c r="D9" s="39"/>
      <c r="E9" s="40"/>
      <c r="F9" s="39"/>
      <c r="G9" s="39"/>
      <c r="H9" s="39"/>
      <c r="I9" s="39"/>
      <c r="J9" s="39"/>
      <c r="K9" s="39"/>
      <c r="L9" s="39"/>
      <c r="M9" s="39"/>
      <c r="N9" s="95"/>
      <c r="O9" s="39"/>
    </row>
    <row r="10" spans="1:15" s="47" customFormat="1" x14ac:dyDescent="0.25">
      <c r="A10" s="39"/>
      <c r="B10" s="39"/>
      <c r="C10" s="39"/>
      <c r="D10" s="39"/>
      <c r="E10" s="40"/>
      <c r="F10" s="39"/>
      <c r="G10" s="39"/>
      <c r="H10" s="39"/>
      <c r="I10" s="39"/>
      <c r="J10" s="39"/>
      <c r="K10" s="39"/>
      <c r="L10" s="39"/>
      <c r="M10" s="39"/>
      <c r="N10" s="95"/>
      <c r="O10" s="39"/>
    </row>
    <row r="11" spans="1:15" s="47" customFormat="1" x14ac:dyDescent="0.25">
      <c r="A11" s="39"/>
      <c r="B11" s="39"/>
      <c r="C11" s="39"/>
      <c r="D11" s="39"/>
      <c r="E11" s="40"/>
      <c r="F11" s="39"/>
      <c r="G11" s="39"/>
      <c r="H11" s="39"/>
      <c r="I11" s="39"/>
      <c r="J11" s="39"/>
      <c r="K11" s="39"/>
      <c r="L11" s="39"/>
      <c r="M11" s="39"/>
      <c r="N11" s="95"/>
      <c r="O11" s="39"/>
    </row>
    <row r="12" spans="1:15" s="47" customFormat="1" x14ac:dyDescent="0.25">
      <c r="A12" s="39"/>
      <c r="B12" s="39"/>
      <c r="C12" s="39"/>
      <c r="D12" s="39"/>
      <c r="E12" s="40"/>
      <c r="F12" s="39"/>
      <c r="G12" s="39"/>
      <c r="H12" s="39"/>
      <c r="I12" s="39"/>
      <c r="J12" s="39"/>
      <c r="K12" s="39"/>
      <c r="L12" s="39"/>
      <c r="M12" s="39"/>
      <c r="N12" s="95"/>
      <c r="O12" s="39"/>
    </row>
    <row r="13" spans="1:15" x14ac:dyDescent="0.25">
      <c r="A13" s="39"/>
      <c r="B13" s="39"/>
      <c r="C13" s="39"/>
      <c r="D13" s="39"/>
      <c r="E13" s="40"/>
      <c r="F13" s="39"/>
      <c r="G13" s="39"/>
      <c r="H13" s="39"/>
      <c r="I13" s="39"/>
      <c r="J13" s="39"/>
      <c r="K13" s="39"/>
      <c r="L13" s="39"/>
      <c r="M13" s="39"/>
      <c r="N13" s="95"/>
      <c r="O13" s="39"/>
    </row>
    <row r="14" spans="1:15" x14ac:dyDescent="0.25">
      <c r="A14" s="39"/>
      <c r="B14" s="39"/>
      <c r="C14" s="39"/>
      <c r="D14" s="39"/>
      <c r="E14" s="40"/>
      <c r="F14" s="39"/>
      <c r="G14" s="39"/>
      <c r="H14" s="39"/>
      <c r="I14" s="39"/>
      <c r="J14" s="39"/>
      <c r="K14" s="39"/>
      <c r="L14" s="39"/>
      <c r="M14" s="39"/>
      <c r="N14" s="95"/>
      <c r="O14" s="39"/>
    </row>
    <row r="15" spans="1:15" x14ac:dyDescent="0.25">
      <c r="A15" s="39"/>
      <c r="B15" s="39"/>
      <c r="C15" s="39"/>
      <c r="D15" s="39"/>
      <c r="E15" s="40"/>
      <c r="F15" s="39"/>
      <c r="G15" s="39"/>
      <c r="H15" s="39"/>
      <c r="I15" s="39"/>
      <c r="J15" s="39"/>
      <c r="K15" s="39"/>
      <c r="L15" s="39"/>
      <c r="M15" s="39"/>
      <c r="N15" s="95"/>
      <c r="O15" s="39"/>
    </row>
    <row r="16" spans="1:15" x14ac:dyDescent="0.25">
      <c r="A16" s="39"/>
      <c r="B16" s="39"/>
      <c r="C16" s="39"/>
      <c r="D16" s="39"/>
      <c r="E16" s="40"/>
      <c r="F16" s="39"/>
      <c r="G16" s="39"/>
      <c r="H16" s="39"/>
      <c r="I16" s="39"/>
      <c r="J16" s="39"/>
      <c r="K16" s="39"/>
      <c r="L16" s="39"/>
      <c r="M16" s="39"/>
      <c r="N16" s="95"/>
      <c r="O16" s="39"/>
    </row>
    <row r="17" spans="1:15" x14ac:dyDescent="0.25">
      <c r="A17" s="39"/>
      <c r="B17" s="39"/>
      <c r="C17" s="39"/>
      <c r="D17" s="39"/>
      <c r="E17" s="40"/>
      <c r="F17" s="39"/>
      <c r="G17" s="39"/>
      <c r="H17" s="39"/>
      <c r="I17" s="39"/>
      <c r="J17" s="39"/>
      <c r="K17" s="39"/>
      <c r="L17" s="39"/>
      <c r="M17" s="39"/>
      <c r="N17" s="95"/>
      <c r="O17" s="39"/>
    </row>
    <row r="18" spans="1:15" x14ac:dyDescent="0.25">
      <c r="A18" s="39"/>
      <c r="B18" s="39"/>
      <c r="C18" s="39"/>
      <c r="D18" s="39"/>
      <c r="E18" s="40"/>
      <c r="F18" s="39"/>
      <c r="G18" s="39"/>
      <c r="H18" s="39"/>
      <c r="I18" s="39"/>
      <c r="J18" s="39"/>
      <c r="K18" s="39"/>
      <c r="L18" s="39"/>
      <c r="M18" s="39"/>
      <c r="N18" s="95"/>
      <c r="O18" s="39"/>
    </row>
    <row r="19" spans="1:15" x14ac:dyDescent="0.25">
      <c r="A19" s="39"/>
      <c r="B19" s="39"/>
      <c r="C19" s="39"/>
      <c r="D19" s="39"/>
      <c r="E19" s="40"/>
      <c r="F19" s="39"/>
      <c r="G19" s="39"/>
      <c r="H19" s="39"/>
      <c r="I19" s="39"/>
      <c r="J19" s="39"/>
      <c r="K19" s="39"/>
      <c r="L19" s="39"/>
      <c r="M19" s="39"/>
      <c r="N19" s="95"/>
      <c r="O19" s="39"/>
    </row>
    <row r="20" spans="1:15" x14ac:dyDescent="0.25">
      <c r="A20" s="39"/>
      <c r="B20" s="39"/>
      <c r="C20" s="39"/>
      <c r="D20" s="39"/>
      <c r="E20" s="40"/>
      <c r="F20" s="39"/>
      <c r="G20" s="39"/>
      <c r="H20" s="39"/>
      <c r="I20" s="39"/>
      <c r="J20" s="39"/>
      <c r="K20" s="39"/>
      <c r="L20" s="39"/>
      <c r="M20" s="39"/>
      <c r="N20" s="95"/>
      <c r="O20" s="39"/>
    </row>
    <row r="21" spans="1:15" x14ac:dyDescent="0.25">
      <c r="A21" s="39"/>
      <c r="B21" s="39"/>
      <c r="C21" s="39"/>
      <c r="D21" s="39"/>
      <c r="E21" s="40"/>
      <c r="F21" s="39"/>
      <c r="G21" s="39"/>
      <c r="H21" s="39"/>
      <c r="I21" s="39"/>
      <c r="J21" s="39"/>
      <c r="K21" s="39"/>
      <c r="L21" s="39"/>
      <c r="M21" s="39"/>
      <c r="N21" s="95"/>
      <c r="O21" s="39"/>
    </row>
    <row r="22" spans="1:15" x14ac:dyDescent="0.25">
      <c r="A22" s="39"/>
      <c r="B22" s="39"/>
      <c r="C22" s="39"/>
      <c r="D22" s="39"/>
      <c r="E22" s="40"/>
      <c r="F22" s="39"/>
      <c r="G22" s="39"/>
      <c r="H22" s="39"/>
      <c r="I22" s="39"/>
      <c r="J22" s="39"/>
      <c r="K22" s="39"/>
      <c r="L22" s="39"/>
      <c r="M22" s="39"/>
      <c r="N22" s="95"/>
      <c r="O22" s="39"/>
    </row>
    <row r="23" spans="1:15" x14ac:dyDescent="0.25">
      <c r="A23" s="39"/>
      <c r="B23" s="39"/>
      <c r="C23" s="39"/>
      <c r="D23" s="39"/>
      <c r="E23" s="40"/>
      <c r="F23" s="39"/>
      <c r="G23" s="39"/>
      <c r="H23" s="39"/>
      <c r="I23" s="39"/>
      <c r="J23" s="39"/>
      <c r="K23" s="39"/>
      <c r="L23" s="39"/>
      <c r="M23" s="39"/>
      <c r="N23" s="95"/>
      <c r="O23" s="39"/>
    </row>
    <row r="24" spans="1:15" x14ac:dyDescent="0.25">
      <c r="A24" s="39"/>
      <c r="B24" s="39"/>
      <c r="C24" s="39"/>
      <c r="D24" s="39"/>
      <c r="E24" s="40"/>
      <c r="F24" s="39"/>
      <c r="G24" s="39"/>
      <c r="H24" s="39"/>
      <c r="I24" s="39"/>
      <c r="J24" s="39"/>
      <c r="K24" s="39"/>
      <c r="L24" s="39"/>
      <c r="M24" s="39"/>
      <c r="N24" s="95"/>
      <c r="O24" s="39"/>
    </row>
    <row r="25" spans="1:15" x14ac:dyDescent="0.25">
      <c r="A25" s="39"/>
      <c r="B25" s="39"/>
      <c r="C25" s="39"/>
      <c r="D25" s="39"/>
      <c r="E25" s="40"/>
      <c r="F25" s="39"/>
      <c r="G25" s="39"/>
      <c r="H25" s="39"/>
      <c r="I25" s="39"/>
      <c r="J25" s="39"/>
      <c r="K25" s="39"/>
      <c r="L25" s="39"/>
      <c r="M25" s="39"/>
      <c r="N25" s="95"/>
      <c r="O25" s="39"/>
    </row>
    <row r="26" spans="1:15" x14ac:dyDescent="0.25">
      <c r="A26" s="39"/>
      <c r="B26" s="39"/>
      <c r="C26" s="39"/>
      <c r="D26" s="39"/>
      <c r="E26" s="40"/>
      <c r="F26" s="39"/>
      <c r="G26" s="39"/>
      <c r="H26" s="39"/>
      <c r="I26" s="39"/>
      <c r="J26" s="39"/>
      <c r="K26" s="39"/>
      <c r="L26" s="39"/>
      <c r="M26" s="39"/>
      <c r="N26" s="95"/>
      <c r="O26" s="39"/>
    </row>
    <row r="27" spans="1:15" x14ac:dyDescent="0.25">
      <c r="A27" s="39"/>
      <c r="B27" s="39"/>
      <c r="C27" s="39"/>
      <c r="D27" s="39"/>
      <c r="E27" s="40"/>
      <c r="F27" s="39"/>
      <c r="G27" s="39"/>
      <c r="H27" s="39"/>
      <c r="I27" s="39"/>
      <c r="J27" s="39"/>
      <c r="K27" s="39"/>
      <c r="L27" s="39"/>
      <c r="M27" s="39"/>
      <c r="N27" s="95"/>
      <c r="O27" s="39"/>
    </row>
    <row r="28" spans="1:15" x14ac:dyDescent="0.25">
      <c r="A28" s="39"/>
      <c r="B28" s="39"/>
      <c r="C28" s="39"/>
      <c r="D28" s="39"/>
      <c r="E28" s="40"/>
      <c r="F28" s="39"/>
      <c r="G28" s="39"/>
      <c r="H28" s="39"/>
      <c r="I28" s="39"/>
      <c r="J28" s="39"/>
      <c r="K28" s="39"/>
      <c r="L28" s="39"/>
      <c r="M28" s="39"/>
      <c r="N28" s="95"/>
      <c r="O28" s="39"/>
    </row>
    <row r="29" spans="1:15" x14ac:dyDescent="0.25">
      <c r="A29" s="39"/>
      <c r="B29" s="39"/>
      <c r="C29" s="39"/>
      <c r="D29" s="39"/>
      <c r="E29" s="40"/>
      <c r="F29" s="39"/>
      <c r="G29" s="39"/>
      <c r="H29" s="39"/>
      <c r="I29" s="39"/>
      <c r="J29" s="39"/>
      <c r="K29" s="39"/>
      <c r="L29" s="39"/>
      <c r="M29" s="39"/>
      <c r="N29" s="95"/>
      <c r="O29" s="39"/>
    </row>
    <row r="30" spans="1:15" x14ac:dyDescent="0.25">
      <c r="A30" s="39"/>
      <c r="B30" s="39"/>
      <c r="C30" s="39"/>
      <c r="D30" s="39"/>
      <c r="E30" s="40"/>
      <c r="F30" s="39"/>
      <c r="G30" s="39"/>
      <c r="H30" s="39"/>
      <c r="I30" s="39"/>
      <c r="J30" s="39"/>
      <c r="K30" s="39"/>
      <c r="L30" s="39"/>
      <c r="M30" s="39"/>
      <c r="N30" s="95"/>
      <c r="O30" s="39"/>
    </row>
    <row r="31" spans="1:15" x14ac:dyDescent="0.25">
      <c r="A31" s="39"/>
      <c r="B31" s="39"/>
      <c r="C31" s="39"/>
      <c r="D31" s="39"/>
      <c r="E31" s="40"/>
      <c r="F31" s="39"/>
      <c r="G31" s="39"/>
      <c r="H31" s="39"/>
      <c r="I31" s="39"/>
      <c r="J31" s="39"/>
      <c r="K31" s="39"/>
      <c r="L31" s="39"/>
      <c r="M31" s="39"/>
      <c r="N31" s="95"/>
      <c r="O31" s="39"/>
    </row>
    <row r="32" spans="1:15" x14ac:dyDescent="0.25">
      <c r="A32" s="39"/>
      <c r="B32" s="39"/>
      <c r="C32" s="39"/>
      <c r="D32" s="39"/>
      <c r="E32" s="40"/>
      <c r="F32" s="39"/>
      <c r="G32" s="39"/>
      <c r="H32" s="39"/>
      <c r="I32" s="39"/>
      <c r="J32" s="39"/>
      <c r="K32" s="39"/>
      <c r="L32" s="39"/>
      <c r="M32" s="39"/>
      <c r="N32" s="95"/>
      <c r="O32" s="39"/>
    </row>
    <row r="33" spans="1:15" x14ac:dyDescent="0.25">
      <c r="A33" s="39"/>
      <c r="B33" s="39"/>
      <c r="C33" s="39"/>
      <c r="D33" s="39"/>
      <c r="E33" s="40"/>
      <c r="F33" s="39"/>
      <c r="G33" s="39"/>
      <c r="H33" s="39"/>
      <c r="I33" s="39"/>
      <c r="J33" s="39"/>
      <c r="K33" s="39"/>
      <c r="L33" s="39"/>
      <c r="M33" s="39"/>
      <c r="N33" s="95"/>
      <c r="O33" s="39"/>
    </row>
    <row r="34" spans="1:15" x14ac:dyDescent="0.25">
      <c r="A34" s="39"/>
      <c r="B34" s="39"/>
      <c r="C34" s="39"/>
      <c r="D34" s="39"/>
      <c r="E34" s="40"/>
      <c r="F34" s="39"/>
      <c r="G34" s="39"/>
      <c r="H34" s="39"/>
      <c r="I34" s="39"/>
      <c r="J34" s="39"/>
      <c r="K34" s="39"/>
      <c r="L34" s="39"/>
      <c r="M34" s="39"/>
      <c r="N34" s="95"/>
      <c r="O34" s="39"/>
    </row>
    <row r="35" spans="1:15" x14ac:dyDescent="0.25">
      <c r="A35" s="39"/>
      <c r="B35" s="39"/>
      <c r="C35" s="39"/>
      <c r="D35" s="39"/>
      <c r="E35" s="40"/>
      <c r="F35" s="39"/>
      <c r="G35" s="39"/>
      <c r="H35" s="39"/>
      <c r="I35" s="39"/>
      <c r="J35" s="39"/>
      <c r="K35" s="39"/>
      <c r="L35" s="39"/>
      <c r="M35" s="39"/>
      <c r="N35" s="95"/>
      <c r="O35" s="39"/>
    </row>
    <row r="36" spans="1:15" x14ac:dyDescent="0.25">
      <c r="A36" s="39"/>
      <c r="B36" s="39"/>
      <c r="C36" s="39"/>
      <c r="D36" s="39"/>
      <c r="E36" s="40"/>
      <c r="F36" s="39"/>
      <c r="G36" s="39"/>
      <c r="H36" s="39"/>
      <c r="I36" s="39"/>
      <c r="J36" s="39"/>
      <c r="K36" s="39"/>
      <c r="L36" s="39"/>
      <c r="M36" s="39"/>
      <c r="N36" s="95"/>
      <c r="O36" s="39"/>
    </row>
    <row r="37" spans="1:15" x14ac:dyDescent="0.25">
      <c r="A37" s="39"/>
      <c r="B37" s="39"/>
      <c r="C37" s="39"/>
      <c r="D37" s="39"/>
      <c r="E37" s="40"/>
      <c r="F37" s="39"/>
      <c r="G37" s="39"/>
      <c r="H37" s="39"/>
      <c r="I37" s="39"/>
      <c r="J37" s="39"/>
      <c r="K37" s="39"/>
      <c r="L37" s="39"/>
      <c r="M37" s="39"/>
      <c r="N37" s="95"/>
      <c r="O37" s="39"/>
    </row>
    <row r="38" spans="1:15" x14ac:dyDescent="0.25">
      <c r="A38" s="39"/>
      <c r="B38" s="39"/>
      <c r="C38" s="39"/>
      <c r="D38" s="39"/>
      <c r="E38" s="40"/>
      <c r="F38" s="39"/>
      <c r="G38" s="39"/>
      <c r="H38" s="39"/>
      <c r="I38" s="39"/>
      <c r="J38" s="39"/>
      <c r="K38" s="39"/>
      <c r="L38" s="39"/>
      <c r="M38" s="39"/>
      <c r="N38" s="95"/>
      <c r="O38" s="39"/>
    </row>
    <row r="39" spans="1:15" x14ac:dyDescent="0.25">
      <c r="A39" s="39"/>
      <c r="B39" s="39"/>
      <c r="C39" s="39"/>
      <c r="D39" s="39"/>
      <c r="E39" s="40"/>
      <c r="F39" s="39"/>
      <c r="G39" s="39"/>
      <c r="H39" s="39"/>
      <c r="I39" s="39"/>
      <c r="J39" s="39"/>
      <c r="K39" s="39"/>
      <c r="L39" s="39"/>
      <c r="M39" s="39"/>
      <c r="N39" s="95"/>
      <c r="O39" s="39"/>
    </row>
    <row r="40" spans="1:15" x14ac:dyDescent="0.25">
      <c r="A40" s="39"/>
      <c r="B40" s="39"/>
      <c r="C40" s="39"/>
      <c r="D40" s="39"/>
      <c r="E40" s="40"/>
      <c r="F40" s="39"/>
      <c r="G40" s="39"/>
      <c r="H40" s="39"/>
      <c r="I40" s="39"/>
      <c r="J40" s="39"/>
      <c r="K40" s="39"/>
      <c r="L40" s="39"/>
      <c r="M40" s="39"/>
      <c r="N40" s="95"/>
      <c r="O40" s="39"/>
    </row>
    <row r="41" spans="1:15" x14ac:dyDescent="0.25">
      <c r="A41" s="39"/>
      <c r="B41" s="39"/>
      <c r="C41" s="39"/>
      <c r="D41" s="39"/>
      <c r="E41" s="40"/>
      <c r="F41" s="39"/>
      <c r="G41" s="39"/>
      <c r="H41" s="39"/>
      <c r="I41" s="39"/>
      <c r="J41" s="39"/>
      <c r="K41" s="39"/>
      <c r="L41" s="39"/>
      <c r="M41" s="39"/>
      <c r="N41" s="95"/>
      <c r="O41" s="39"/>
    </row>
    <row r="42" spans="1:15" x14ac:dyDescent="0.25">
      <c r="A42" s="39"/>
      <c r="B42" s="39"/>
      <c r="C42" s="39"/>
      <c r="D42" s="39"/>
      <c r="E42" s="40"/>
      <c r="F42" s="39"/>
      <c r="G42" s="39"/>
      <c r="H42" s="39"/>
      <c r="I42" s="39"/>
      <c r="J42" s="39"/>
      <c r="K42" s="39"/>
      <c r="L42" s="39"/>
      <c r="M42" s="39"/>
      <c r="N42" s="95"/>
      <c r="O42" s="39"/>
    </row>
    <row r="43" spans="1:15" x14ac:dyDescent="0.25">
      <c r="A43" s="39"/>
      <c r="B43" s="39"/>
      <c r="C43" s="39"/>
      <c r="D43" s="39"/>
      <c r="E43" s="40"/>
      <c r="F43" s="39"/>
      <c r="G43" s="39"/>
      <c r="H43" s="39"/>
      <c r="I43" s="39"/>
      <c r="J43" s="39"/>
      <c r="K43" s="39"/>
      <c r="L43" s="39"/>
      <c r="M43" s="39"/>
      <c r="N43" s="95"/>
      <c r="O43" s="39"/>
    </row>
    <row r="44" spans="1:15" x14ac:dyDescent="0.25">
      <c r="A44" s="39"/>
      <c r="B44" s="39"/>
      <c r="C44" s="39"/>
      <c r="D44" s="39"/>
      <c r="E44" s="40"/>
      <c r="F44" s="39"/>
      <c r="G44" s="39"/>
      <c r="H44" s="39"/>
      <c r="I44" s="39"/>
      <c r="J44" s="39"/>
      <c r="K44" s="39"/>
      <c r="L44" s="39"/>
      <c r="M44" s="39"/>
      <c r="N44" s="95"/>
      <c r="O44" s="39"/>
    </row>
    <row r="45" spans="1:15" x14ac:dyDescent="0.25">
      <c r="A45" s="39"/>
      <c r="B45" s="39"/>
      <c r="C45" s="39"/>
      <c r="D45" s="39"/>
      <c r="E45" s="40"/>
      <c r="F45" s="39"/>
      <c r="G45" s="39"/>
      <c r="H45" s="39"/>
      <c r="I45" s="39"/>
      <c r="J45" s="39"/>
      <c r="K45" s="39"/>
      <c r="L45" s="39"/>
      <c r="M45" s="39"/>
      <c r="N45" s="95"/>
      <c r="O45" s="39"/>
    </row>
    <row r="46" spans="1:15" x14ac:dyDescent="0.25">
      <c r="A46" s="39"/>
      <c r="B46" s="39"/>
      <c r="C46" s="39"/>
      <c r="D46" s="39"/>
      <c r="E46" s="40"/>
      <c r="F46" s="39"/>
      <c r="G46" s="39"/>
      <c r="H46" s="39"/>
      <c r="I46" s="39"/>
      <c r="J46" s="39"/>
      <c r="K46" s="39"/>
      <c r="L46" s="39"/>
      <c r="M46" s="39"/>
      <c r="N46" s="95"/>
      <c r="O46" s="39"/>
    </row>
    <row r="47" spans="1:15" x14ac:dyDescent="0.25">
      <c r="A47" s="39"/>
      <c r="B47" s="39"/>
      <c r="C47" s="39"/>
      <c r="D47" s="39"/>
      <c r="E47" s="40"/>
      <c r="F47" s="39"/>
      <c r="G47" s="39"/>
      <c r="H47" s="39"/>
      <c r="I47" s="39"/>
      <c r="J47" s="39"/>
      <c r="K47" s="39"/>
      <c r="L47" s="39"/>
      <c r="M47" s="39"/>
      <c r="N47" s="95"/>
      <c r="O47" s="39"/>
    </row>
    <row r="48" spans="1:15" x14ac:dyDescent="0.25">
      <c r="A48" s="39"/>
      <c r="B48" s="39"/>
      <c r="C48" s="39"/>
      <c r="D48" s="39"/>
      <c r="E48" s="40"/>
      <c r="F48" s="39"/>
      <c r="G48" s="39"/>
      <c r="H48" s="39"/>
      <c r="I48" s="39"/>
      <c r="J48" s="39"/>
      <c r="K48" s="39"/>
      <c r="L48" s="39"/>
      <c r="M48" s="39"/>
      <c r="N48" s="95"/>
      <c r="O48" s="39"/>
    </row>
    <row r="49" spans="1:15" x14ac:dyDescent="0.25">
      <c r="A49" s="39"/>
      <c r="B49" s="39"/>
      <c r="C49" s="39"/>
      <c r="D49" s="39"/>
      <c r="E49" s="40"/>
      <c r="F49" s="39"/>
      <c r="G49" s="39"/>
      <c r="H49" s="39"/>
      <c r="I49" s="39"/>
      <c r="J49" s="39"/>
      <c r="K49" s="39"/>
      <c r="L49" s="39"/>
      <c r="M49" s="39"/>
      <c r="N49" s="95"/>
      <c r="O49" s="39"/>
    </row>
    <row r="50" spans="1:15" x14ac:dyDescent="0.25">
      <c r="A50" s="39"/>
      <c r="B50" s="39"/>
      <c r="C50" s="39"/>
      <c r="D50" s="39"/>
      <c r="E50" s="40"/>
      <c r="F50" s="39"/>
      <c r="G50" s="39"/>
      <c r="H50" s="39"/>
      <c r="I50" s="39"/>
      <c r="J50" s="39"/>
      <c r="K50" s="39"/>
      <c r="L50" s="39"/>
      <c r="M50" s="39"/>
      <c r="N50" s="95"/>
      <c r="O50" s="39"/>
    </row>
    <row r="51" spans="1:15" x14ac:dyDescent="0.25">
      <c r="A51" s="39"/>
      <c r="B51" s="39"/>
      <c r="C51" s="39"/>
      <c r="D51" s="39"/>
      <c r="E51" s="40"/>
      <c r="F51" s="39"/>
      <c r="G51" s="39"/>
      <c r="H51" s="39"/>
      <c r="I51" s="39"/>
      <c r="J51" s="39"/>
      <c r="K51" s="39"/>
      <c r="L51" s="39"/>
      <c r="M51" s="39"/>
      <c r="N51" s="95"/>
      <c r="O51" s="39"/>
    </row>
    <row r="52" spans="1:15" x14ac:dyDescent="0.25">
      <c r="A52" s="39"/>
      <c r="B52" s="39"/>
      <c r="C52" s="39"/>
      <c r="D52" s="39"/>
      <c r="E52" s="40"/>
      <c r="F52" s="39"/>
      <c r="G52" s="39"/>
      <c r="H52" s="39"/>
      <c r="I52" s="39"/>
      <c r="J52" s="39"/>
      <c r="K52" s="39"/>
      <c r="L52" s="39"/>
      <c r="M52" s="39"/>
      <c r="N52" s="95"/>
      <c r="O52" s="39"/>
    </row>
    <row r="53" spans="1:15" x14ac:dyDescent="0.25">
      <c r="A53" s="39"/>
      <c r="B53" s="39"/>
      <c r="C53" s="39"/>
      <c r="D53" s="39"/>
      <c r="E53" s="40"/>
      <c r="F53" s="39"/>
      <c r="G53" s="39"/>
      <c r="H53" s="39"/>
      <c r="I53" s="39"/>
      <c r="J53" s="39"/>
      <c r="K53" s="39"/>
      <c r="L53" s="39"/>
      <c r="M53" s="39"/>
      <c r="N53" s="95"/>
      <c r="O53" s="39"/>
    </row>
    <row r="54" spans="1:15" x14ac:dyDescent="0.25">
      <c r="A54" s="39"/>
      <c r="B54" s="39"/>
      <c r="C54" s="39"/>
      <c r="D54" s="39"/>
      <c r="E54" s="40"/>
      <c r="F54" s="39"/>
      <c r="G54" s="39"/>
      <c r="H54" s="39"/>
      <c r="I54" s="39"/>
      <c r="J54" s="39"/>
      <c r="K54" s="39"/>
      <c r="L54" s="39"/>
      <c r="M54" s="39"/>
      <c r="N54" s="95"/>
      <c r="O54" s="39"/>
    </row>
    <row r="55" spans="1:15" x14ac:dyDescent="0.25">
      <c r="A55" s="39"/>
      <c r="B55" s="39"/>
      <c r="C55" s="39"/>
      <c r="D55" s="39"/>
      <c r="E55" s="40"/>
      <c r="F55" s="39"/>
      <c r="G55" s="39"/>
      <c r="H55" s="39"/>
      <c r="I55" s="39"/>
      <c r="J55" s="39"/>
      <c r="K55" s="39"/>
      <c r="L55" s="39"/>
      <c r="M55" s="39"/>
      <c r="N55" s="95"/>
      <c r="O55" s="39"/>
    </row>
    <row r="56" spans="1:15" x14ac:dyDescent="0.25">
      <c r="A56" s="39"/>
      <c r="B56" s="39"/>
      <c r="C56" s="39"/>
      <c r="D56" s="39"/>
      <c r="E56" s="40"/>
      <c r="F56" s="39"/>
      <c r="G56" s="39"/>
      <c r="H56" s="39"/>
      <c r="I56" s="39"/>
      <c r="J56" s="39"/>
      <c r="K56" s="39"/>
      <c r="L56" s="39"/>
      <c r="M56" s="39"/>
      <c r="N56" s="95"/>
      <c r="O56" s="39"/>
    </row>
    <row r="57" spans="1:15" x14ac:dyDescent="0.25">
      <c r="A57" s="39"/>
      <c r="B57" s="39"/>
      <c r="C57" s="39"/>
      <c r="D57" s="39"/>
      <c r="E57" s="40"/>
      <c r="F57" s="39"/>
      <c r="G57" s="39"/>
      <c r="H57" s="39"/>
      <c r="I57" s="39"/>
      <c r="J57" s="39"/>
      <c r="K57" s="39"/>
      <c r="L57" s="39"/>
      <c r="M57" s="39"/>
      <c r="N57" s="95"/>
      <c r="O57" s="39"/>
    </row>
    <row r="58" spans="1:15" x14ac:dyDescent="0.25">
      <c r="A58" s="39"/>
      <c r="B58" s="39"/>
      <c r="C58" s="39"/>
      <c r="D58" s="39"/>
      <c r="E58" s="40"/>
      <c r="F58" s="39"/>
      <c r="G58" s="39"/>
      <c r="H58" s="39"/>
      <c r="I58" s="39"/>
      <c r="J58" s="39"/>
      <c r="K58" s="39"/>
      <c r="L58" s="39"/>
      <c r="M58" s="39"/>
      <c r="N58" s="95"/>
      <c r="O58" s="39"/>
    </row>
    <row r="59" spans="1:15" x14ac:dyDescent="0.25">
      <c r="A59" s="39"/>
      <c r="B59" s="39"/>
      <c r="C59" s="39"/>
      <c r="D59" s="39"/>
      <c r="E59" s="40"/>
      <c r="F59" s="39"/>
      <c r="G59" s="39"/>
      <c r="H59" s="39"/>
      <c r="I59" s="39"/>
      <c r="J59" s="39"/>
      <c r="K59" s="39"/>
      <c r="L59" s="39"/>
      <c r="M59" s="39"/>
      <c r="N59" s="95"/>
      <c r="O59" s="39"/>
    </row>
    <row r="60" spans="1:15" x14ac:dyDescent="0.25">
      <c r="A60" s="39"/>
      <c r="B60" s="39"/>
      <c r="C60" s="39"/>
      <c r="D60" s="39"/>
      <c r="E60" s="40"/>
      <c r="F60" s="39"/>
      <c r="G60" s="39"/>
      <c r="H60" s="39"/>
      <c r="I60" s="39"/>
      <c r="J60" s="39"/>
      <c r="K60" s="39"/>
      <c r="L60" s="39"/>
      <c r="M60" s="39"/>
      <c r="N60" s="95"/>
      <c r="O60" s="39"/>
    </row>
    <row r="61" spans="1:15" x14ac:dyDescent="0.25">
      <c r="A61" s="39"/>
      <c r="B61" s="39"/>
      <c r="C61" s="39"/>
      <c r="D61" s="39"/>
      <c r="E61" s="40"/>
      <c r="F61" s="39"/>
      <c r="G61" s="39"/>
      <c r="H61" s="39"/>
      <c r="I61" s="39"/>
      <c r="J61" s="39"/>
      <c r="K61" s="39"/>
      <c r="L61" s="39"/>
      <c r="M61" s="39"/>
      <c r="N61" s="95"/>
      <c r="O61" s="39"/>
    </row>
    <row r="62" spans="1:15" x14ac:dyDescent="0.25">
      <c r="A62" s="39"/>
      <c r="B62" s="39"/>
      <c r="C62" s="39"/>
      <c r="D62" s="39"/>
      <c r="E62" s="40"/>
      <c r="F62" s="39"/>
      <c r="G62" s="39"/>
      <c r="H62" s="39"/>
      <c r="I62" s="39"/>
      <c r="J62" s="39"/>
      <c r="K62" s="39"/>
      <c r="L62" s="39"/>
      <c r="M62" s="39"/>
      <c r="N62" s="95"/>
      <c r="O62" s="39"/>
    </row>
    <row r="63" spans="1:15" x14ac:dyDescent="0.25">
      <c r="A63" s="39"/>
      <c r="B63" s="39"/>
      <c r="C63" s="39"/>
      <c r="D63" s="39"/>
      <c r="E63" s="40"/>
      <c r="F63" s="39"/>
      <c r="G63" s="39"/>
      <c r="H63" s="39"/>
      <c r="I63" s="39"/>
      <c r="J63" s="39"/>
      <c r="K63" s="39"/>
      <c r="L63" s="39"/>
      <c r="M63" s="39"/>
      <c r="N63" s="95"/>
      <c r="O63" s="39"/>
    </row>
    <row r="64" spans="1:15" x14ac:dyDescent="0.25">
      <c r="A64" s="39"/>
      <c r="B64" s="39"/>
      <c r="C64" s="39"/>
      <c r="D64" s="39"/>
      <c r="E64" s="40"/>
      <c r="F64" s="39"/>
      <c r="G64" s="39"/>
      <c r="H64" s="39"/>
      <c r="I64" s="39"/>
      <c r="J64" s="39"/>
      <c r="K64" s="39"/>
      <c r="L64" s="39"/>
      <c r="M64" s="39"/>
      <c r="N64" s="95"/>
      <c r="O64" s="39"/>
    </row>
    <row r="65" spans="1:15" x14ac:dyDescent="0.25">
      <c r="A65" s="39"/>
      <c r="B65" s="39"/>
      <c r="C65" s="39"/>
      <c r="D65" s="39"/>
      <c r="E65" s="40"/>
      <c r="F65" s="39"/>
      <c r="G65" s="39"/>
      <c r="H65" s="39"/>
      <c r="I65" s="39"/>
      <c r="J65" s="39"/>
      <c r="K65" s="39"/>
      <c r="L65" s="39"/>
      <c r="M65" s="39"/>
      <c r="N65" s="95"/>
      <c r="O65" s="39"/>
    </row>
    <row r="66" spans="1:15" x14ac:dyDescent="0.25">
      <c r="A66" s="39"/>
      <c r="B66" s="39"/>
      <c r="C66" s="39"/>
      <c r="D66" s="39"/>
      <c r="E66" s="40"/>
      <c r="F66" s="39"/>
      <c r="G66" s="39"/>
      <c r="H66" s="39"/>
      <c r="I66" s="39"/>
      <c r="J66" s="39"/>
      <c r="K66" s="39"/>
      <c r="L66" s="39"/>
      <c r="M66" s="39"/>
      <c r="N66" s="95"/>
      <c r="O66" s="39"/>
    </row>
    <row r="67" spans="1:15" x14ac:dyDescent="0.25">
      <c r="A67" s="39"/>
      <c r="B67" s="39"/>
      <c r="C67" s="39"/>
      <c r="D67" s="39"/>
      <c r="E67" s="40"/>
      <c r="F67" s="39"/>
      <c r="G67" s="39"/>
      <c r="H67" s="39"/>
      <c r="I67" s="39"/>
      <c r="J67" s="39"/>
      <c r="K67" s="39"/>
      <c r="L67" s="39"/>
      <c r="M67" s="39"/>
      <c r="N67" s="95"/>
      <c r="O67" s="39"/>
    </row>
    <row r="68" spans="1:15" x14ac:dyDescent="0.25">
      <c r="A68" s="39"/>
      <c r="B68" s="39"/>
      <c r="C68" s="39"/>
      <c r="D68" s="39"/>
      <c r="E68" s="40"/>
      <c r="F68" s="39"/>
      <c r="G68" s="39"/>
      <c r="H68" s="39"/>
      <c r="I68" s="39"/>
      <c r="J68" s="39"/>
      <c r="K68" s="39"/>
      <c r="L68" s="39"/>
      <c r="M68" s="39"/>
      <c r="N68" s="95"/>
      <c r="O68" s="39"/>
    </row>
    <row r="69" spans="1:15" x14ac:dyDescent="0.25">
      <c r="A69" s="39"/>
      <c r="B69" s="39"/>
      <c r="C69" s="39"/>
      <c r="D69" s="39"/>
      <c r="E69" s="40"/>
      <c r="F69" s="39"/>
      <c r="G69" s="39"/>
      <c r="H69" s="39"/>
      <c r="I69" s="39"/>
      <c r="J69" s="39"/>
      <c r="K69" s="39"/>
      <c r="L69" s="39"/>
      <c r="M69" s="39"/>
      <c r="N69" s="95"/>
      <c r="O69" s="39"/>
    </row>
    <row r="70" spans="1:15" x14ac:dyDescent="0.25">
      <c r="A70" s="39"/>
      <c r="B70" s="39"/>
      <c r="C70" s="39"/>
      <c r="D70" s="39"/>
      <c r="E70" s="40"/>
      <c r="F70" s="39"/>
      <c r="G70" s="39"/>
      <c r="H70" s="39"/>
      <c r="I70" s="39"/>
      <c r="J70" s="39"/>
      <c r="K70" s="39"/>
      <c r="L70" s="39"/>
      <c r="M70" s="39"/>
      <c r="N70" s="95"/>
      <c r="O70" s="39"/>
    </row>
    <row r="71" spans="1:15" x14ac:dyDescent="0.25">
      <c r="A71" s="39"/>
      <c r="B71" s="39"/>
      <c r="C71" s="39"/>
      <c r="D71" s="39"/>
      <c r="E71" s="40"/>
      <c r="F71" s="39"/>
      <c r="G71" s="39"/>
      <c r="H71" s="39"/>
      <c r="I71" s="39"/>
      <c r="J71" s="39"/>
      <c r="K71" s="39"/>
      <c r="L71" s="39"/>
      <c r="M71" s="39"/>
      <c r="N71" s="95"/>
      <c r="O71" s="39"/>
    </row>
    <row r="72" spans="1:15" x14ac:dyDescent="0.25">
      <c r="A72" s="39"/>
      <c r="B72" s="39"/>
      <c r="C72" s="39"/>
      <c r="D72" s="39"/>
      <c r="E72" s="40"/>
      <c r="F72" s="39"/>
      <c r="G72" s="39"/>
      <c r="H72" s="39"/>
      <c r="I72" s="39"/>
      <c r="J72" s="39"/>
      <c r="K72" s="39"/>
      <c r="L72" s="39"/>
      <c r="M72" s="39"/>
      <c r="N72" s="95"/>
      <c r="O72" s="39"/>
    </row>
    <row r="73" spans="1:15" x14ac:dyDescent="0.25">
      <c r="A73" s="39"/>
      <c r="B73" s="39"/>
      <c r="C73" s="39"/>
      <c r="D73" s="39"/>
      <c r="E73" s="40"/>
      <c r="F73" s="39"/>
      <c r="G73" s="39"/>
      <c r="H73" s="39"/>
      <c r="I73" s="39"/>
      <c r="J73" s="39"/>
      <c r="K73" s="39"/>
      <c r="L73" s="39"/>
      <c r="M73" s="39"/>
      <c r="N73" s="95"/>
      <c r="O73" s="39"/>
    </row>
    <row r="74" spans="1:15" x14ac:dyDescent="0.25">
      <c r="A74" s="39"/>
      <c r="B74" s="39"/>
      <c r="C74" s="39"/>
      <c r="D74" s="39"/>
      <c r="E74" s="40"/>
      <c r="F74" s="39"/>
      <c r="G74" s="39"/>
      <c r="H74" s="39"/>
      <c r="I74" s="39"/>
      <c r="J74" s="39"/>
      <c r="K74" s="39"/>
      <c r="L74" s="39"/>
      <c r="M74" s="39"/>
      <c r="N74" s="95"/>
      <c r="O74" s="39"/>
    </row>
    <row r="75" spans="1:15" x14ac:dyDescent="0.25">
      <c r="A75" s="39"/>
      <c r="B75" s="39"/>
      <c r="C75" s="39"/>
      <c r="D75" s="39"/>
      <c r="E75" s="40"/>
      <c r="F75" s="39"/>
      <c r="G75" s="39"/>
      <c r="H75" s="39"/>
      <c r="I75" s="39"/>
      <c r="J75" s="39"/>
      <c r="K75" s="39"/>
      <c r="L75" s="39"/>
      <c r="M75" s="39"/>
      <c r="N75" s="95"/>
      <c r="O75" s="39"/>
    </row>
    <row r="76" spans="1:15" x14ac:dyDescent="0.25">
      <c r="A76" s="39"/>
      <c r="B76" s="39"/>
      <c r="C76" s="39"/>
      <c r="D76" s="39"/>
      <c r="E76" s="40"/>
      <c r="F76" s="39"/>
      <c r="G76" s="39"/>
      <c r="H76" s="39"/>
      <c r="I76" s="39"/>
      <c r="J76" s="39"/>
      <c r="K76" s="39"/>
      <c r="L76" s="39"/>
      <c r="M76" s="39"/>
      <c r="N76" s="95"/>
      <c r="O76" s="39"/>
    </row>
    <row r="77" spans="1:15" x14ac:dyDescent="0.25">
      <c r="A77" s="39"/>
      <c r="B77" s="39"/>
      <c r="C77" s="39"/>
      <c r="D77" s="39"/>
      <c r="E77" s="40"/>
      <c r="F77" s="39"/>
      <c r="G77" s="39"/>
      <c r="H77" s="39"/>
      <c r="I77" s="39"/>
      <c r="J77" s="39"/>
      <c r="K77" s="39"/>
      <c r="L77" s="39"/>
      <c r="M77" s="39"/>
      <c r="N77" s="95"/>
      <c r="O77" s="39"/>
    </row>
    <row r="78" spans="1:15" x14ac:dyDescent="0.25">
      <c r="A78" s="39"/>
      <c r="B78" s="39"/>
      <c r="C78" s="39"/>
      <c r="D78" s="39"/>
      <c r="E78" s="40"/>
      <c r="F78" s="39"/>
      <c r="G78" s="39"/>
      <c r="H78" s="39"/>
      <c r="I78" s="39"/>
      <c r="J78" s="39"/>
      <c r="K78" s="39"/>
      <c r="L78" s="39"/>
      <c r="M78" s="39"/>
      <c r="N78" s="95"/>
      <c r="O78" s="39"/>
    </row>
    <row r="79" spans="1:15" x14ac:dyDescent="0.25">
      <c r="A79" s="39"/>
      <c r="B79" s="39"/>
      <c r="C79" s="39"/>
      <c r="D79" s="39"/>
      <c r="E79" s="40"/>
      <c r="F79" s="39"/>
      <c r="G79" s="39"/>
      <c r="H79" s="39"/>
      <c r="I79" s="39"/>
      <c r="J79" s="39"/>
      <c r="K79" s="39"/>
      <c r="L79" s="39"/>
      <c r="M79" s="39"/>
      <c r="N79" s="95"/>
      <c r="O79" s="39"/>
    </row>
    <row r="80" spans="1:15" x14ac:dyDescent="0.25">
      <c r="A80" s="39"/>
      <c r="B80" s="39"/>
      <c r="C80" s="39"/>
      <c r="D80" s="39"/>
      <c r="E80" s="40"/>
      <c r="F80" s="39"/>
      <c r="G80" s="39"/>
      <c r="H80" s="39"/>
      <c r="I80" s="39"/>
      <c r="J80" s="39"/>
      <c r="K80" s="39"/>
      <c r="L80" s="39"/>
      <c r="M80" s="39"/>
      <c r="N80" s="95"/>
      <c r="O80" s="39"/>
    </row>
    <row r="81" spans="1:15" x14ac:dyDescent="0.25">
      <c r="A81" s="39"/>
      <c r="B81" s="39"/>
      <c r="C81" s="39"/>
      <c r="D81" s="39"/>
      <c r="E81" s="40"/>
      <c r="F81" s="39"/>
      <c r="G81" s="39"/>
      <c r="H81" s="39"/>
      <c r="I81" s="39"/>
      <c r="J81" s="39"/>
      <c r="K81" s="39"/>
      <c r="L81" s="39"/>
      <c r="M81" s="39"/>
      <c r="N81" s="95"/>
      <c r="O81" s="39"/>
    </row>
    <row r="82" spans="1:15" x14ac:dyDescent="0.25">
      <c r="A82" s="39"/>
      <c r="B82" s="39"/>
      <c r="C82" s="39"/>
      <c r="D82" s="39"/>
      <c r="E82" s="40"/>
      <c r="F82" s="39"/>
      <c r="G82" s="39"/>
      <c r="H82" s="39"/>
      <c r="I82" s="39"/>
      <c r="J82" s="39"/>
      <c r="K82" s="39"/>
      <c r="L82" s="39"/>
      <c r="M82" s="39"/>
      <c r="N82" s="95"/>
      <c r="O82" s="39"/>
    </row>
    <row r="83" spans="1:15" x14ac:dyDescent="0.25">
      <c r="A83" s="39"/>
      <c r="B83" s="39"/>
      <c r="C83" s="39"/>
      <c r="D83" s="39"/>
      <c r="E83" s="40"/>
      <c r="F83" s="39"/>
      <c r="G83" s="39"/>
      <c r="H83" s="39"/>
      <c r="I83" s="39"/>
      <c r="J83" s="39"/>
      <c r="K83" s="39"/>
      <c r="L83" s="39"/>
      <c r="M83" s="39"/>
      <c r="N83" s="95"/>
      <c r="O83" s="39"/>
    </row>
    <row r="84" spans="1:15" x14ac:dyDescent="0.25">
      <c r="A84" s="39"/>
      <c r="B84" s="39"/>
      <c r="C84" s="39"/>
      <c r="D84" s="39"/>
      <c r="E84" s="40"/>
      <c r="F84" s="39"/>
      <c r="G84" s="39"/>
      <c r="H84" s="39"/>
      <c r="I84" s="39"/>
      <c r="J84" s="39"/>
      <c r="K84" s="39"/>
      <c r="L84" s="39"/>
      <c r="M84" s="39"/>
      <c r="N84" s="95"/>
      <c r="O84" s="39"/>
    </row>
    <row r="85" spans="1:15" x14ac:dyDescent="0.25">
      <c r="A85" s="39"/>
      <c r="B85" s="39"/>
      <c r="C85" s="39"/>
      <c r="D85" s="39"/>
      <c r="E85" s="40"/>
      <c r="F85" s="39"/>
      <c r="G85" s="39"/>
      <c r="H85" s="39"/>
      <c r="I85" s="39"/>
      <c r="J85" s="39"/>
      <c r="K85" s="39"/>
      <c r="L85" s="39"/>
      <c r="M85" s="39"/>
      <c r="N85" s="95"/>
      <c r="O85" s="39"/>
    </row>
    <row r="86" spans="1:15" x14ac:dyDescent="0.25">
      <c r="A86" s="39"/>
      <c r="B86" s="39"/>
      <c r="C86" s="39"/>
      <c r="D86" s="39"/>
      <c r="E86" s="40"/>
      <c r="F86" s="39"/>
      <c r="G86" s="39"/>
      <c r="H86" s="39"/>
      <c r="I86" s="39"/>
      <c r="J86" s="39"/>
      <c r="K86" s="39"/>
      <c r="L86" s="39"/>
      <c r="M86" s="39"/>
      <c r="N86" s="95"/>
      <c r="O86" s="39"/>
    </row>
    <row r="87" spans="1:15" x14ac:dyDescent="0.25">
      <c r="A87" s="39"/>
      <c r="B87" s="39"/>
      <c r="C87" s="39"/>
      <c r="D87" s="39"/>
      <c r="E87" s="40"/>
      <c r="F87" s="39"/>
      <c r="G87" s="39"/>
      <c r="H87" s="39"/>
      <c r="I87" s="39"/>
      <c r="J87" s="39"/>
      <c r="K87" s="39"/>
      <c r="L87" s="39"/>
      <c r="M87" s="39"/>
      <c r="N87" s="95"/>
      <c r="O87" s="39"/>
    </row>
    <row r="88" spans="1:15" x14ac:dyDescent="0.25">
      <c r="A88" s="39"/>
      <c r="B88" s="39"/>
      <c r="C88" s="39"/>
      <c r="D88" s="39"/>
      <c r="E88" s="40"/>
      <c r="F88" s="39"/>
      <c r="G88" s="39"/>
      <c r="H88" s="39"/>
      <c r="I88" s="39"/>
      <c r="J88" s="39"/>
      <c r="K88" s="39"/>
      <c r="L88" s="39"/>
      <c r="M88" s="39"/>
      <c r="N88" s="95"/>
      <c r="O88" s="39"/>
    </row>
    <row r="89" spans="1:15" x14ac:dyDescent="0.25">
      <c r="A89" s="39"/>
      <c r="B89" s="39"/>
      <c r="C89" s="39"/>
      <c r="D89" s="39"/>
      <c r="E89" s="40"/>
      <c r="F89" s="39"/>
      <c r="G89" s="39"/>
      <c r="H89" s="39"/>
      <c r="I89" s="39"/>
      <c r="J89" s="39"/>
      <c r="K89" s="39"/>
      <c r="L89" s="39"/>
      <c r="M89" s="39"/>
      <c r="N89" s="95"/>
      <c r="O89" s="39"/>
    </row>
    <row r="90" spans="1:15" x14ac:dyDescent="0.25">
      <c r="A90" s="39"/>
      <c r="B90" s="39"/>
      <c r="C90" s="39"/>
      <c r="D90" s="39"/>
      <c r="E90" s="40"/>
      <c r="F90" s="39"/>
      <c r="G90" s="39"/>
      <c r="H90" s="39"/>
      <c r="I90" s="39"/>
      <c r="J90" s="39"/>
      <c r="K90" s="39"/>
      <c r="L90" s="39"/>
      <c r="M90" s="39"/>
      <c r="N90" s="95"/>
      <c r="O90" s="39"/>
    </row>
    <row r="91" spans="1:15" x14ac:dyDescent="0.25">
      <c r="A91" s="39"/>
      <c r="B91" s="39"/>
      <c r="C91" s="39"/>
      <c r="D91" s="39"/>
      <c r="E91" s="40"/>
      <c r="F91" s="39"/>
      <c r="G91" s="39"/>
      <c r="H91" s="39"/>
      <c r="I91" s="39"/>
      <c r="J91" s="39"/>
      <c r="K91" s="39"/>
      <c r="L91" s="39"/>
      <c r="M91" s="39"/>
      <c r="N91" s="95"/>
      <c r="O91" s="39"/>
    </row>
    <row r="92" spans="1:15" x14ac:dyDescent="0.25">
      <c r="A92" s="39"/>
      <c r="B92" s="39"/>
      <c r="C92" s="39"/>
      <c r="D92" s="39"/>
      <c r="E92" s="40"/>
      <c r="F92" s="39"/>
      <c r="G92" s="39"/>
      <c r="H92" s="39"/>
      <c r="I92" s="39"/>
      <c r="J92" s="39"/>
      <c r="K92" s="39"/>
      <c r="L92" s="39"/>
      <c r="M92" s="39"/>
      <c r="N92" s="95"/>
      <c r="O92" s="39"/>
    </row>
    <row r="93" spans="1:15" x14ac:dyDescent="0.25">
      <c r="A93" s="39"/>
      <c r="B93" s="39"/>
      <c r="C93" s="39"/>
      <c r="D93" s="39"/>
      <c r="E93" s="40"/>
      <c r="F93" s="39"/>
      <c r="G93" s="39"/>
      <c r="H93" s="39"/>
      <c r="I93" s="39"/>
      <c r="J93" s="39"/>
      <c r="K93" s="39"/>
      <c r="L93" s="39"/>
      <c r="M93" s="39"/>
      <c r="N93" s="95"/>
      <c r="O93" s="39"/>
    </row>
    <row r="94" spans="1:15" x14ac:dyDescent="0.25">
      <c r="A94" s="39"/>
      <c r="B94" s="39"/>
      <c r="C94" s="39"/>
      <c r="D94" s="39"/>
      <c r="E94" s="40"/>
      <c r="F94" s="39"/>
      <c r="G94" s="39"/>
      <c r="H94" s="39"/>
      <c r="I94" s="39"/>
      <c r="J94" s="39"/>
      <c r="K94" s="39"/>
      <c r="L94" s="39"/>
      <c r="M94" s="39"/>
      <c r="N94" s="95"/>
      <c r="O94" s="39"/>
    </row>
    <row r="95" spans="1:15" x14ac:dyDescent="0.25">
      <c r="A95" s="39"/>
      <c r="B95" s="39"/>
      <c r="C95" s="39"/>
      <c r="D95" s="39"/>
      <c r="E95" s="40"/>
      <c r="F95" s="39"/>
      <c r="G95" s="39"/>
      <c r="H95" s="39"/>
      <c r="I95" s="39"/>
      <c r="J95" s="39"/>
      <c r="K95" s="39"/>
      <c r="L95" s="39"/>
      <c r="M95" s="39"/>
      <c r="N95" s="95"/>
      <c r="O95" s="39"/>
    </row>
    <row r="96" spans="1:15" x14ac:dyDescent="0.25">
      <c r="A96" s="39"/>
      <c r="B96" s="39"/>
      <c r="C96" s="39"/>
      <c r="D96" s="39"/>
      <c r="E96" s="40"/>
      <c r="F96" s="39"/>
      <c r="G96" s="39"/>
      <c r="H96" s="39"/>
      <c r="I96" s="39"/>
      <c r="J96" s="39"/>
      <c r="K96" s="39"/>
      <c r="L96" s="39"/>
      <c r="M96" s="39"/>
      <c r="N96" s="95"/>
      <c r="O96" s="39"/>
    </row>
    <row r="97" spans="1:15" x14ac:dyDescent="0.25">
      <c r="A97" s="39"/>
      <c r="B97" s="39"/>
      <c r="C97" s="39"/>
      <c r="D97" s="39"/>
      <c r="E97" s="40"/>
      <c r="F97" s="39"/>
      <c r="G97" s="39"/>
      <c r="H97" s="39"/>
      <c r="I97" s="39"/>
      <c r="J97" s="39"/>
      <c r="K97" s="39"/>
      <c r="L97" s="39"/>
      <c r="M97" s="39"/>
      <c r="N97" s="95"/>
      <c r="O97" s="39"/>
    </row>
    <row r="98" spans="1:15" x14ac:dyDescent="0.25">
      <c r="A98" s="39"/>
      <c r="B98" s="39"/>
      <c r="C98" s="39"/>
      <c r="D98" s="39"/>
      <c r="E98" s="40"/>
      <c r="F98" s="39"/>
      <c r="G98" s="39"/>
      <c r="H98" s="39"/>
      <c r="I98" s="39"/>
      <c r="J98" s="39"/>
      <c r="K98" s="39"/>
      <c r="L98" s="39"/>
      <c r="M98" s="39"/>
      <c r="N98" s="95"/>
      <c r="O98" s="39"/>
    </row>
    <row r="99" spans="1:15" x14ac:dyDescent="0.25">
      <c r="A99" s="39"/>
      <c r="B99" s="39"/>
      <c r="C99" s="39"/>
      <c r="D99" s="39"/>
      <c r="E99" s="40"/>
      <c r="F99" s="39"/>
      <c r="G99" s="39"/>
      <c r="H99" s="39"/>
      <c r="I99" s="39"/>
      <c r="J99" s="39"/>
      <c r="K99" s="39"/>
      <c r="L99" s="39"/>
      <c r="M99" s="39"/>
      <c r="N99" s="95"/>
      <c r="O99" s="39"/>
    </row>
    <row r="100" spans="1:15" x14ac:dyDescent="0.25">
      <c r="A100" s="39"/>
      <c r="B100" s="39"/>
      <c r="C100" s="39"/>
      <c r="D100" s="39"/>
      <c r="E100" s="40"/>
      <c r="F100" s="39"/>
      <c r="G100" s="39"/>
      <c r="H100" s="39"/>
      <c r="I100" s="39"/>
      <c r="J100" s="39"/>
      <c r="K100" s="39"/>
      <c r="L100" s="39"/>
      <c r="M100" s="39"/>
      <c r="N100" s="95"/>
      <c r="O100" s="39"/>
    </row>
    <row r="101" spans="1:15" x14ac:dyDescent="0.25">
      <c r="A101" s="39"/>
      <c r="B101" s="39"/>
      <c r="C101" s="39"/>
      <c r="D101" s="39"/>
      <c r="E101" s="40"/>
      <c r="F101" s="39"/>
      <c r="G101" s="39"/>
      <c r="H101" s="39"/>
      <c r="I101" s="39"/>
      <c r="J101" s="39"/>
      <c r="K101" s="39"/>
      <c r="L101" s="39"/>
      <c r="M101" s="39"/>
      <c r="N101" s="95"/>
      <c r="O101" s="39"/>
    </row>
    <row r="102" spans="1:15" x14ac:dyDescent="0.25">
      <c r="A102" s="39"/>
      <c r="B102" s="39"/>
      <c r="C102" s="39"/>
      <c r="D102" s="39"/>
      <c r="E102" s="40"/>
      <c r="F102" s="39"/>
      <c r="G102" s="39"/>
      <c r="H102" s="39"/>
      <c r="I102" s="39"/>
      <c r="J102" s="39"/>
      <c r="K102" s="39"/>
      <c r="L102" s="39"/>
      <c r="M102" s="39"/>
      <c r="N102" s="95"/>
      <c r="O102" s="39"/>
    </row>
    <row r="103" spans="1:15" x14ac:dyDescent="0.25">
      <c r="A103" s="39"/>
      <c r="B103" s="39"/>
      <c r="C103" s="39"/>
      <c r="D103" s="39"/>
      <c r="E103" s="40"/>
      <c r="F103" s="39"/>
      <c r="G103" s="39"/>
      <c r="H103" s="39"/>
      <c r="I103" s="39"/>
      <c r="J103" s="39"/>
      <c r="K103" s="39"/>
      <c r="L103" s="39"/>
      <c r="M103" s="39"/>
      <c r="N103" s="95"/>
      <c r="O103" s="39"/>
    </row>
    <row r="104" spans="1:15" x14ac:dyDescent="0.25">
      <c r="A104" s="39"/>
      <c r="B104" s="39"/>
      <c r="C104" s="39"/>
      <c r="D104" s="39"/>
      <c r="E104" s="40"/>
      <c r="F104" s="39"/>
      <c r="G104" s="39"/>
      <c r="H104" s="39"/>
      <c r="I104" s="39"/>
      <c r="J104" s="39"/>
      <c r="K104" s="39"/>
      <c r="L104" s="39"/>
      <c r="M104" s="39"/>
      <c r="N104" s="95"/>
      <c r="O104" s="39"/>
    </row>
    <row r="105" spans="1:15" x14ac:dyDescent="0.25">
      <c r="A105" s="39"/>
      <c r="B105" s="39"/>
      <c r="C105" s="39"/>
      <c r="D105" s="39"/>
      <c r="E105" s="40"/>
      <c r="F105" s="39"/>
      <c r="G105" s="39"/>
      <c r="H105" s="39"/>
      <c r="I105" s="39"/>
      <c r="J105" s="39"/>
      <c r="K105" s="39"/>
      <c r="L105" s="39"/>
      <c r="M105" s="39"/>
      <c r="N105" s="95"/>
      <c r="O105" s="39"/>
    </row>
    <row r="106" spans="1:15" x14ac:dyDescent="0.25">
      <c r="A106" s="39"/>
      <c r="B106" s="39"/>
      <c r="C106" s="39"/>
      <c r="D106" s="39"/>
      <c r="E106" s="40"/>
      <c r="F106" s="39"/>
      <c r="G106" s="39"/>
      <c r="H106" s="39"/>
      <c r="I106" s="39"/>
      <c r="J106" s="39"/>
      <c r="K106" s="39"/>
      <c r="L106" s="39"/>
      <c r="M106" s="39"/>
      <c r="N106" s="95"/>
      <c r="O106" s="39"/>
    </row>
    <row r="107" spans="1:15" x14ac:dyDescent="0.25">
      <c r="A107" s="39"/>
      <c r="B107" s="39"/>
      <c r="C107" s="39"/>
      <c r="D107" s="39"/>
      <c r="E107" s="40"/>
      <c r="F107" s="39"/>
      <c r="G107" s="39"/>
      <c r="H107" s="39"/>
      <c r="I107" s="39"/>
      <c r="J107" s="39"/>
      <c r="K107" s="39"/>
      <c r="L107" s="39"/>
      <c r="M107" s="39"/>
      <c r="N107" s="95"/>
      <c r="O107" s="39"/>
    </row>
    <row r="108" spans="1:15" x14ac:dyDescent="0.25">
      <c r="A108" s="39"/>
      <c r="B108" s="39"/>
      <c r="C108" s="39"/>
      <c r="D108" s="39"/>
      <c r="E108" s="40"/>
      <c r="F108" s="39"/>
      <c r="G108" s="39"/>
      <c r="H108" s="39"/>
      <c r="I108" s="39"/>
      <c r="J108" s="39"/>
      <c r="K108" s="39"/>
      <c r="L108" s="39"/>
      <c r="M108" s="39"/>
      <c r="N108" s="95"/>
      <c r="O108" s="39"/>
    </row>
    <row r="109" spans="1:15" x14ac:dyDescent="0.25">
      <c r="A109" s="39"/>
      <c r="B109" s="39"/>
      <c r="C109" s="39"/>
      <c r="D109" s="39"/>
      <c r="E109" s="40"/>
      <c r="F109" s="39"/>
      <c r="G109" s="39"/>
      <c r="H109" s="39"/>
      <c r="I109" s="39"/>
      <c r="J109" s="39"/>
      <c r="K109" s="39"/>
      <c r="L109" s="39"/>
      <c r="M109" s="39"/>
      <c r="N109" s="95"/>
      <c r="O109" s="39"/>
    </row>
    <row r="110" spans="1:15" x14ac:dyDescent="0.25">
      <c r="A110" s="39"/>
      <c r="B110" s="39"/>
      <c r="C110" s="39"/>
      <c r="D110" s="39"/>
      <c r="E110" s="40"/>
      <c r="F110" s="39"/>
      <c r="G110" s="39"/>
      <c r="H110" s="39"/>
      <c r="I110" s="39"/>
      <c r="J110" s="39"/>
      <c r="K110" s="39"/>
      <c r="L110" s="39"/>
      <c r="M110" s="39"/>
      <c r="N110" s="95"/>
      <c r="O110" s="39"/>
    </row>
    <row r="111" spans="1:15" x14ac:dyDescent="0.25">
      <c r="A111" s="39"/>
      <c r="B111" s="39"/>
      <c r="C111" s="39"/>
      <c r="D111" s="39"/>
      <c r="E111" s="40"/>
      <c r="F111" s="39"/>
      <c r="G111" s="39"/>
      <c r="H111" s="39"/>
      <c r="I111" s="39"/>
      <c r="J111" s="39"/>
      <c r="K111" s="39"/>
      <c r="L111" s="39"/>
      <c r="M111" s="39"/>
      <c r="N111" s="95"/>
      <c r="O111" s="39"/>
    </row>
    <row r="112" spans="1:15" x14ac:dyDescent="0.25">
      <c r="A112" s="39"/>
      <c r="B112" s="39"/>
      <c r="C112" s="39"/>
      <c r="D112" s="39"/>
      <c r="E112" s="40"/>
      <c r="F112" s="39"/>
      <c r="G112" s="39"/>
      <c r="H112" s="39"/>
      <c r="I112" s="39"/>
      <c r="J112" s="39"/>
      <c r="K112" s="39"/>
      <c r="L112" s="39"/>
      <c r="M112" s="39"/>
      <c r="N112" s="95"/>
      <c r="O112" s="39"/>
    </row>
    <row r="113" spans="1:15" x14ac:dyDescent="0.25">
      <c r="A113" s="39"/>
      <c r="B113" s="39"/>
      <c r="C113" s="39"/>
      <c r="D113" s="39"/>
      <c r="E113" s="40"/>
      <c r="F113" s="39"/>
      <c r="G113" s="39"/>
      <c r="H113" s="39"/>
      <c r="I113" s="39"/>
      <c r="J113" s="39"/>
      <c r="K113" s="39"/>
      <c r="L113" s="39"/>
      <c r="M113" s="39"/>
      <c r="N113" s="95"/>
      <c r="O113" s="39"/>
    </row>
    <row r="114" spans="1:15" x14ac:dyDescent="0.25">
      <c r="A114" s="39"/>
      <c r="B114" s="39"/>
      <c r="C114" s="39"/>
      <c r="D114" s="39"/>
      <c r="E114" s="40"/>
      <c r="F114" s="39"/>
      <c r="G114" s="39"/>
      <c r="H114" s="39"/>
      <c r="I114" s="39"/>
      <c r="J114" s="39"/>
      <c r="K114" s="39"/>
      <c r="L114" s="39"/>
      <c r="M114" s="39"/>
      <c r="N114" s="95"/>
      <c r="O114" s="39"/>
    </row>
    <row r="115" spans="1:15" x14ac:dyDescent="0.25">
      <c r="A115" s="39"/>
      <c r="B115" s="39"/>
      <c r="C115" s="39"/>
      <c r="D115" s="39"/>
      <c r="E115" s="40"/>
      <c r="F115" s="39"/>
      <c r="G115" s="39"/>
      <c r="H115" s="39"/>
      <c r="I115" s="39"/>
      <c r="J115" s="39"/>
      <c r="K115" s="39"/>
      <c r="L115" s="39"/>
      <c r="M115" s="39"/>
      <c r="N115" s="95"/>
      <c r="O115" s="39"/>
    </row>
    <row r="116" spans="1:15" x14ac:dyDescent="0.25">
      <c r="A116" s="39"/>
      <c r="B116" s="39"/>
      <c r="C116" s="39"/>
      <c r="D116" s="39"/>
      <c r="E116" s="40"/>
      <c r="F116" s="39"/>
      <c r="G116" s="39"/>
      <c r="H116" s="39"/>
      <c r="I116" s="39"/>
      <c r="J116" s="39"/>
      <c r="K116" s="39"/>
      <c r="L116" s="39"/>
      <c r="M116" s="39"/>
      <c r="N116" s="95"/>
      <c r="O116" s="39"/>
    </row>
    <row r="117" spans="1:15" x14ac:dyDescent="0.25">
      <c r="A117" s="39"/>
      <c r="B117" s="39"/>
      <c r="C117" s="39"/>
      <c r="D117" s="39"/>
      <c r="E117" s="40"/>
      <c r="F117" s="39"/>
      <c r="G117" s="39"/>
      <c r="H117" s="39"/>
      <c r="I117" s="39"/>
      <c r="J117" s="39"/>
      <c r="K117" s="39"/>
      <c r="L117" s="39"/>
      <c r="M117" s="39"/>
      <c r="N117" s="95"/>
      <c r="O117" s="39"/>
    </row>
    <row r="118" spans="1:15" x14ac:dyDescent="0.25">
      <c r="A118" s="39"/>
      <c r="B118" s="39"/>
      <c r="C118" s="39"/>
      <c r="D118" s="39"/>
      <c r="E118" s="40"/>
      <c r="F118" s="39"/>
      <c r="G118" s="39"/>
      <c r="H118" s="39"/>
      <c r="I118" s="39"/>
      <c r="J118" s="39"/>
      <c r="K118" s="39"/>
      <c r="L118" s="39"/>
      <c r="M118" s="39"/>
      <c r="N118" s="95"/>
      <c r="O118" s="39"/>
    </row>
    <row r="119" spans="1:15" x14ac:dyDescent="0.25">
      <c r="A119" s="39"/>
      <c r="B119" s="39"/>
      <c r="C119" s="39"/>
      <c r="D119" s="39"/>
      <c r="E119" s="40"/>
      <c r="F119" s="39"/>
      <c r="G119" s="39"/>
      <c r="H119" s="39"/>
      <c r="I119" s="39"/>
      <c r="J119" s="39"/>
      <c r="K119" s="39"/>
      <c r="L119" s="39"/>
      <c r="M119" s="39"/>
      <c r="N119" s="95"/>
      <c r="O119" s="39"/>
    </row>
    <row r="120" spans="1:15" x14ac:dyDescent="0.25">
      <c r="A120" s="39"/>
      <c r="B120" s="39"/>
      <c r="C120" s="39"/>
      <c r="D120" s="39"/>
      <c r="E120" s="40"/>
      <c r="F120" s="39"/>
      <c r="G120" s="39"/>
      <c r="H120" s="39"/>
      <c r="I120" s="39"/>
      <c r="J120" s="39"/>
      <c r="K120" s="39"/>
      <c r="L120" s="39"/>
      <c r="M120" s="39"/>
      <c r="N120" s="95"/>
      <c r="O120" s="39"/>
    </row>
    <row r="121" spans="1:15" x14ac:dyDescent="0.25">
      <c r="A121" s="39"/>
      <c r="B121" s="39"/>
      <c r="C121" s="39"/>
      <c r="D121" s="39"/>
      <c r="E121" s="40"/>
      <c r="F121" s="39"/>
      <c r="G121" s="39"/>
      <c r="H121" s="39"/>
      <c r="I121" s="39"/>
      <c r="J121" s="39"/>
      <c r="K121" s="39"/>
      <c r="L121" s="39"/>
      <c r="M121" s="39"/>
      <c r="N121" s="95"/>
      <c r="O121" s="39"/>
    </row>
    <row r="122" spans="1:15" x14ac:dyDescent="0.25">
      <c r="A122" s="39"/>
      <c r="B122" s="39"/>
      <c r="C122" s="39"/>
      <c r="D122" s="39"/>
      <c r="E122" s="40"/>
      <c r="F122" s="39"/>
      <c r="G122" s="39"/>
      <c r="H122" s="39"/>
      <c r="I122" s="39"/>
      <c r="J122" s="39"/>
      <c r="K122" s="39"/>
      <c r="L122" s="39"/>
      <c r="M122" s="39"/>
      <c r="N122" s="95"/>
      <c r="O122" s="39"/>
    </row>
    <row r="123" spans="1:15" x14ac:dyDescent="0.25">
      <c r="A123" s="39"/>
      <c r="B123" s="39"/>
      <c r="C123" s="39"/>
      <c r="D123" s="39"/>
      <c r="E123" s="40"/>
      <c r="F123" s="39"/>
      <c r="G123" s="39"/>
      <c r="H123" s="39"/>
      <c r="I123" s="39"/>
      <c r="J123" s="39"/>
      <c r="K123" s="39"/>
      <c r="L123" s="39"/>
      <c r="M123" s="39"/>
      <c r="N123" s="95"/>
      <c r="O123" s="39"/>
    </row>
    <row r="124" spans="1:15" x14ac:dyDescent="0.25">
      <c r="A124" s="39"/>
      <c r="B124" s="39"/>
      <c r="C124" s="39"/>
      <c r="D124" s="39"/>
      <c r="E124" s="40"/>
      <c r="F124" s="39"/>
      <c r="G124" s="39"/>
      <c r="H124" s="39"/>
      <c r="I124" s="39"/>
      <c r="J124" s="39"/>
      <c r="K124" s="39"/>
      <c r="L124" s="39"/>
      <c r="M124" s="39"/>
      <c r="N124" s="95"/>
      <c r="O124" s="39"/>
    </row>
    <row r="125" spans="1:15" x14ac:dyDescent="0.25">
      <c r="A125" s="39"/>
      <c r="B125" s="39"/>
      <c r="C125" s="39"/>
      <c r="D125" s="39"/>
      <c r="E125" s="40"/>
      <c r="F125" s="39"/>
      <c r="G125" s="39"/>
      <c r="H125" s="39"/>
      <c r="I125" s="39"/>
      <c r="J125" s="39"/>
      <c r="K125" s="39"/>
      <c r="L125" s="39"/>
      <c r="M125" s="39"/>
      <c r="N125" s="95"/>
      <c r="O125" s="39"/>
    </row>
    <row r="126" spans="1:15" x14ac:dyDescent="0.25">
      <c r="A126" s="39"/>
      <c r="B126" s="39"/>
      <c r="C126" s="39"/>
      <c r="D126" s="39"/>
      <c r="E126" s="40"/>
      <c r="F126" s="39"/>
      <c r="G126" s="39"/>
      <c r="H126" s="39"/>
      <c r="I126" s="39"/>
      <c r="J126" s="39"/>
      <c r="K126" s="39"/>
      <c r="L126" s="39"/>
      <c r="M126" s="39"/>
      <c r="N126" s="95"/>
      <c r="O126" s="39"/>
    </row>
    <row r="127" spans="1:15" x14ac:dyDescent="0.25">
      <c r="A127" s="39"/>
      <c r="B127" s="39"/>
      <c r="C127" s="39"/>
      <c r="D127" s="39"/>
      <c r="E127" s="40"/>
      <c r="F127" s="39"/>
      <c r="G127" s="39"/>
      <c r="H127" s="39"/>
      <c r="I127" s="39"/>
      <c r="J127" s="39"/>
      <c r="K127" s="39"/>
      <c r="L127" s="39"/>
      <c r="M127" s="39"/>
      <c r="N127" s="95"/>
      <c r="O127" s="39"/>
    </row>
    <row r="128" spans="1:15" x14ac:dyDescent="0.25">
      <c r="A128" s="39"/>
      <c r="B128" s="39"/>
      <c r="C128" s="39"/>
      <c r="D128" s="39"/>
      <c r="E128" s="40"/>
      <c r="F128" s="39"/>
      <c r="G128" s="39"/>
      <c r="H128" s="39"/>
      <c r="I128" s="39"/>
      <c r="J128" s="39"/>
      <c r="K128" s="39"/>
      <c r="L128" s="39"/>
      <c r="M128" s="39"/>
      <c r="N128" s="95"/>
      <c r="O128" s="39"/>
    </row>
    <row r="129" spans="1:15" x14ac:dyDescent="0.25">
      <c r="A129" s="39"/>
      <c r="B129" s="39"/>
      <c r="C129" s="39"/>
      <c r="D129" s="39"/>
      <c r="E129" s="40"/>
      <c r="F129" s="39"/>
      <c r="G129" s="39"/>
      <c r="H129" s="39"/>
      <c r="I129" s="39"/>
      <c r="J129" s="39"/>
      <c r="K129" s="39"/>
      <c r="L129" s="39"/>
      <c r="M129" s="39"/>
      <c r="N129" s="95"/>
      <c r="O129" s="39"/>
    </row>
    <row r="130" spans="1:15" x14ac:dyDescent="0.25">
      <c r="A130" s="39"/>
      <c r="B130" s="39"/>
      <c r="C130" s="39"/>
      <c r="D130" s="39"/>
      <c r="E130" s="40"/>
      <c r="F130" s="39"/>
      <c r="G130" s="39"/>
      <c r="H130" s="39"/>
      <c r="I130" s="39"/>
      <c r="J130" s="39"/>
      <c r="K130" s="39"/>
      <c r="L130" s="39"/>
      <c r="M130" s="39"/>
      <c r="N130" s="95"/>
      <c r="O130" s="39"/>
    </row>
    <row r="131" spans="1:15" x14ac:dyDescent="0.25">
      <c r="A131" s="39"/>
      <c r="B131" s="39"/>
      <c r="C131" s="39"/>
      <c r="D131" s="39"/>
      <c r="E131" s="40"/>
      <c r="F131" s="39"/>
      <c r="G131" s="39"/>
      <c r="H131" s="39"/>
      <c r="I131" s="39"/>
      <c r="J131" s="39"/>
      <c r="K131" s="39"/>
      <c r="L131" s="39"/>
      <c r="M131" s="39"/>
      <c r="N131" s="95"/>
      <c r="O131" s="39"/>
    </row>
    <row r="132" spans="1:15" x14ac:dyDescent="0.25">
      <c r="A132" s="39"/>
      <c r="B132" s="39"/>
      <c r="C132" s="39"/>
      <c r="D132" s="39"/>
      <c r="E132" s="40"/>
      <c r="F132" s="39"/>
      <c r="G132" s="39"/>
      <c r="H132" s="39"/>
      <c r="I132" s="39"/>
      <c r="J132" s="39"/>
      <c r="K132" s="39"/>
      <c r="L132" s="39"/>
      <c r="M132" s="39"/>
      <c r="N132" s="95"/>
      <c r="O132" s="39"/>
    </row>
    <row r="133" spans="1:15" x14ac:dyDescent="0.25">
      <c r="A133" s="39"/>
      <c r="B133" s="39"/>
      <c r="C133" s="39"/>
      <c r="D133" s="39"/>
      <c r="E133" s="40"/>
      <c r="F133" s="39"/>
      <c r="G133" s="39"/>
      <c r="H133" s="39"/>
      <c r="I133" s="39"/>
      <c r="J133" s="39"/>
      <c r="K133" s="39"/>
      <c r="L133" s="39"/>
      <c r="M133" s="39"/>
      <c r="N133" s="95"/>
      <c r="O133" s="39"/>
    </row>
    <row r="134" spans="1:15" x14ac:dyDescent="0.25">
      <c r="A134" s="39"/>
      <c r="B134" s="39"/>
      <c r="C134" s="39"/>
      <c r="D134" s="39"/>
      <c r="E134" s="40"/>
      <c r="F134" s="39"/>
      <c r="G134" s="39"/>
      <c r="H134" s="39"/>
      <c r="I134" s="39"/>
      <c r="J134" s="39"/>
      <c r="K134" s="39"/>
      <c r="L134" s="39"/>
      <c r="M134" s="39"/>
      <c r="N134" s="95"/>
      <c r="O134" s="39"/>
    </row>
    <row r="135" spans="1:15" x14ac:dyDescent="0.25">
      <c r="A135" s="39"/>
      <c r="B135" s="39"/>
      <c r="C135" s="39"/>
      <c r="D135" s="39"/>
      <c r="E135" s="40"/>
      <c r="F135" s="39"/>
      <c r="G135" s="39"/>
      <c r="H135" s="39"/>
      <c r="I135" s="39"/>
      <c r="J135" s="39"/>
      <c r="K135" s="39"/>
      <c r="L135" s="39"/>
      <c r="M135" s="39"/>
      <c r="N135" s="95"/>
      <c r="O135" s="39"/>
    </row>
    <row r="136" spans="1:15" x14ac:dyDescent="0.25">
      <c r="A136" s="39"/>
      <c r="B136" s="39"/>
      <c r="C136" s="39"/>
      <c r="D136" s="39"/>
      <c r="E136" s="40"/>
      <c r="F136" s="39"/>
      <c r="G136" s="39"/>
      <c r="H136" s="39"/>
      <c r="I136" s="39"/>
      <c r="J136" s="39"/>
      <c r="K136" s="39"/>
      <c r="L136" s="39"/>
      <c r="M136" s="39"/>
      <c r="N136" s="95"/>
      <c r="O136" s="39"/>
    </row>
    <row r="137" spans="1:15" x14ac:dyDescent="0.25">
      <c r="A137" s="39"/>
      <c r="B137" s="39"/>
      <c r="C137" s="39"/>
      <c r="D137" s="39"/>
      <c r="E137" s="40"/>
      <c r="F137" s="39"/>
      <c r="G137" s="39"/>
      <c r="H137" s="39"/>
      <c r="I137" s="39"/>
      <c r="J137" s="39"/>
      <c r="K137" s="39"/>
      <c r="L137" s="39"/>
      <c r="M137" s="39"/>
      <c r="N137" s="95"/>
      <c r="O137" s="39"/>
    </row>
    <row r="138" spans="1:15" x14ac:dyDescent="0.25">
      <c r="A138" s="39"/>
      <c r="B138" s="39"/>
      <c r="C138" s="39"/>
      <c r="D138" s="39"/>
      <c r="E138" s="40"/>
      <c r="F138" s="39"/>
      <c r="G138" s="39"/>
      <c r="H138" s="39"/>
      <c r="I138" s="39"/>
      <c r="J138" s="39"/>
      <c r="K138" s="39"/>
      <c r="L138" s="39"/>
      <c r="M138" s="39"/>
      <c r="N138" s="95"/>
      <c r="O138" s="39"/>
    </row>
    <row r="139" spans="1:15" x14ac:dyDescent="0.25">
      <c r="A139" s="39"/>
      <c r="B139" s="39"/>
      <c r="C139" s="39"/>
      <c r="D139" s="39"/>
      <c r="E139" s="40"/>
      <c r="F139" s="39"/>
      <c r="G139" s="39"/>
      <c r="H139" s="39"/>
      <c r="I139" s="39"/>
      <c r="J139" s="39"/>
      <c r="K139" s="39"/>
      <c r="L139" s="39"/>
      <c r="M139" s="39"/>
      <c r="N139" s="95"/>
      <c r="O139" s="39"/>
    </row>
    <row r="140" spans="1:15" x14ac:dyDescent="0.25">
      <c r="A140" s="39"/>
      <c r="B140" s="39"/>
      <c r="C140" s="39"/>
      <c r="D140" s="39"/>
      <c r="E140" s="40"/>
      <c r="F140" s="39"/>
      <c r="G140" s="39"/>
      <c r="H140" s="39"/>
      <c r="I140" s="39"/>
      <c r="J140" s="39"/>
      <c r="K140" s="39"/>
      <c r="L140" s="39"/>
      <c r="M140" s="39"/>
      <c r="N140" s="95"/>
      <c r="O140" s="39"/>
    </row>
    <row r="141" spans="1:15" x14ac:dyDescent="0.25">
      <c r="A141" s="39"/>
      <c r="B141" s="39"/>
      <c r="C141" s="39"/>
      <c r="D141" s="39"/>
      <c r="E141" s="40"/>
      <c r="F141" s="39"/>
      <c r="G141" s="39"/>
      <c r="H141" s="39"/>
      <c r="I141" s="39"/>
      <c r="J141" s="39"/>
      <c r="K141" s="39"/>
      <c r="L141" s="39"/>
      <c r="M141" s="39"/>
      <c r="N141" s="95"/>
      <c r="O141" s="39"/>
    </row>
    <row r="142" spans="1:15" x14ac:dyDescent="0.25">
      <c r="A142" s="39"/>
      <c r="B142" s="39"/>
      <c r="C142" s="39"/>
      <c r="D142" s="39"/>
      <c r="E142" s="40"/>
      <c r="F142" s="39"/>
      <c r="G142" s="39"/>
      <c r="H142" s="39"/>
      <c r="I142" s="39"/>
      <c r="J142" s="39"/>
      <c r="K142" s="39"/>
      <c r="L142" s="39"/>
      <c r="M142" s="39"/>
      <c r="N142" s="95"/>
      <c r="O142" s="39"/>
    </row>
    <row r="143" spans="1:15" x14ac:dyDescent="0.25">
      <c r="A143" s="39"/>
      <c r="B143" s="39"/>
      <c r="C143" s="39"/>
      <c r="D143" s="39"/>
      <c r="E143" s="40"/>
      <c r="F143" s="39"/>
      <c r="G143" s="39"/>
      <c r="H143" s="39"/>
      <c r="I143" s="39"/>
      <c r="J143" s="39"/>
      <c r="K143" s="39"/>
      <c r="L143" s="39"/>
      <c r="M143" s="39"/>
      <c r="N143" s="95"/>
      <c r="O143" s="39"/>
    </row>
    <row r="144" spans="1:15" x14ac:dyDescent="0.25">
      <c r="A144" s="39"/>
      <c r="B144" s="39"/>
      <c r="C144" s="39"/>
      <c r="D144" s="39"/>
      <c r="E144" s="40"/>
      <c r="F144" s="39"/>
      <c r="G144" s="39"/>
      <c r="H144" s="39"/>
      <c r="I144" s="39"/>
      <c r="J144" s="39"/>
      <c r="K144" s="39"/>
      <c r="L144" s="39"/>
      <c r="M144" s="39"/>
      <c r="N144" s="95"/>
      <c r="O144" s="39"/>
    </row>
    <row r="145" spans="1:15" x14ac:dyDescent="0.25">
      <c r="A145" s="39"/>
      <c r="B145" s="39"/>
      <c r="C145" s="39"/>
      <c r="D145" s="39"/>
      <c r="E145" s="40"/>
      <c r="F145" s="39"/>
      <c r="G145" s="39"/>
      <c r="H145" s="39"/>
      <c r="I145" s="39"/>
      <c r="J145" s="39"/>
      <c r="K145" s="39"/>
      <c r="L145" s="39"/>
      <c r="M145" s="39"/>
      <c r="N145" s="95"/>
      <c r="O145" s="39"/>
    </row>
    <row r="146" spans="1:15" x14ac:dyDescent="0.25">
      <c r="A146" s="39"/>
      <c r="B146" s="39"/>
      <c r="C146" s="39"/>
      <c r="D146" s="39"/>
      <c r="E146" s="40"/>
      <c r="F146" s="39"/>
      <c r="G146" s="39"/>
      <c r="H146" s="39"/>
      <c r="I146" s="39"/>
      <c r="J146" s="39"/>
      <c r="K146" s="39"/>
      <c r="L146" s="39"/>
      <c r="M146" s="39"/>
      <c r="N146" s="95"/>
      <c r="O146" s="39"/>
    </row>
    <row r="147" spans="1:15" x14ac:dyDescent="0.25">
      <c r="A147" s="39"/>
      <c r="B147" s="39"/>
      <c r="C147" s="39"/>
      <c r="D147" s="39"/>
      <c r="E147" s="40"/>
      <c r="F147" s="39"/>
      <c r="G147" s="39"/>
      <c r="H147" s="39"/>
      <c r="I147" s="39"/>
      <c r="J147" s="39"/>
      <c r="K147" s="39"/>
      <c r="L147" s="39"/>
      <c r="M147" s="39"/>
      <c r="N147" s="95"/>
      <c r="O147" s="39"/>
    </row>
    <row r="148" spans="1:15" x14ac:dyDescent="0.25">
      <c r="A148" s="39"/>
      <c r="B148" s="39"/>
      <c r="C148" s="39"/>
      <c r="D148" s="39"/>
      <c r="E148" s="40"/>
      <c r="F148" s="39"/>
      <c r="G148" s="39"/>
      <c r="H148" s="39"/>
      <c r="I148" s="39"/>
      <c r="J148" s="39"/>
      <c r="K148" s="39"/>
      <c r="L148" s="39"/>
      <c r="M148" s="39"/>
      <c r="N148" s="95"/>
      <c r="O148" s="39"/>
    </row>
    <row r="149" spans="1:15" x14ac:dyDescent="0.25">
      <c r="A149" s="39"/>
      <c r="B149" s="39"/>
      <c r="C149" s="39"/>
      <c r="D149" s="39"/>
      <c r="E149" s="40"/>
      <c r="F149" s="39"/>
      <c r="G149" s="39"/>
      <c r="H149" s="39"/>
      <c r="I149" s="39"/>
      <c r="J149" s="39"/>
      <c r="K149" s="39"/>
      <c r="L149" s="39"/>
      <c r="M149" s="39"/>
      <c r="N149" s="95"/>
      <c r="O149" s="39"/>
    </row>
    <row r="150" spans="1:15" x14ac:dyDescent="0.25">
      <c r="A150" s="39"/>
      <c r="B150" s="39"/>
      <c r="C150" s="39"/>
      <c r="D150" s="39"/>
      <c r="E150" s="40"/>
      <c r="F150" s="39"/>
      <c r="G150" s="39"/>
      <c r="H150" s="39"/>
      <c r="I150" s="39"/>
      <c r="J150" s="39"/>
      <c r="K150" s="39"/>
      <c r="L150" s="39"/>
      <c r="M150" s="39"/>
      <c r="N150" s="95"/>
      <c r="O150" s="39"/>
    </row>
    <row r="151" spans="1:15" x14ac:dyDescent="0.25">
      <c r="A151" s="39"/>
      <c r="B151" s="39"/>
      <c r="C151" s="39"/>
      <c r="D151" s="39"/>
      <c r="E151" s="40"/>
      <c r="F151" s="39"/>
      <c r="G151" s="39"/>
      <c r="H151" s="39"/>
      <c r="I151" s="39"/>
      <c r="J151" s="39"/>
      <c r="K151" s="39"/>
      <c r="L151" s="39"/>
      <c r="M151" s="39"/>
      <c r="N151" s="95"/>
      <c r="O151" s="39"/>
    </row>
    <row r="152" spans="1:15" x14ac:dyDescent="0.25">
      <c r="A152" s="39"/>
      <c r="B152" s="39"/>
      <c r="C152" s="39"/>
      <c r="D152" s="39"/>
      <c r="E152" s="40"/>
      <c r="F152" s="39"/>
      <c r="G152" s="39"/>
      <c r="H152" s="39"/>
      <c r="I152" s="39"/>
      <c r="J152" s="39"/>
      <c r="K152" s="39"/>
      <c r="L152" s="39"/>
      <c r="M152" s="39"/>
      <c r="N152" s="95"/>
      <c r="O152" s="39"/>
    </row>
    <row r="153" spans="1:15" x14ac:dyDescent="0.25">
      <c r="A153" s="39"/>
      <c r="B153" s="39"/>
      <c r="C153" s="39"/>
      <c r="D153" s="39"/>
      <c r="E153" s="40"/>
      <c r="F153" s="39"/>
      <c r="G153" s="39"/>
      <c r="H153" s="39"/>
      <c r="I153" s="39"/>
      <c r="J153" s="39"/>
      <c r="K153" s="39"/>
      <c r="L153" s="39"/>
      <c r="M153" s="39"/>
      <c r="N153" s="95"/>
      <c r="O153" s="39"/>
    </row>
    <row r="154" spans="1:15" x14ac:dyDescent="0.25">
      <c r="A154" s="39"/>
      <c r="B154" s="39"/>
      <c r="C154" s="39"/>
      <c r="D154" s="39"/>
      <c r="E154" s="40"/>
      <c r="F154" s="39"/>
      <c r="G154" s="39"/>
      <c r="H154" s="39"/>
      <c r="I154" s="39"/>
      <c r="J154" s="39"/>
      <c r="K154" s="39"/>
      <c r="L154" s="39"/>
      <c r="M154" s="39"/>
      <c r="N154" s="95"/>
      <c r="O154" s="39"/>
    </row>
    <row r="155" spans="1:15" x14ac:dyDescent="0.25">
      <c r="A155" s="39"/>
      <c r="B155" s="39"/>
      <c r="C155" s="39"/>
      <c r="D155" s="39"/>
      <c r="E155" s="40"/>
      <c r="F155" s="39"/>
      <c r="G155" s="39"/>
      <c r="H155" s="39"/>
      <c r="I155" s="39"/>
      <c r="J155" s="39"/>
      <c r="K155" s="39"/>
      <c r="L155" s="39"/>
      <c r="M155" s="39"/>
      <c r="N155" s="95"/>
      <c r="O155" s="39"/>
    </row>
    <row r="156" spans="1:15" x14ac:dyDescent="0.25">
      <c r="A156" s="39"/>
      <c r="B156" s="39"/>
      <c r="C156" s="39"/>
      <c r="D156" s="39"/>
      <c r="E156" s="40"/>
      <c r="F156" s="39"/>
      <c r="G156" s="39"/>
      <c r="H156" s="39"/>
      <c r="I156" s="39"/>
      <c r="J156" s="39"/>
      <c r="K156" s="39"/>
      <c r="L156" s="39"/>
      <c r="M156" s="39"/>
      <c r="N156" s="95"/>
      <c r="O156" s="39"/>
    </row>
    <row r="157" spans="1:15" x14ac:dyDescent="0.25">
      <c r="A157" s="39"/>
      <c r="B157" s="39"/>
      <c r="C157" s="39"/>
      <c r="D157" s="39"/>
      <c r="E157" s="40"/>
      <c r="F157" s="39"/>
      <c r="G157" s="39"/>
      <c r="H157" s="39"/>
      <c r="I157" s="39"/>
      <c r="J157" s="39"/>
      <c r="K157" s="39"/>
      <c r="L157" s="39"/>
      <c r="M157" s="39"/>
      <c r="N157" s="95"/>
      <c r="O157" s="39"/>
    </row>
    <row r="158" spans="1:15" x14ac:dyDescent="0.25">
      <c r="A158" s="39"/>
      <c r="B158" s="39"/>
      <c r="C158" s="39"/>
      <c r="D158" s="39"/>
      <c r="E158" s="40"/>
      <c r="F158" s="39"/>
      <c r="G158" s="39"/>
      <c r="H158" s="39"/>
      <c r="I158" s="39"/>
      <c r="J158" s="39"/>
      <c r="K158" s="39"/>
      <c r="L158" s="39"/>
      <c r="M158" s="39"/>
      <c r="N158" s="95"/>
      <c r="O158" s="39"/>
    </row>
    <row r="159" spans="1:15" x14ac:dyDescent="0.25">
      <c r="A159" s="39"/>
      <c r="B159" s="39"/>
      <c r="C159" s="39"/>
      <c r="D159" s="39"/>
      <c r="E159" s="40"/>
      <c r="F159" s="39"/>
      <c r="G159" s="39"/>
      <c r="H159" s="39"/>
      <c r="I159" s="39"/>
      <c r="J159" s="39"/>
      <c r="K159" s="39"/>
      <c r="L159" s="39"/>
      <c r="M159" s="39"/>
      <c r="N159" s="95"/>
      <c r="O159" s="39"/>
    </row>
    <row r="160" spans="1:15" x14ac:dyDescent="0.25">
      <c r="A160" s="39"/>
      <c r="B160" s="39"/>
      <c r="C160" s="39"/>
      <c r="D160" s="39"/>
      <c r="E160" s="40"/>
      <c r="F160" s="39"/>
      <c r="G160" s="39"/>
      <c r="H160" s="39"/>
      <c r="I160" s="39"/>
      <c r="J160" s="39"/>
      <c r="K160" s="39"/>
      <c r="L160" s="39"/>
      <c r="M160" s="39"/>
      <c r="N160" s="95"/>
      <c r="O160" s="39"/>
    </row>
    <row r="161" spans="1:15" x14ac:dyDescent="0.25">
      <c r="A161" s="39"/>
      <c r="B161" s="39"/>
      <c r="C161" s="39"/>
      <c r="D161" s="39"/>
      <c r="E161" s="40"/>
      <c r="F161" s="39"/>
      <c r="G161" s="39"/>
      <c r="H161" s="39"/>
      <c r="I161" s="39"/>
      <c r="J161" s="39"/>
      <c r="K161" s="39"/>
      <c r="L161" s="39"/>
      <c r="M161" s="39"/>
      <c r="N161" s="95"/>
      <c r="O161" s="39"/>
    </row>
    <row r="162" spans="1:15" x14ac:dyDescent="0.25">
      <c r="A162" s="39"/>
      <c r="B162" s="39"/>
      <c r="C162" s="39"/>
      <c r="D162" s="39"/>
      <c r="E162" s="40"/>
      <c r="F162" s="39"/>
      <c r="G162" s="39"/>
      <c r="H162" s="39"/>
      <c r="I162" s="39"/>
      <c r="J162" s="39"/>
      <c r="K162" s="39"/>
      <c r="L162" s="39"/>
      <c r="M162" s="39"/>
      <c r="N162" s="95"/>
      <c r="O162" s="39"/>
    </row>
    <row r="163" spans="1:15" x14ac:dyDescent="0.25">
      <c r="A163" s="39"/>
      <c r="B163" s="39"/>
      <c r="C163" s="39"/>
      <c r="D163" s="39"/>
      <c r="E163" s="40"/>
      <c r="F163" s="39"/>
      <c r="G163" s="39"/>
      <c r="H163" s="39"/>
      <c r="I163" s="39"/>
      <c r="J163" s="39"/>
      <c r="K163" s="39"/>
      <c r="L163" s="39"/>
      <c r="M163" s="39"/>
      <c r="N163" s="95"/>
      <c r="O163" s="39"/>
    </row>
    <row r="164" spans="1:15" x14ac:dyDescent="0.25">
      <c r="A164" s="39"/>
      <c r="B164" s="39"/>
      <c r="C164" s="39"/>
      <c r="D164" s="39"/>
      <c r="E164" s="40"/>
      <c r="F164" s="39"/>
      <c r="G164" s="39"/>
      <c r="H164" s="39"/>
      <c r="I164" s="39"/>
      <c r="J164" s="39"/>
      <c r="K164" s="39"/>
      <c r="L164" s="39"/>
      <c r="M164" s="39"/>
      <c r="N164" s="95"/>
      <c r="O164" s="39"/>
    </row>
    <row r="165" spans="1:15" x14ac:dyDescent="0.25">
      <c r="A165" s="39"/>
      <c r="B165" s="39"/>
      <c r="C165" s="39"/>
      <c r="D165" s="39"/>
      <c r="E165" s="40"/>
      <c r="F165" s="39"/>
      <c r="G165" s="39"/>
      <c r="H165" s="39"/>
      <c r="I165" s="39"/>
      <c r="J165" s="39"/>
      <c r="K165" s="39"/>
      <c r="L165" s="39"/>
      <c r="M165" s="39"/>
      <c r="N165" s="95"/>
      <c r="O165" s="39"/>
    </row>
    <row r="166" spans="1:15" x14ac:dyDescent="0.25">
      <c r="A166" s="39"/>
      <c r="B166" s="39"/>
      <c r="C166" s="39"/>
      <c r="D166" s="39"/>
      <c r="E166" s="40"/>
      <c r="F166" s="39"/>
      <c r="G166" s="39"/>
      <c r="H166" s="39"/>
      <c r="I166" s="39"/>
      <c r="J166" s="39"/>
      <c r="K166" s="39"/>
      <c r="L166" s="39"/>
      <c r="M166" s="39"/>
      <c r="N166" s="95"/>
      <c r="O166" s="39"/>
    </row>
    <row r="167" spans="1:15" x14ac:dyDescent="0.25">
      <c r="A167" s="39"/>
      <c r="B167" s="39"/>
      <c r="C167" s="39"/>
      <c r="D167" s="39"/>
      <c r="E167" s="40"/>
      <c r="F167" s="39"/>
      <c r="G167" s="39"/>
      <c r="H167" s="39"/>
      <c r="I167" s="39"/>
      <c r="J167" s="39"/>
      <c r="K167" s="39"/>
      <c r="L167" s="39"/>
      <c r="M167" s="39"/>
      <c r="N167" s="95"/>
      <c r="O167" s="39"/>
    </row>
    <row r="168" spans="1:15" x14ac:dyDescent="0.25">
      <c r="A168" s="39"/>
      <c r="B168" s="39"/>
      <c r="C168" s="39"/>
      <c r="D168" s="39"/>
      <c r="E168" s="40"/>
      <c r="F168" s="39"/>
      <c r="G168" s="39"/>
      <c r="H168" s="39"/>
      <c r="I168" s="39"/>
      <c r="J168" s="39"/>
      <c r="K168" s="39"/>
      <c r="L168" s="39"/>
      <c r="M168" s="39"/>
      <c r="N168" s="95"/>
      <c r="O168" s="39"/>
    </row>
    <row r="169" spans="1:15" x14ac:dyDescent="0.25">
      <c r="A169" s="39"/>
      <c r="B169" s="39"/>
      <c r="C169" s="39"/>
      <c r="D169" s="39"/>
      <c r="E169" s="40"/>
      <c r="F169" s="39"/>
      <c r="G169" s="39"/>
      <c r="H169" s="39"/>
      <c r="I169" s="39"/>
      <c r="J169" s="39"/>
      <c r="K169" s="39"/>
      <c r="L169" s="39"/>
      <c r="M169" s="39"/>
      <c r="N169" s="95"/>
      <c r="O169" s="39"/>
    </row>
    <row r="170" spans="1:15" x14ac:dyDescent="0.25">
      <c r="A170" s="39"/>
      <c r="B170" s="39"/>
      <c r="C170" s="39"/>
      <c r="D170" s="39"/>
      <c r="E170" s="40"/>
      <c r="F170" s="39"/>
      <c r="G170" s="39"/>
      <c r="H170" s="39"/>
      <c r="I170" s="39"/>
      <c r="J170" s="39"/>
      <c r="K170" s="39"/>
      <c r="L170" s="39"/>
      <c r="M170" s="39"/>
      <c r="N170" s="95"/>
      <c r="O170" s="39"/>
    </row>
    <row r="171" spans="1:15" x14ac:dyDescent="0.25">
      <c r="A171" s="39"/>
      <c r="B171" s="39"/>
      <c r="C171" s="39"/>
      <c r="D171" s="39"/>
      <c r="E171" s="40"/>
      <c r="F171" s="39"/>
      <c r="G171" s="39"/>
      <c r="H171" s="39"/>
      <c r="I171" s="39"/>
      <c r="J171" s="39"/>
      <c r="K171" s="39"/>
      <c r="L171" s="39"/>
      <c r="M171" s="39"/>
      <c r="N171" s="95"/>
      <c r="O171" s="39"/>
    </row>
    <row r="172" spans="1:15" x14ac:dyDescent="0.25">
      <c r="A172" s="39"/>
      <c r="B172" s="39"/>
      <c r="C172" s="39"/>
      <c r="D172" s="39"/>
      <c r="E172" s="40"/>
      <c r="F172" s="39"/>
      <c r="G172" s="39"/>
      <c r="H172" s="39"/>
      <c r="I172" s="39"/>
      <c r="J172" s="39"/>
      <c r="K172" s="39"/>
      <c r="L172" s="39"/>
      <c r="M172" s="39"/>
      <c r="N172" s="95"/>
      <c r="O172" s="39"/>
    </row>
    <row r="173" spans="1:15" x14ac:dyDescent="0.25">
      <c r="A173" s="39"/>
      <c r="B173" s="39"/>
      <c r="C173" s="39"/>
      <c r="D173" s="39"/>
      <c r="E173" s="40"/>
      <c r="F173" s="39"/>
      <c r="G173" s="39"/>
      <c r="H173" s="39"/>
      <c r="I173" s="39"/>
      <c r="J173" s="39"/>
      <c r="K173" s="39"/>
      <c r="L173" s="39"/>
      <c r="M173" s="39"/>
      <c r="N173" s="95"/>
      <c r="O173" s="39"/>
    </row>
    <row r="174" spans="1:15" x14ac:dyDescent="0.25">
      <c r="A174" s="39"/>
      <c r="B174" s="39"/>
      <c r="C174" s="39"/>
      <c r="D174" s="39"/>
      <c r="E174" s="40"/>
      <c r="F174" s="39"/>
      <c r="G174" s="39"/>
      <c r="H174" s="39"/>
      <c r="I174" s="39"/>
      <c r="J174" s="39"/>
      <c r="K174" s="39"/>
      <c r="L174" s="39"/>
      <c r="M174" s="39"/>
      <c r="N174" s="95"/>
      <c r="O174" s="39"/>
    </row>
    <row r="175" spans="1:15" x14ac:dyDescent="0.25">
      <c r="A175" s="39"/>
      <c r="B175" s="39"/>
      <c r="C175" s="39"/>
      <c r="D175" s="39"/>
      <c r="E175" s="40"/>
      <c r="F175" s="39"/>
      <c r="G175" s="39"/>
      <c r="H175" s="39"/>
      <c r="I175" s="39"/>
      <c r="J175" s="39"/>
      <c r="K175" s="39"/>
      <c r="L175" s="39"/>
      <c r="M175" s="39"/>
      <c r="N175" s="95"/>
      <c r="O175" s="39"/>
    </row>
    <row r="176" spans="1:15" x14ac:dyDescent="0.25">
      <c r="A176" s="39"/>
      <c r="B176" s="39"/>
      <c r="C176" s="39"/>
      <c r="D176" s="39"/>
      <c r="E176" s="40"/>
      <c r="F176" s="39"/>
      <c r="G176" s="39"/>
      <c r="H176" s="39"/>
      <c r="I176" s="39"/>
      <c r="J176" s="39"/>
      <c r="K176" s="39"/>
      <c r="L176" s="39"/>
      <c r="M176" s="39"/>
      <c r="N176" s="95"/>
      <c r="O176" s="39"/>
    </row>
    <row r="177" spans="1:15" x14ac:dyDescent="0.25">
      <c r="A177" s="39"/>
      <c r="B177" s="39"/>
      <c r="C177" s="39"/>
      <c r="D177" s="39"/>
      <c r="E177" s="40"/>
      <c r="F177" s="39"/>
      <c r="G177" s="39"/>
      <c r="H177" s="39"/>
      <c r="I177" s="39"/>
      <c r="J177" s="39"/>
      <c r="K177" s="39"/>
      <c r="L177" s="39"/>
      <c r="M177" s="39"/>
      <c r="N177" s="95"/>
      <c r="O177" s="39"/>
    </row>
    <row r="178" spans="1:15" x14ac:dyDescent="0.25">
      <c r="A178" s="39"/>
      <c r="B178" s="39"/>
      <c r="C178" s="39"/>
      <c r="D178" s="39"/>
      <c r="E178" s="40"/>
      <c r="F178" s="39"/>
      <c r="G178" s="39"/>
      <c r="H178" s="39"/>
      <c r="I178" s="39"/>
      <c r="J178" s="39"/>
      <c r="K178" s="39"/>
      <c r="L178" s="39"/>
      <c r="M178" s="39"/>
      <c r="N178" s="95"/>
      <c r="O178" s="39"/>
    </row>
    <row r="179" spans="1:15" x14ac:dyDescent="0.25">
      <c r="A179" s="39"/>
      <c r="B179" s="39"/>
      <c r="C179" s="39"/>
      <c r="D179" s="39"/>
      <c r="E179" s="40"/>
      <c r="F179" s="39"/>
      <c r="G179" s="39"/>
      <c r="H179" s="39"/>
      <c r="I179" s="39"/>
      <c r="J179" s="39"/>
      <c r="K179" s="39"/>
      <c r="L179" s="39"/>
      <c r="M179" s="39"/>
      <c r="N179" s="95"/>
      <c r="O179" s="39"/>
    </row>
    <row r="180" spans="1:15" x14ac:dyDescent="0.25">
      <c r="A180" s="39"/>
      <c r="B180" s="39"/>
      <c r="C180" s="39"/>
      <c r="D180" s="39"/>
      <c r="E180" s="40"/>
      <c r="F180" s="39"/>
      <c r="G180" s="39"/>
      <c r="H180" s="39"/>
      <c r="I180" s="39"/>
      <c r="J180" s="39"/>
      <c r="K180" s="39"/>
      <c r="L180" s="39"/>
      <c r="M180" s="39"/>
      <c r="N180" s="95"/>
      <c r="O180" s="39"/>
    </row>
    <row r="181" spans="1:15" x14ac:dyDescent="0.25">
      <c r="A181" s="39"/>
      <c r="B181" s="39"/>
      <c r="C181" s="39"/>
      <c r="D181" s="39"/>
      <c r="E181" s="40"/>
      <c r="F181" s="39"/>
      <c r="G181" s="39"/>
      <c r="H181" s="39"/>
      <c r="I181" s="39"/>
      <c r="J181" s="39"/>
      <c r="K181" s="39"/>
      <c r="L181" s="39"/>
      <c r="M181" s="39"/>
      <c r="N181" s="95"/>
      <c r="O181" s="39"/>
    </row>
    <row r="182" spans="1:15" x14ac:dyDescent="0.25">
      <c r="A182" s="39"/>
      <c r="B182" s="39"/>
      <c r="C182" s="39"/>
      <c r="D182" s="39"/>
      <c r="E182" s="40"/>
      <c r="F182" s="39"/>
      <c r="G182" s="39"/>
      <c r="H182" s="39"/>
      <c r="I182" s="39"/>
      <c r="J182" s="39"/>
      <c r="K182" s="39"/>
      <c r="L182" s="39"/>
      <c r="M182" s="39"/>
      <c r="N182" s="95"/>
      <c r="O182" s="39"/>
    </row>
    <row r="183" spans="1:15" x14ac:dyDescent="0.25">
      <c r="A183" s="39"/>
      <c r="B183" s="39"/>
      <c r="C183" s="39"/>
      <c r="D183" s="39"/>
      <c r="E183" s="40"/>
      <c r="F183" s="39"/>
      <c r="G183" s="39"/>
      <c r="H183" s="39"/>
      <c r="I183" s="39"/>
      <c r="J183" s="39"/>
      <c r="K183" s="39"/>
      <c r="L183" s="39"/>
      <c r="M183" s="39"/>
      <c r="N183" s="95"/>
      <c r="O183" s="39"/>
    </row>
    <row r="184" spans="1:15" x14ac:dyDescent="0.25">
      <c r="A184" s="39"/>
      <c r="B184" s="39"/>
      <c r="C184" s="39"/>
      <c r="D184" s="39"/>
      <c r="E184" s="40"/>
      <c r="F184" s="39"/>
      <c r="G184" s="39"/>
      <c r="H184" s="39"/>
      <c r="I184" s="39"/>
      <c r="J184" s="39"/>
      <c r="K184" s="39"/>
      <c r="L184" s="39"/>
      <c r="M184" s="39"/>
      <c r="N184" s="95"/>
      <c r="O184" s="39"/>
    </row>
    <row r="185" spans="1:15" x14ac:dyDescent="0.25">
      <c r="A185" s="39"/>
      <c r="B185" s="39"/>
      <c r="C185" s="39"/>
      <c r="D185" s="39"/>
      <c r="E185" s="40"/>
      <c r="F185" s="39"/>
      <c r="G185" s="39"/>
      <c r="H185" s="39"/>
      <c r="I185" s="39"/>
      <c r="J185" s="39"/>
      <c r="K185" s="39"/>
      <c r="L185" s="39"/>
      <c r="M185" s="39"/>
      <c r="N185" s="95"/>
      <c r="O185" s="39"/>
    </row>
    <row r="186" spans="1:15" x14ac:dyDescent="0.25">
      <c r="A186" s="39"/>
      <c r="B186" s="39"/>
      <c r="C186" s="39"/>
      <c r="D186" s="39"/>
      <c r="E186" s="40"/>
      <c r="F186" s="39"/>
      <c r="G186" s="39"/>
      <c r="H186" s="39"/>
      <c r="I186" s="39"/>
      <c r="J186" s="39"/>
      <c r="K186" s="39"/>
      <c r="L186" s="39"/>
      <c r="M186" s="39"/>
      <c r="N186" s="95"/>
      <c r="O186" s="39"/>
    </row>
    <row r="187" spans="1:15" x14ac:dyDescent="0.25">
      <c r="A187" s="39"/>
      <c r="B187" s="39"/>
      <c r="C187" s="39"/>
      <c r="D187" s="39"/>
      <c r="E187" s="40"/>
      <c r="F187" s="39"/>
      <c r="G187" s="39"/>
      <c r="H187" s="39"/>
      <c r="I187" s="39"/>
      <c r="J187" s="39"/>
      <c r="K187" s="39"/>
      <c r="L187" s="39"/>
      <c r="M187" s="39"/>
      <c r="N187" s="95"/>
      <c r="O187" s="39"/>
    </row>
    <row r="188" spans="1:15" x14ac:dyDescent="0.25">
      <c r="A188" s="39"/>
      <c r="B188" s="39"/>
      <c r="C188" s="39"/>
      <c r="D188" s="39"/>
      <c r="E188" s="40"/>
      <c r="F188" s="39"/>
      <c r="G188" s="39"/>
      <c r="H188" s="39"/>
      <c r="I188" s="39"/>
      <c r="J188" s="39"/>
      <c r="K188" s="39"/>
      <c r="L188" s="39"/>
      <c r="M188" s="39"/>
      <c r="N188" s="95"/>
      <c r="O188" s="39"/>
    </row>
    <row r="189" spans="1:15" x14ac:dyDescent="0.25">
      <c r="A189" s="39"/>
      <c r="B189" s="39"/>
      <c r="C189" s="39"/>
      <c r="D189" s="39"/>
      <c r="E189" s="40"/>
      <c r="F189" s="39"/>
      <c r="G189" s="39"/>
      <c r="H189" s="39"/>
      <c r="I189" s="39"/>
      <c r="J189" s="39"/>
      <c r="K189" s="39"/>
      <c r="L189" s="39"/>
      <c r="M189" s="39"/>
      <c r="N189" s="95"/>
      <c r="O189" s="39"/>
    </row>
    <row r="190" spans="1:15" x14ac:dyDescent="0.25">
      <c r="A190" s="39"/>
      <c r="B190" s="39"/>
      <c r="C190" s="39"/>
      <c r="D190" s="39"/>
      <c r="E190" s="40"/>
      <c r="F190" s="39"/>
      <c r="G190" s="39"/>
      <c r="H190" s="39"/>
      <c r="I190" s="39"/>
      <c r="J190" s="39"/>
      <c r="K190" s="39"/>
      <c r="L190" s="39"/>
      <c r="M190" s="39"/>
      <c r="N190" s="95"/>
      <c r="O190" s="39"/>
    </row>
    <row r="191" spans="1:15" x14ac:dyDescent="0.25">
      <c r="A191" s="39"/>
      <c r="B191" s="39"/>
      <c r="C191" s="39"/>
      <c r="D191" s="39"/>
      <c r="E191" s="40"/>
      <c r="F191" s="39"/>
      <c r="G191" s="39"/>
      <c r="H191" s="39"/>
      <c r="I191" s="39"/>
      <c r="J191" s="39"/>
      <c r="K191" s="39"/>
      <c r="L191" s="39"/>
      <c r="M191" s="39"/>
      <c r="N191" s="95"/>
      <c r="O191" s="39"/>
    </row>
    <row r="192" spans="1:15" x14ac:dyDescent="0.25">
      <c r="A192" s="39"/>
      <c r="B192" s="39"/>
      <c r="C192" s="39"/>
      <c r="D192" s="39"/>
      <c r="E192" s="40"/>
      <c r="F192" s="39"/>
      <c r="G192" s="39"/>
      <c r="H192" s="39"/>
      <c r="I192" s="39"/>
      <c r="J192" s="39"/>
      <c r="K192" s="39"/>
      <c r="L192" s="39"/>
      <c r="M192" s="39"/>
      <c r="N192" s="95"/>
      <c r="O192" s="39"/>
    </row>
    <row r="193" spans="1:15" x14ac:dyDescent="0.25">
      <c r="A193" s="39"/>
      <c r="B193" s="39"/>
      <c r="C193" s="39"/>
      <c r="D193" s="39"/>
      <c r="E193" s="40"/>
      <c r="F193" s="39"/>
      <c r="G193" s="39"/>
      <c r="H193" s="39"/>
      <c r="I193" s="39"/>
      <c r="J193" s="39"/>
      <c r="K193" s="39"/>
      <c r="L193" s="39"/>
      <c r="M193" s="39"/>
      <c r="N193" s="95"/>
      <c r="O193" s="39"/>
    </row>
    <row r="194" spans="1:15" x14ac:dyDescent="0.25">
      <c r="A194" s="39"/>
      <c r="B194" s="39"/>
      <c r="C194" s="39"/>
      <c r="D194" s="39"/>
      <c r="E194" s="40"/>
      <c r="F194" s="39"/>
      <c r="G194" s="39"/>
      <c r="H194" s="39"/>
      <c r="I194" s="39"/>
      <c r="J194" s="39"/>
      <c r="K194" s="39"/>
      <c r="L194" s="39"/>
      <c r="M194" s="39"/>
      <c r="N194" s="95"/>
      <c r="O194" s="39"/>
    </row>
    <row r="195" spans="1:15" x14ac:dyDescent="0.25">
      <c r="A195" s="39"/>
      <c r="B195" s="39"/>
      <c r="C195" s="39"/>
      <c r="D195" s="39"/>
      <c r="E195" s="40"/>
      <c r="F195" s="39"/>
      <c r="G195" s="39"/>
      <c r="H195" s="39"/>
      <c r="I195" s="39"/>
      <c r="J195" s="39"/>
      <c r="K195" s="39"/>
      <c r="L195" s="39"/>
      <c r="M195" s="39"/>
      <c r="N195" s="95"/>
      <c r="O195" s="39"/>
    </row>
    <row r="196" spans="1:15" x14ac:dyDescent="0.25">
      <c r="A196" s="39"/>
      <c r="B196" s="39"/>
      <c r="C196" s="39"/>
      <c r="D196" s="39"/>
      <c r="E196" s="40"/>
      <c r="F196" s="39"/>
      <c r="G196" s="39"/>
      <c r="H196" s="39"/>
      <c r="I196" s="39"/>
      <c r="J196" s="39"/>
      <c r="K196" s="39"/>
      <c r="L196" s="39"/>
      <c r="M196" s="39"/>
      <c r="N196" s="95"/>
      <c r="O196" s="39"/>
    </row>
    <row r="197" spans="1:15" x14ac:dyDescent="0.25">
      <c r="A197" s="39"/>
      <c r="B197" s="39"/>
      <c r="C197" s="39"/>
      <c r="D197" s="39"/>
      <c r="E197" s="40"/>
      <c r="F197" s="39"/>
      <c r="G197" s="39"/>
      <c r="H197" s="39"/>
      <c r="I197" s="39"/>
      <c r="J197" s="39"/>
      <c r="K197" s="39"/>
      <c r="L197" s="39"/>
      <c r="M197" s="39"/>
      <c r="N197" s="95"/>
      <c r="O197" s="39"/>
    </row>
    <row r="198" spans="1:15" x14ac:dyDescent="0.25">
      <c r="A198" s="39"/>
      <c r="B198" s="39"/>
      <c r="C198" s="39"/>
      <c r="D198" s="39"/>
      <c r="E198" s="40"/>
      <c r="F198" s="39"/>
      <c r="G198" s="39"/>
      <c r="H198" s="39"/>
      <c r="I198" s="39"/>
      <c r="J198" s="39"/>
      <c r="K198" s="39"/>
      <c r="L198" s="39"/>
      <c r="M198" s="39"/>
      <c r="N198" s="95"/>
      <c r="O198" s="39"/>
    </row>
    <row r="199" spans="1:15" x14ac:dyDescent="0.25">
      <c r="A199" s="39"/>
      <c r="B199" s="39"/>
      <c r="C199" s="39"/>
      <c r="D199" s="39"/>
      <c r="E199" s="40"/>
      <c r="F199" s="39"/>
      <c r="G199" s="39"/>
      <c r="H199" s="39"/>
      <c r="I199" s="39"/>
      <c r="J199" s="39"/>
      <c r="K199" s="39"/>
      <c r="L199" s="39"/>
      <c r="M199" s="39"/>
      <c r="N199" s="95"/>
      <c r="O199" s="39"/>
    </row>
    <row r="200" spans="1:15" x14ac:dyDescent="0.25">
      <c r="A200" s="39"/>
      <c r="B200" s="39"/>
      <c r="C200" s="39"/>
      <c r="D200" s="39"/>
      <c r="E200" s="40"/>
      <c r="F200" s="39"/>
      <c r="G200" s="39"/>
      <c r="H200" s="39"/>
      <c r="I200" s="39"/>
      <c r="J200" s="39"/>
      <c r="K200" s="39"/>
      <c r="L200" s="39"/>
      <c r="M200" s="39"/>
      <c r="N200" s="95"/>
      <c r="O200" s="39"/>
    </row>
    <row r="201" spans="1:15" x14ac:dyDescent="0.25">
      <c r="A201" s="39"/>
      <c r="B201" s="39"/>
      <c r="C201" s="39"/>
      <c r="D201" s="39"/>
      <c r="E201" s="40"/>
      <c r="F201" s="39"/>
      <c r="G201" s="39"/>
      <c r="H201" s="39"/>
      <c r="I201" s="39"/>
      <c r="J201" s="39"/>
      <c r="K201" s="39"/>
      <c r="L201" s="39"/>
      <c r="M201" s="39"/>
      <c r="N201" s="95"/>
      <c r="O201" s="39"/>
    </row>
    <row r="202" spans="1:15" x14ac:dyDescent="0.25">
      <c r="A202" s="39"/>
      <c r="B202" s="39"/>
      <c r="C202" s="39"/>
      <c r="D202" s="39"/>
      <c r="E202" s="40"/>
      <c r="F202" s="39"/>
      <c r="G202" s="39"/>
      <c r="H202" s="39"/>
      <c r="I202" s="39"/>
      <c r="J202" s="39"/>
      <c r="K202" s="39"/>
      <c r="L202" s="39"/>
      <c r="M202" s="39"/>
      <c r="N202" s="95"/>
      <c r="O202" s="39"/>
    </row>
    <row r="203" spans="1:15" x14ac:dyDescent="0.25">
      <c r="A203" s="39"/>
      <c r="B203" s="39"/>
      <c r="C203" s="39"/>
      <c r="D203" s="39"/>
      <c r="E203" s="40"/>
      <c r="F203" s="39"/>
      <c r="G203" s="39"/>
      <c r="H203" s="39"/>
      <c r="I203" s="39"/>
      <c r="J203" s="39"/>
      <c r="K203" s="39"/>
      <c r="L203" s="39"/>
      <c r="M203" s="39"/>
      <c r="N203" s="95"/>
      <c r="O203" s="39"/>
    </row>
    <row r="204" spans="1:15" x14ac:dyDescent="0.25">
      <c r="A204" s="39"/>
      <c r="B204" s="39"/>
      <c r="C204" s="39"/>
      <c r="D204" s="39"/>
      <c r="E204" s="40"/>
      <c r="F204" s="39"/>
      <c r="G204" s="39"/>
      <c r="H204" s="39"/>
      <c r="I204" s="39"/>
      <c r="J204" s="39"/>
      <c r="K204" s="39"/>
      <c r="L204" s="39"/>
      <c r="M204" s="39"/>
      <c r="N204" s="95"/>
      <c r="O204" s="39"/>
    </row>
    <row r="205" spans="1:15" x14ac:dyDescent="0.25">
      <c r="A205" s="39"/>
      <c r="B205" s="39"/>
      <c r="C205" s="39"/>
      <c r="D205" s="39"/>
      <c r="E205" s="40"/>
      <c r="F205" s="39"/>
      <c r="G205" s="39"/>
      <c r="H205" s="39"/>
      <c r="I205" s="39"/>
      <c r="J205" s="39"/>
      <c r="K205" s="39"/>
      <c r="L205" s="39"/>
      <c r="M205" s="39"/>
      <c r="N205" s="95"/>
      <c r="O205" s="39"/>
    </row>
    <row r="206" spans="1:15" x14ac:dyDescent="0.25">
      <c r="A206" s="39"/>
      <c r="B206" s="39"/>
      <c r="C206" s="39"/>
      <c r="D206" s="39"/>
      <c r="E206" s="40"/>
      <c r="F206" s="39"/>
      <c r="G206" s="39"/>
      <c r="H206" s="39"/>
      <c r="I206" s="39"/>
      <c r="J206" s="39"/>
      <c r="K206" s="39"/>
      <c r="L206" s="39"/>
      <c r="M206" s="39"/>
      <c r="N206" s="95"/>
      <c r="O206" s="39"/>
    </row>
    <row r="207" spans="1:15" x14ac:dyDescent="0.25">
      <c r="A207" s="39"/>
      <c r="B207" s="39"/>
      <c r="C207" s="39"/>
      <c r="D207" s="39"/>
      <c r="E207" s="40"/>
      <c r="F207" s="39"/>
      <c r="G207" s="39"/>
      <c r="H207" s="39"/>
      <c r="I207" s="39"/>
      <c r="J207" s="39"/>
      <c r="K207" s="39"/>
      <c r="L207" s="39"/>
      <c r="M207" s="39"/>
      <c r="N207" s="95"/>
      <c r="O207" s="39"/>
    </row>
    <row r="208" spans="1:15" x14ac:dyDescent="0.25">
      <c r="A208" s="39"/>
      <c r="B208" s="39"/>
      <c r="C208" s="39"/>
      <c r="D208" s="39"/>
      <c r="E208" s="40"/>
      <c r="F208" s="39"/>
      <c r="G208" s="39"/>
      <c r="H208" s="39"/>
      <c r="I208" s="39"/>
      <c r="J208" s="39"/>
      <c r="K208" s="39"/>
      <c r="L208" s="39"/>
      <c r="M208" s="39"/>
      <c r="N208" s="95"/>
      <c r="O208" s="39"/>
    </row>
    <row r="209" spans="1:15" x14ac:dyDescent="0.25">
      <c r="A209" s="39"/>
      <c r="B209" s="39"/>
      <c r="C209" s="39"/>
      <c r="D209" s="39"/>
      <c r="E209" s="40"/>
      <c r="F209" s="39"/>
      <c r="G209" s="39"/>
      <c r="H209" s="39"/>
      <c r="I209" s="39"/>
      <c r="J209" s="39"/>
      <c r="K209" s="39"/>
      <c r="L209" s="39"/>
      <c r="M209" s="39"/>
      <c r="N209" s="95"/>
      <c r="O209" s="39"/>
    </row>
    <row r="210" spans="1:15" x14ac:dyDescent="0.25">
      <c r="A210" s="39"/>
      <c r="B210" s="39"/>
      <c r="C210" s="39"/>
      <c r="D210" s="39"/>
      <c r="E210" s="40"/>
      <c r="F210" s="39"/>
      <c r="G210" s="39"/>
      <c r="H210" s="39"/>
      <c r="I210" s="39"/>
      <c r="J210" s="39"/>
      <c r="K210" s="39"/>
      <c r="L210" s="39"/>
      <c r="M210" s="39"/>
      <c r="N210" s="95"/>
      <c r="O210" s="39"/>
    </row>
    <row r="211" spans="1:15" x14ac:dyDescent="0.25">
      <c r="A211" s="39"/>
      <c r="B211" s="39"/>
      <c r="C211" s="39"/>
      <c r="D211" s="39"/>
      <c r="E211" s="40"/>
      <c r="F211" s="39"/>
      <c r="G211" s="39"/>
      <c r="H211" s="39"/>
      <c r="I211" s="39"/>
      <c r="J211" s="39"/>
      <c r="K211" s="39"/>
      <c r="L211" s="39"/>
      <c r="M211" s="39"/>
      <c r="N211" s="95"/>
      <c r="O211" s="39"/>
    </row>
    <row r="212" spans="1:15" x14ac:dyDescent="0.25">
      <c r="A212" s="39"/>
      <c r="B212" s="39"/>
      <c r="C212" s="39"/>
      <c r="D212" s="39"/>
      <c r="E212" s="40"/>
      <c r="F212" s="39"/>
      <c r="G212" s="39"/>
      <c r="H212" s="39"/>
      <c r="I212" s="39"/>
      <c r="J212" s="39"/>
      <c r="K212" s="39"/>
      <c r="L212" s="39"/>
      <c r="M212" s="39"/>
      <c r="N212" s="95"/>
      <c r="O212" s="39"/>
    </row>
    <row r="213" spans="1:15" x14ac:dyDescent="0.25">
      <c r="A213" s="39"/>
      <c r="B213" s="39"/>
      <c r="C213" s="39"/>
      <c r="D213" s="39"/>
      <c r="E213" s="40"/>
      <c r="F213" s="39"/>
      <c r="G213" s="39"/>
      <c r="H213" s="39"/>
      <c r="I213" s="39"/>
      <c r="J213" s="39"/>
      <c r="K213" s="39"/>
      <c r="L213" s="39"/>
      <c r="M213" s="39"/>
      <c r="N213" s="95"/>
      <c r="O213" s="39"/>
    </row>
    <row r="214" spans="1:15" x14ac:dyDescent="0.25">
      <c r="A214" s="39"/>
      <c r="B214" s="39"/>
      <c r="C214" s="39"/>
      <c r="D214" s="39"/>
      <c r="E214" s="40"/>
      <c r="F214" s="39"/>
      <c r="G214" s="39"/>
      <c r="H214" s="39"/>
      <c r="I214" s="39"/>
      <c r="J214" s="39"/>
      <c r="K214" s="39"/>
      <c r="L214" s="39"/>
      <c r="M214" s="39"/>
      <c r="N214" s="95"/>
      <c r="O214" s="39"/>
    </row>
    <row r="215" spans="1:15" x14ac:dyDescent="0.25">
      <c r="A215" s="39"/>
      <c r="B215" s="39"/>
      <c r="C215" s="39"/>
      <c r="D215" s="39"/>
      <c r="E215" s="40"/>
      <c r="F215" s="39"/>
      <c r="G215" s="39"/>
      <c r="H215" s="39"/>
      <c r="I215" s="39"/>
      <c r="J215" s="39"/>
      <c r="K215" s="39"/>
      <c r="L215" s="39"/>
      <c r="M215" s="39"/>
      <c r="N215" s="95"/>
      <c r="O215" s="39"/>
    </row>
    <row r="216" spans="1:15" x14ac:dyDescent="0.25">
      <c r="A216" s="39"/>
      <c r="B216" s="39"/>
      <c r="C216" s="39"/>
      <c r="D216" s="39"/>
      <c r="E216" s="40"/>
      <c r="F216" s="39"/>
      <c r="G216" s="39"/>
      <c r="H216" s="39"/>
      <c r="I216" s="39"/>
      <c r="J216" s="39"/>
      <c r="K216" s="39"/>
      <c r="L216" s="39"/>
      <c r="M216" s="39"/>
      <c r="N216" s="95"/>
      <c r="O216" s="39"/>
    </row>
    <row r="217" spans="1:15" x14ac:dyDescent="0.25">
      <c r="A217" s="39"/>
      <c r="B217" s="39"/>
      <c r="C217" s="39"/>
      <c r="D217" s="39"/>
      <c r="E217" s="40"/>
      <c r="F217" s="39"/>
      <c r="G217" s="39"/>
      <c r="H217" s="39"/>
      <c r="I217" s="39"/>
      <c r="J217" s="39"/>
      <c r="K217" s="39"/>
      <c r="L217" s="39"/>
      <c r="M217" s="39"/>
      <c r="N217" s="95"/>
      <c r="O217" s="39"/>
    </row>
    <row r="218" spans="1:15" x14ac:dyDescent="0.25">
      <c r="A218" s="39"/>
      <c r="B218" s="39"/>
      <c r="C218" s="39"/>
      <c r="D218" s="39"/>
      <c r="E218" s="40"/>
      <c r="F218" s="39"/>
      <c r="G218" s="39"/>
      <c r="H218" s="39"/>
      <c r="I218" s="39"/>
      <c r="J218" s="39"/>
      <c r="K218" s="39"/>
      <c r="L218" s="39"/>
      <c r="M218" s="39"/>
      <c r="N218" s="95"/>
      <c r="O218" s="39"/>
    </row>
    <row r="219" spans="1:15" x14ac:dyDescent="0.25">
      <c r="A219" s="39"/>
      <c r="B219" s="39"/>
      <c r="C219" s="39"/>
      <c r="D219" s="39"/>
      <c r="E219" s="40"/>
      <c r="F219" s="39"/>
      <c r="G219" s="39"/>
      <c r="H219" s="39"/>
      <c r="I219" s="39"/>
      <c r="J219" s="39"/>
      <c r="K219" s="39"/>
      <c r="L219" s="39"/>
      <c r="M219" s="39"/>
      <c r="N219" s="95"/>
      <c r="O219" s="39"/>
    </row>
    <row r="220" spans="1:15" x14ac:dyDescent="0.25">
      <c r="A220" s="39"/>
      <c r="B220" s="39"/>
      <c r="C220" s="39"/>
      <c r="D220" s="39"/>
      <c r="E220" s="40"/>
      <c r="F220" s="39"/>
      <c r="G220" s="39"/>
      <c r="H220" s="39"/>
      <c r="I220" s="39"/>
      <c r="J220" s="39"/>
      <c r="K220" s="39"/>
      <c r="L220" s="39"/>
      <c r="M220" s="39"/>
      <c r="N220" s="95"/>
      <c r="O220" s="39"/>
    </row>
    <row r="221" spans="1:15" x14ac:dyDescent="0.25">
      <c r="A221" s="39"/>
      <c r="B221" s="39"/>
      <c r="C221" s="39"/>
      <c r="D221" s="39"/>
      <c r="E221" s="40"/>
      <c r="F221" s="39"/>
      <c r="G221" s="39"/>
      <c r="H221" s="39"/>
      <c r="I221" s="39"/>
      <c r="J221" s="39"/>
      <c r="K221" s="39"/>
      <c r="L221" s="39"/>
      <c r="M221" s="39"/>
      <c r="N221" s="95"/>
      <c r="O221" s="39"/>
    </row>
    <row r="222" spans="1:15" x14ac:dyDescent="0.25">
      <c r="A222" s="39"/>
      <c r="B222" s="39"/>
      <c r="C222" s="39"/>
      <c r="D222" s="39"/>
      <c r="E222" s="40"/>
      <c r="F222" s="39"/>
      <c r="G222" s="39"/>
      <c r="H222" s="39"/>
      <c r="I222" s="39"/>
      <c r="J222" s="39"/>
      <c r="K222" s="39"/>
      <c r="L222" s="39"/>
      <c r="M222" s="39"/>
      <c r="N222" s="95"/>
      <c r="O222" s="39"/>
    </row>
    <row r="223" spans="1:15" x14ac:dyDescent="0.25">
      <c r="A223" s="39"/>
      <c r="B223" s="39"/>
      <c r="C223" s="39"/>
      <c r="D223" s="39"/>
      <c r="E223" s="40"/>
      <c r="F223" s="39"/>
      <c r="G223" s="39"/>
      <c r="H223" s="39"/>
      <c r="I223" s="39"/>
      <c r="J223" s="39"/>
      <c r="K223" s="39"/>
      <c r="L223" s="39"/>
      <c r="M223" s="39"/>
      <c r="N223" s="95"/>
      <c r="O223" s="39"/>
    </row>
    <row r="224" spans="1:15" x14ac:dyDescent="0.25">
      <c r="A224" s="39"/>
      <c r="B224" s="39"/>
      <c r="C224" s="39"/>
      <c r="D224" s="39"/>
      <c r="E224" s="40"/>
      <c r="F224" s="39"/>
      <c r="G224" s="39"/>
      <c r="H224" s="39"/>
      <c r="I224" s="39"/>
      <c r="J224" s="39"/>
      <c r="K224" s="39"/>
      <c r="L224" s="39"/>
      <c r="M224" s="39"/>
      <c r="N224" s="95"/>
      <c r="O224" s="39"/>
    </row>
    <row r="225" spans="1:15" x14ac:dyDescent="0.25">
      <c r="A225" s="39"/>
      <c r="B225" s="39"/>
      <c r="C225" s="39"/>
      <c r="D225" s="39"/>
      <c r="E225" s="40"/>
      <c r="F225" s="39"/>
      <c r="G225" s="39"/>
      <c r="H225" s="39"/>
      <c r="I225" s="39"/>
      <c r="J225" s="39"/>
      <c r="K225" s="39"/>
      <c r="L225" s="39"/>
      <c r="M225" s="39"/>
      <c r="N225" s="95"/>
      <c r="O225" s="39"/>
    </row>
    <row r="226" spans="1:15" x14ac:dyDescent="0.25">
      <c r="A226" s="39"/>
      <c r="B226" s="39"/>
      <c r="C226" s="39"/>
      <c r="D226" s="39"/>
      <c r="E226" s="40"/>
      <c r="F226" s="39"/>
      <c r="G226" s="39"/>
      <c r="H226" s="39"/>
      <c r="I226" s="39"/>
      <c r="J226" s="39"/>
      <c r="K226" s="39"/>
      <c r="L226" s="39"/>
      <c r="M226" s="39"/>
      <c r="N226" s="95"/>
      <c r="O226" s="39"/>
    </row>
    <row r="227" spans="1:15" x14ac:dyDescent="0.25">
      <c r="A227" s="39"/>
      <c r="B227" s="39"/>
      <c r="C227" s="39"/>
      <c r="D227" s="39"/>
      <c r="E227" s="40"/>
      <c r="F227" s="39"/>
      <c r="G227" s="39"/>
      <c r="H227" s="39"/>
      <c r="I227" s="39"/>
      <c r="J227" s="39"/>
      <c r="K227" s="39"/>
      <c r="L227" s="39"/>
      <c r="M227" s="39"/>
      <c r="N227" s="95"/>
      <c r="O227" s="39"/>
    </row>
    <row r="228" spans="1:15" x14ac:dyDescent="0.25">
      <c r="A228" s="39"/>
      <c r="B228" s="39"/>
      <c r="C228" s="39"/>
      <c r="D228" s="39"/>
      <c r="E228" s="40"/>
      <c r="F228" s="39"/>
      <c r="G228" s="39"/>
      <c r="H228" s="39"/>
      <c r="I228" s="39"/>
      <c r="J228" s="39"/>
      <c r="K228" s="39"/>
      <c r="L228" s="39"/>
      <c r="M228" s="39"/>
      <c r="N228" s="95"/>
      <c r="O228" s="39"/>
    </row>
    <row r="229" spans="1:15" x14ac:dyDescent="0.25">
      <c r="A229" s="39"/>
      <c r="B229" s="39"/>
      <c r="C229" s="39"/>
      <c r="D229" s="39"/>
      <c r="E229" s="40"/>
      <c r="F229" s="39"/>
      <c r="G229" s="39"/>
      <c r="H229" s="39"/>
      <c r="I229" s="39"/>
      <c r="J229" s="39"/>
      <c r="K229" s="39"/>
      <c r="L229" s="39"/>
      <c r="M229" s="39"/>
      <c r="N229" s="95"/>
      <c r="O229" s="39"/>
    </row>
    <row r="230" spans="1:15" x14ac:dyDescent="0.25">
      <c r="A230" s="39"/>
      <c r="B230" s="39"/>
      <c r="C230" s="39"/>
      <c r="D230" s="39"/>
      <c r="E230" s="40"/>
      <c r="F230" s="39"/>
      <c r="G230" s="39"/>
      <c r="H230" s="39"/>
      <c r="I230" s="39"/>
      <c r="J230" s="39"/>
      <c r="K230" s="39"/>
      <c r="L230" s="39"/>
      <c r="M230" s="39"/>
      <c r="N230" s="95"/>
      <c r="O230" s="39"/>
    </row>
    <row r="231" spans="1:15" x14ac:dyDescent="0.25">
      <c r="A231" s="39"/>
      <c r="B231" s="39"/>
      <c r="C231" s="39"/>
      <c r="D231" s="39"/>
      <c r="E231" s="40"/>
      <c r="F231" s="39"/>
      <c r="G231" s="39"/>
      <c r="H231" s="39"/>
      <c r="I231" s="39"/>
      <c r="J231" s="39"/>
      <c r="K231" s="39"/>
      <c r="L231" s="39"/>
      <c r="M231" s="39"/>
      <c r="N231" s="95"/>
      <c r="O231" s="39"/>
    </row>
    <row r="232" spans="1:15" x14ac:dyDescent="0.25">
      <c r="A232" s="39"/>
      <c r="B232" s="39"/>
      <c r="C232" s="39"/>
      <c r="D232" s="39"/>
      <c r="E232" s="40"/>
      <c r="F232" s="39"/>
      <c r="G232" s="39"/>
      <c r="H232" s="39"/>
      <c r="I232" s="39"/>
      <c r="J232" s="39"/>
      <c r="K232" s="39"/>
      <c r="L232" s="39"/>
      <c r="M232" s="39"/>
      <c r="N232" s="95"/>
      <c r="O232" s="39"/>
    </row>
    <row r="233" spans="1:15" x14ac:dyDescent="0.25">
      <c r="A233" s="39"/>
      <c r="B233" s="39"/>
      <c r="C233" s="39"/>
      <c r="D233" s="39"/>
      <c r="E233" s="40"/>
      <c r="F233" s="39"/>
      <c r="G233" s="39"/>
      <c r="H233" s="39"/>
      <c r="I233" s="39"/>
      <c r="J233" s="39"/>
      <c r="K233" s="39"/>
      <c r="L233" s="39"/>
      <c r="M233" s="39"/>
      <c r="N233" s="95"/>
      <c r="O233" s="39"/>
    </row>
    <row r="234" spans="1:15" x14ac:dyDescent="0.25">
      <c r="A234" s="39"/>
      <c r="B234" s="39"/>
      <c r="C234" s="39"/>
      <c r="D234" s="39"/>
      <c r="E234" s="40"/>
      <c r="F234" s="39"/>
      <c r="G234" s="39"/>
      <c r="H234" s="39"/>
      <c r="I234" s="39"/>
      <c r="J234" s="39"/>
      <c r="K234" s="39"/>
      <c r="L234" s="39"/>
      <c r="M234" s="39"/>
      <c r="N234" s="95"/>
      <c r="O234" s="39"/>
    </row>
    <row r="235" spans="1:15" x14ac:dyDescent="0.25">
      <c r="A235" s="39"/>
      <c r="B235" s="39"/>
      <c r="C235" s="39"/>
      <c r="D235" s="39"/>
      <c r="E235" s="40"/>
      <c r="F235" s="39"/>
      <c r="G235" s="39"/>
      <c r="H235" s="39"/>
      <c r="I235" s="39"/>
      <c r="J235" s="39"/>
      <c r="K235" s="39"/>
      <c r="L235" s="39"/>
      <c r="M235" s="39"/>
      <c r="N235" s="95"/>
      <c r="O235" s="39"/>
    </row>
    <row r="236" spans="1:15" x14ac:dyDescent="0.25">
      <c r="A236" s="39"/>
      <c r="B236" s="39"/>
      <c r="C236" s="39"/>
      <c r="D236" s="39"/>
      <c r="E236" s="40"/>
      <c r="F236" s="39"/>
      <c r="G236" s="39"/>
      <c r="H236" s="39"/>
      <c r="I236" s="39"/>
      <c r="J236" s="39"/>
      <c r="K236" s="39"/>
      <c r="L236" s="39"/>
      <c r="M236" s="39"/>
      <c r="N236" s="95"/>
      <c r="O236" s="39"/>
    </row>
    <row r="237" spans="1:15" x14ac:dyDescent="0.25">
      <c r="A237" s="39"/>
      <c r="B237" s="39"/>
      <c r="C237" s="39"/>
      <c r="D237" s="39"/>
      <c r="E237" s="40"/>
      <c r="F237" s="39"/>
      <c r="G237" s="39"/>
      <c r="H237" s="39"/>
      <c r="I237" s="39"/>
      <c r="J237" s="39"/>
      <c r="K237" s="39"/>
      <c r="L237" s="39"/>
      <c r="M237" s="39"/>
      <c r="N237" s="95"/>
      <c r="O237" s="39"/>
    </row>
    <row r="238" spans="1:15" x14ac:dyDescent="0.25">
      <c r="A238" s="39"/>
      <c r="B238" s="39"/>
      <c r="C238" s="39"/>
      <c r="D238" s="39"/>
      <c r="E238" s="40"/>
      <c r="F238" s="39"/>
      <c r="G238" s="39"/>
      <c r="H238" s="39"/>
      <c r="I238" s="39"/>
      <c r="J238" s="39"/>
      <c r="K238" s="39"/>
      <c r="L238" s="39"/>
      <c r="M238" s="39"/>
      <c r="N238" s="95"/>
      <c r="O238" s="39"/>
    </row>
    <row r="239" spans="1:15" x14ac:dyDescent="0.25">
      <c r="A239" s="39"/>
      <c r="B239" s="39"/>
      <c r="C239" s="39"/>
      <c r="D239" s="39"/>
      <c r="E239" s="40"/>
      <c r="F239" s="39"/>
      <c r="G239" s="39"/>
      <c r="H239" s="39"/>
      <c r="I239" s="39"/>
      <c r="J239" s="39"/>
      <c r="K239" s="39"/>
      <c r="L239" s="39"/>
      <c r="M239" s="39"/>
      <c r="N239" s="95"/>
      <c r="O239" s="39"/>
    </row>
    <row r="240" spans="1:15" x14ac:dyDescent="0.25">
      <c r="A240" s="39"/>
      <c r="B240" s="39"/>
      <c r="C240" s="39"/>
      <c r="D240" s="39"/>
      <c r="E240" s="40"/>
      <c r="F240" s="39"/>
      <c r="G240" s="39"/>
      <c r="H240" s="39"/>
      <c r="I240" s="39"/>
      <c r="J240" s="39"/>
      <c r="K240" s="39"/>
      <c r="L240" s="39"/>
      <c r="M240" s="39"/>
      <c r="N240" s="95"/>
      <c r="O240" s="39"/>
    </row>
    <row r="241" spans="1:15" x14ac:dyDescent="0.25">
      <c r="A241" s="39"/>
      <c r="B241" s="39"/>
      <c r="C241" s="39"/>
      <c r="D241" s="39"/>
      <c r="E241" s="40"/>
      <c r="F241" s="39"/>
      <c r="G241" s="39"/>
      <c r="H241" s="39"/>
      <c r="I241" s="39"/>
      <c r="J241" s="39"/>
      <c r="K241" s="39"/>
      <c r="L241" s="39"/>
      <c r="M241" s="39"/>
      <c r="N241" s="95"/>
      <c r="O241" s="39"/>
    </row>
    <row r="242" spans="1:15" x14ac:dyDescent="0.25">
      <c r="A242" s="39"/>
      <c r="B242" s="39"/>
      <c r="C242" s="39"/>
      <c r="D242" s="39"/>
      <c r="E242" s="40"/>
      <c r="F242" s="39"/>
      <c r="G242" s="39"/>
      <c r="H242" s="39"/>
      <c r="I242" s="39"/>
      <c r="J242" s="39"/>
      <c r="K242" s="39"/>
      <c r="L242" s="39"/>
      <c r="M242" s="39"/>
      <c r="N242" s="95"/>
      <c r="O242" s="39"/>
    </row>
    <row r="243" spans="1:15" x14ac:dyDescent="0.25">
      <c r="A243" s="39"/>
      <c r="B243" s="39"/>
      <c r="C243" s="39"/>
      <c r="D243" s="39"/>
      <c r="E243" s="40"/>
      <c r="F243" s="39"/>
      <c r="G243" s="39"/>
      <c r="H243" s="39"/>
      <c r="I243" s="39"/>
      <c r="J243" s="39"/>
      <c r="K243" s="39"/>
      <c r="L243" s="39"/>
      <c r="M243" s="39"/>
      <c r="N243" s="95"/>
      <c r="O243" s="39"/>
    </row>
    <row r="244" spans="1:15" x14ac:dyDescent="0.25">
      <c r="A244" s="39"/>
      <c r="B244" s="39"/>
      <c r="C244" s="39"/>
      <c r="D244" s="39"/>
      <c r="E244" s="40"/>
      <c r="F244" s="39"/>
      <c r="G244" s="39"/>
      <c r="H244" s="39"/>
      <c r="I244" s="39"/>
      <c r="J244" s="39"/>
      <c r="K244" s="39"/>
      <c r="L244" s="39"/>
      <c r="M244" s="39"/>
      <c r="N244" s="95"/>
      <c r="O244" s="39"/>
    </row>
    <row r="245" spans="1:15" x14ac:dyDescent="0.25">
      <c r="A245" s="39"/>
      <c r="B245" s="39"/>
      <c r="C245" s="39"/>
      <c r="D245" s="39"/>
      <c r="E245" s="40"/>
      <c r="F245" s="39"/>
      <c r="G245" s="39"/>
      <c r="H245" s="39"/>
      <c r="I245" s="39"/>
      <c r="J245" s="39"/>
      <c r="K245" s="39"/>
      <c r="L245" s="39"/>
      <c r="M245" s="39"/>
      <c r="N245" s="95"/>
      <c r="O245" s="39"/>
    </row>
    <row r="246" spans="1:15" x14ac:dyDescent="0.25">
      <c r="A246" s="39"/>
      <c r="B246" s="39"/>
      <c r="C246" s="39"/>
      <c r="D246" s="39"/>
      <c r="E246" s="40"/>
      <c r="F246" s="39"/>
      <c r="G246" s="39"/>
      <c r="H246" s="39"/>
      <c r="I246" s="39"/>
      <c r="J246" s="39"/>
      <c r="K246" s="39"/>
      <c r="L246" s="39"/>
      <c r="M246" s="39"/>
      <c r="N246" s="95"/>
      <c r="O246" s="39"/>
    </row>
    <row r="247" spans="1:15" x14ac:dyDescent="0.25">
      <c r="A247" s="39"/>
      <c r="B247" s="39"/>
      <c r="C247" s="39"/>
      <c r="D247" s="39"/>
      <c r="E247" s="40"/>
      <c r="F247" s="39"/>
      <c r="G247" s="39"/>
      <c r="H247" s="39"/>
      <c r="I247" s="39"/>
      <c r="J247" s="39"/>
      <c r="K247" s="39"/>
      <c r="L247" s="39"/>
      <c r="M247" s="39"/>
      <c r="N247" s="95"/>
      <c r="O247" s="39"/>
    </row>
    <row r="248" spans="1:15" x14ac:dyDescent="0.25">
      <c r="A248" s="39"/>
      <c r="B248" s="39"/>
      <c r="C248" s="39"/>
      <c r="D248" s="39"/>
      <c r="E248" s="40"/>
      <c r="F248" s="39"/>
      <c r="G248" s="39"/>
      <c r="H248" s="39"/>
      <c r="I248" s="39"/>
      <c r="J248" s="39"/>
      <c r="K248" s="39"/>
      <c r="L248" s="39"/>
      <c r="M248" s="39"/>
      <c r="N248" s="95"/>
      <c r="O248" s="39"/>
    </row>
    <row r="249" spans="1:15" x14ac:dyDescent="0.25">
      <c r="A249" s="39"/>
      <c r="B249" s="39"/>
      <c r="C249" s="39"/>
      <c r="D249" s="39"/>
      <c r="E249" s="40"/>
      <c r="F249" s="39"/>
      <c r="G249" s="39"/>
      <c r="H249" s="39"/>
      <c r="I249" s="39"/>
      <c r="J249" s="39"/>
      <c r="K249" s="39"/>
      <c r="L249" s="39"/>
      <c r="M249" s="39"/>
      <c r="N249" s="95"/>
      <c r="O249" s="39"/>
    </row>
    <row r="250" spans="1:15" x14ac:dyDescent="0.25">
      <c r="A250" s="39"/>
      <c r="B250" s="39"/>
      <c r="C250" s="39"/>
      <c r="D250" s="39"/>
      <c r="E250" s="40"/>
      <c r="F250" s="39"/>
      <c r="G250" s="39"/>
      <c r="H250" s="39"/>
      <c r="I250" s="39"/>
      <c r="J250" s="39"/>
      <c r="K250" s="39"/>
      <c r="L250" s="39"/>
      <c r="M250" s="39"/>
      <c r="N250" s="95"/>
      <c r="O250" s="39"/>
    </row>
    <row r="251" spans="1:15" x14ac:dyDescent="0.25">
      <c r="A251" s="39"/>
      <c r="B251" s="39"/>
      <c r="C251" s="39"/>
      <c r="D251" s="39"/>
      <c r="E251" s="40"/>
      <c r="F251" s="39"/>
      <c r="G251" s="39"/>
      <c r="H251" s="39"/>
      <c r="I251" s="39"/>
      <c r="J251" s="39"/>
      <c r="K251" s="39"/>
      <c r="L251" s="39"/>
      <c r="M251" s="39"/>
      <c r="N251" s="95"/>
      <c r="O251" s="39"/>
    </row>
    <row r="252" spans="1:15" x14ac:dyDescent="0.25">
      <c r="A252" s="39"/>
      <c r="B252" s="39"/>
      <c r="C252" s="39"/>
      <c r="D252" s="39"/>
      <c r="E252" s="40"/>
      <c r="F252" s="39"/>
      <c r="G252" s="39"/>
      <c r="H252" s="39"/>
      <c r="I252" s="39"/>
      <c r="J252" s="39"/>
      <c r="K252" s="39"/>
      <c r="L252" s="39"/>
      <c r="M252" s="39"/>
      <c r="N252" s="95"/>
      <c r="O252" s="39"/>
    </row>
    <row r="253" spans="1:15" x14ac:dyDescent="0.25">
      <c r="A253" s="39"/>
      <c r="B253" s="39"/>
      <c r="C253" s="39"/>
      <c r="D253" s="39"/>
      <c r="E253" s="40"/>
      <c r="F253" s="39"/>
      <c r="G253" s="39"/>
      <c r="H253" s="39"/>
      <c r="I253" s="39"/>
      <c r="J253" s="39"/>
      <c r="K253" s="39"/>
      <c r="L253" s="39"/>
      <c r="M253" s="39"/>
      <c r="N253" s="95"/>
      <c r="O253" s="39"/>
    </row>
    <row r="254" spans="1:15" x14ac:dyDescent="0.25">
      <c r="A254" s="39"/>
      <c r="B254" s="39"/>
      <c r="C254" s="39"/>
      <c r="D254" s="39"/>
      <c r="E254" s="40"/>
      <c r="F254" s="39"/>
      <c r="G254" s="39"/>
      <c r="H254" s="39"/>
      <c r="I254" s="39"/>
      <c r="J254" s="39"/>
      <c r="K254" s="39"/>
      <c r="L254" s="39"/>
      <c r="M254" s="39"/>
      <c r="N254" s="95"/>
      <c r="O254" s="39"/>
    </row>
    <row r="255" spans="1:15" x14ac:dyDescent="0.25">
      <c r="A255" s="39"/>
      <c r="B255" s="39"/>
      <c r="C255" s="39"/>
      <c r="D255" s="39"/>
      <c r="E255" s="40"/>
      <c r="F255" s="39"/>
      <c r="G255" s="39"/>
      <c r="H255" s="39"/>
      <c r="I255" s="39"/>
      <c r="J255" s="39"/>
      <c r="K255" s="39"/>
      <c r="L255" s="39"/>
      <c r="M255" s="39"/>
      <c r="N255" s="95"/>
      <c r="O255" s="39"/>
    </row>
    <row r="256" spans="1:15" x14ac:dyDescent="0.25">
      <c r="A256" s="39"/>
      <c r="B256" s="39"/>
      <c r="C256" s="39"/>
      <c r="D256" s="39"/>
      <c r="E256" s="40"/>
      <c r="F256" s="39"/>
      <c r="G256" s="39"/>
      <c r="H256" s="39"/>
      <c r="I256" s="39"/>
      <c r="J256" s="39"/>
      <c r="K256" s="39"/>
      <c r="L256" s="39"/>
      <c r="M256" s="39"/>
      <c r="N256" s="95"/>
      <c r="O256" s="39"/>
    </row>
  </sheetData>
  <sheetProtection algorithmName="SHA-256" hashValue="A6ch3ZtVwFVSjwBSaXmc4qgfyBNgdEt6R/AagFXk4HA=" saltValue="DEsQhwLDF9Xpi/tIjCMfng==" spinCount="100000" sheet="1" selectLockedCells="1"/>
  <mergeCells count="2">
    <mergeCell ref="A3:O3"/>
    <mergeCell ref="A4:O4"/>
  </mergeCells>
  <phoneticPr fontId="10" type="noConversion"/>
  <conditionalFormatting sqref="A6:O256">
    <cfRule type="expression" dxfId="84" priority="1">
      <formula>OR($B6=2,$B6=4)</formula>
    </cfRule>
  </conditionalFormatting>
  <dataValidations count="6">
    <dataValidation type="list" allowBlank="1" showInputMessage="1" showErrorMessage="1" error="Please enter Yes or No" sqref="H27:H32 I19 H6:H18 J6:J18 I26 J20:J25 H20:H25 J27:J32 I33:I256 G6:G256" xr:uid="{F1C15BCF-1F9E-4A54-A758-F589EA6E4877}">
      <formula1>Boolean</formula1>
    </dataValidation>
    <dataValidation type="list" allowBlank="1" showInputMessage="1" showErrorMessage="1" error="Please enter Yes or No" sqref="I6:I18 H19 I20:I25 H26 I27:I32 H33:H256" xr:uid="{BDEFD228-1D87-4A7E-BF6B-B97281BD1B9B}">
      <formula1>Gender</formula1>
    </dataValidation>
    <dataValidation type="whole" allowBlank="1" showInputMessage="1" showErrorMessage="1" errorTitle="Error" error="Quarter must be a number between 1 and 4" sqref="B6:B256" xr:uid="{483FC6C8-436A-46E0-AEC0-1FA0E928E08E}">
      <formula1>1</formula1>
      <formula2>4</formula2>
    </dataValidation>
    <dataValidation type="whole" allowBlank="1" showInputMessage="1" showErrorMessage="1" errorTitle="Error" error="Enter the financial year as a whole number._x000a_e.g. for FY 2024-2025 enter 2025" sqref="A6:A256" xr:uid="{2DD1271B-488A-4F94-B547-E2DEBAECBFBB}">
      <formula1>2025</formula1>
      <formula2>2035</formula2>
    </dataValidation>
    <dataValidation type="date" operator="greaterThan" allowBlank="1" showInputMessage="1" showErrorMessage="1" errorTitle="Error" error="Enter the date of birth in the format DD/MM/YYYY" sqref="E6:E12 E14:E256" xr:uid="{EE313579-618E-4485-BFEC-8EBEAE9ABC72}">
      <formula1>1</formula1>
    </dataValidation>
    <dataValidation type="date" operator="greaterThan" allowBlank="1" showInputMessage="1" showErrorMessage="1" errorTitle="Error" error="Enter a valid date of birth in the format DD/MM/YYYY" sqref="E13" xr:uid="{959199BB-318D-4C40-AEB3-7340794BE726}">
      <formula1>1</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DAA02-BEDB-4741-9FD2-2EE6A738F87F}">
  <dimension ref="A1:O1001"/>
  <sheetViews>
    <sheetView workbookViewId="0"/>
  </sheetViews>
  <sheetFormatPr defaultRowHeight="15" x14ac:dyDescent="0.25"/>
  <cols>
    <col min="1" max="1" width="13.140625" bestFit="1" customWidth="1"/>
    <col min="2" max="2" width="7.42578125" bestFit="1" customWidth="1"/>
    <col min="3" max="3" width="8.42578125" bestFit="1" customWidth="1"/>
    <col min="4" max="4" width="10.140625" bestFit="1" customWidth="1"/>
    <col min="5" max="5" width="11.5703125" bestFit="1" customWidth="1"/>
    <col min="6" max="6" width="12.5703125" bestFit="1" customWidth="1"/>
    <col min="7" max="7" width="8.85546875" bestFit="1" customWidth="1"/>
    <col min="8" max="8" width="8" bestFit="1" customWidth="1"/>
    <col min="9" max="9" width="11" bestFit="1" customWidth="1"/>
    <col min="10" max="10" width="5.7109375" bestFit="1" customWidth="1"/>
    <col min="11" max="11" width="13.7109375" bestFit="1" customWidth="1"/>
    <col min="12" max="12" width="14" bestFit="1" customWidth="1"/>
    <col min="13" max="13" width="19.5703125" bestFit="1" customWidth="1"/>
    <col min="14" max="14" width="24.85546875" bestFit="1" customWidth="1"/>
    <col min="15" max="15" width="15.28515625" bestFit="1" customWidth="1"/>
  </cols>
  <sheetData>
    <row r="1" spans="1:15" x14ac:dyDescent="0.25">
      <c r="A1" t="s">
        <v>156</v>
      </c>
      <c r="B1" t="s">
        <v>142</v>
      </c>
      <c r="C1" t="s">
        <v>143</v>
      </c>
      <c r="D1" t="s">
        <v>144</v>
      </c>
      <c r="E1" t="s">
        <v>145</v>
      </c>
      <c r="F1" t="s">
        <v>146</v>
      </c>
      <c r="G1" t="s">
        <v>147</v>
      </c>
      <c r="H1" t="s">
        <v>157</v>
      </c>
      <c r="I1" t="s">
        <v>149</v>
      </c>
      <c r="J1" t="s">
        <v>150</v>
      </c>
      <c r="K1" t="s">
        <v>151</v>
      </c>
      <c r="L1" t="s">
        <v>152</v>
      </c>
      <c r="M1" t="s">
        <v>153</v>
      </c>
      <c r="N1" t="s">
        <v>154</v>
      </c>
      <c r="O1" t="s">
        <v>155</v>
      </c>
    </row>
    <row r="2" spans="1:15" x14ac:dyDescent="0.25">
      <c r="A2">
        <f>'Participant reporting'!A6</f>
        <v>0</v>
      </c>
      <c r="B2">
        <f>'Participant reporting'!B6</f>
        <v>0</v>
      </c>
      <c r="C2">
        <f>'Participant reporting'!C6</f>
        <v>0</v>
      </c>
      <c r="D2">
        <f>'Participant reporting'!D6</f>
        <v>0</v>
      </c>
      <c r="E2" s="15">
        <f>'Participant reporting'!E6</f>
        <v>0</v>
      </c>
      <c r="F2">
        <f>'Participant reporting'!F6</f>
        <v>0</v>
      </c>
      <c r="G2">
        <f>'Participant reporting'!G6</f>
        <v>0</v>
      </c>
      <c r="H2">
        <f>'Participant reporting'!H6</f>
        <v>0</v>
      </c>
      <c r="I2">
        <f>'Participant reporting'!I6</f>
        <v>0</v>
      </c>
      <c r="J2">
        <f>'Participant reporting'!J6</f>
        <v>0</v>
      </c>
      <c r="K2">
        <f>'Participant reporting'!K6</f>
        <v>0</v>
      </c>
      <c r="L2">
        <f>'Participant reporting'!L6</f>
        <v>0</v>
      </c>
      <c r="M2">
        <f>'Participant reporting'!M6</f>
        <v>0</v>
      </c>
      <c r="N2">
        <f>'Participant reporting'!N6</f>
        <v>0</v>
      </c>
      <c r="O2">
        <f>'Participant reporting'!O6</f>
        <v>0</v>
      </c>
    </row>
    <row r="3" spans="1:15" x14ac:dyDescent="0.25">
      <c r="A3">
        <f>'Participant reporting'!A7</f>
        <v>0</v>
      </c>
      <c r="B3">
        <f>'Participant reporting'!B7</f>
        <v>0</v>
      </c>
      <c r="C3">
        <f>'Participant reporting'!C7</f>
        <v>0</v>
      </c>
      <c r="D3">
        <f>'Participant reporting'!D7</f>
        <v>0</v>
      </c>
      <c r="E3" s="15">
        <f>'Participant reporting'!E7</f>
        <v>0</v>
      </c>
      <c r="F3">
        <f>'Participant reporting'!F7</f>
        <v>0</v>
      </c>
      <c r="G3">
        <f>'Participant reporting'!G7</f>
        <v>0</v>
      </c>
      <c r="H3">
        <f>'Participant reporting'!H7</f>
        <v>0</v>
      </c>
      <c r="I3">
        <f>'Participant reporting'!I7</f>
        <v>0</v>
      </c>
      <c r="J3">
        <f>'Participant reporting'!J7</f>
        <v>0</v>
      </c>
      <c r="K3">
        <f>'Participant reporting'!K7</f>
        <v>0</v>
      </c>
      <c r="L3">
        <f>'Participant reporting'!L7</f>
        <v>0</v>
      </c>
      <c r="M3">
        <f>'Participant reporting'!M7</f>
        <v>0</v>
      </c>
      <c r="N3">
        <f>'Participant reporting'!N7</f>
        <v>0</v>
      </c>
      <c r="O3">
        <f>'Participant reporting'!O7</f>
        <v>0</v>
      </c>
    </row>
    <row r="4" spans="1:15" x14ac:dyDescent="0.25">
      <c r="A4">
        <f>'Participant reporting'!A8</f>
        <v>0</v>
      </c>
      <c r="B4">
        <f>'Participant reporting'!B8</f>
        <v>0</v>
      </c>
      <c r="C4">
        <f>'Participant reporting'!C8</f>
        <v>0</v>
      </c>
      <c r="D4">
        <f>'Participant reporting'!D8</f>
        <v>0</v>
      </c>
      <c r="E4" s="15">
        <f>'Participant reporting'!E8</f>
        <v>0</v>
      </c>
      <c r="F4">
        <f>'Participant reporting'!F8</f>
        <v>0</v>
      </c>
      <c r="G4">
        <f>'Participant reporting'!G8</f>
        <v>0</v>
      </c>
      <c r="H4">
        <f>'Participant reporting'!H8</f>
        <v>0</v>
      </c>
      <c r="I4">
        <f>'Participant reporting'!I8</f>
        <v>0</v>
      </c>
      <c r="J4">
        <f>'Participant reporting'!J8</f>
        <v>0</v>
      </c>
      <c r="K4">
        <f>'Participant reporting'!K8</f>
        <v>0</v>
      </c>
      <c r="L4">
        <f>'Participant reporting'!L8</f>
        <v>0</v>
      </c>
      <c r="M4">
        <f>'Participant reporting'!M8</f>
        <v>0</v>
      </c>
      <c r="N4">
        <f>'Participant reporting'!N8</f>
        <v>0</v>
      </c>
      <c r="O4">
        <f>'Participant reporting'!O8</f>
        <v>0</v>
      </c>
    </row>
    <row r="5" spans="1:15" x14ac:dyDescent="0.25">
      <c r="A5">
        <f>'Participant reporting'!A9</f>
        <v>0</v>
      </c>
      <c r="B5">
        <f>'Participant reporting'!B9</f>
        <v>0</v>
      </c>
      <c r="C5">
        <f>'Participant reporting'!C9</f>
        <v>0</v>
      </c>
      <c r="D5">
        <f>'Participant reporting'!D9</f>
        <v>0</v>
      </c>
      <c r="E5" s="15">
        <f>'Participant reporting'!E9</f>
        <v>0</v>
      </c>
      <c r="F5">
        <f>'Participant reporting'!F9</f>
        <v>0</v>
      </c>
      <c r="G5">
        <f>'Participant reporting'!G9</f>
        <v>0</v>
      </c>
      <c r="H5">
        <f>'Participant reporting'!H9</f>
        <v>0</v>
      </c>
      <c r="I5">
        <f>'Participant reporting'!I9</f>
        <v>0</v>
      </c>
      <c r="J5">
        <f>'Participant reporting'!J9</f>
        <v>0</v>
      </c>
      <c r="K5">
        <f>'Participant reporting'!K9</f>
        <v>0</v>
      </c>
      <c r="L5">
        <f>'Participant reporting'!L9</f>
        <v>0</v>
      </c>
      <c r="M5">
        <f>'Participant reporting'!M9</f>
        <v>0</v>
      </c>
      <c r="N5">
        <f>'Participant reporting'!N9</f>
        <v>0</v>
      </c>
      <c r="O5">
        <f>'Participant reporting'!O9</f>
        <v>0</v>
      </c>
    </row>
    <row r="6" spans="1:15" x14ac:dyDescent="0.25">
      <c r="A6">
        <f>'Participant reporting'!A10</f>
        <v>0</v>
      </c>
      <c r="B6">
        <f>'Participant reporting'!B10</f>
        <v>0</v>
      </c>
      <c r="C6">
        <f>'Participant reporting'!C10</f>
        <v>0</v>
      </c>
      <c r="D6">
        <f>'Participant reporting'!D10</f>
        <v>0</v>
      </c>
      <c r="E6" s="15">
        <f>'Participant reporting'!E10</f>
        <v>0</v>
      </c>
      <c r="F6">
        <f>'Participant reporting'!F10</f>
        <v>0</v>
      </c>
      <c r="G6">
        <f>'Participant reporting'!G10</f>
        <v>0</v>
      </c>
      <c r="H6">
        <f>'Participant reporting'!H10</f>
        <v>0</v>
      </c>
      <c r="I6">
        <f>'Participant reporting'!I10</f>
        <v>0</v>
      </c>
      <c r="J6">
        <f>'Participant reporting'!J10</f>
        <v>0</v>
      </c>
      <c r="K6">
        <f>'Participant reporting'!K10</f>
        <v>0</v>
      </c>
      <c r="L6">
        <f>'Participant reporting'!L10</f>
        <v>0</v>
      </c>
      <c r="M6">
        <f>'Participant reporting'!M10</f>
        <v>0</v>
      </c>
      <c r="N6">
        <f>'Participant reporting'!N10</f>
        <v>0</v>
      </c>
      <c r="O6">
        <f>'Participant reporting'!O10</f>
        <v>0</v>
      </c>
    </row>
    <row r="7" spans="1:15" x14ac:dyDescent="0.25">
      <c r="A7">
        <f>'Participant reporting'!A11</f>
        <v>0</v>
      </c>
      <c r="B7">
        <f>'Participant reporting'!B11</f>
        <v>0</v>
      </c>
      <c r="C7">
        <f>'Participant reporting'!C11</f>
        <v>0</v>
      </c>
      <c r="D7">
        <f>'Participant reporting'!D11</f>
        <v>0</v>
      </c>
      <c r="E7" s="15">
        <f>'Participant reporting'!E11</f>
        <v>0</v>
      </c>
      <c r="F7">
        <f>'Participant reporting'!F11</f>
        <v>0</v>
      </c>
      <c r="G7">
        <f>'Participant reporting'!G11</f>
        <v>0</v>
      </c>
      <c r="H7">
        <f>'Participant reporting'!H11</f>
        <v>0</v>
      </c>
      <c r="I7">
        <f>'Participant reporting'!I11</f>
        <v>0</v>
      </c>
      <c r="J7">
        <f>'Participant reporting'!J11</f>
        <v>0</v>
      </c>
      <c r="K7">
        <f>'Participant reporting'!K11</f>
        <v>0</v>
      </c>
      <c r="L7">
        <f>'Participant reporting'!L11</f>
        <v>0</v>
      </c>
      <c r="M7">
        <f>'Participant reporting'!M11</f>
        <v>0</v>
      </c>
      <c r="N7">
        <f>'Participant reporting'!N11</f>
        <v>0</v>
      </c>
      <c r="O7">
        <f>'Participant reporting'!O11</f>
        <v>0</v>
      </c>
    </row>
    <row r="8" spans="1:15" x14ac:dyDescent="0.25">
      <c r="A8">
        <f>'Participant reporting'!A12</f>
        <v>0</v>
      </c>
      <c r="B8">
        <f>'Participant reporting'!B12</f>
        <v>0</v>
      </c>
      <c r="C8">
        <f>'Participant reporting'!C12</f>
        <v>0</v>
      </c>
      <c r="D8">
        <f>'Participant reporting'!D12</f>
        <v>0</v>
      </c>
      <c r="E8" s="15">
        <f>'Participant reporting'!E12</f>
        <v>0</v>
      </c>
      <c r="F8">
        <f>'Participant reporting'!F12</f>
        <v>0</v>
      </c>
      <c r="G8">
        <f>'Participant reporting'!G12</f>
        <v>0</v>
      </c>
      <c r="H8">
        <f>'Participant reporting'!H12</f>
        <v>0</v>
      </c>
      <c r="I8">
        <f>'Participant reporting'!I12</f>
        <v>0</v>
      </c>
      <c r="J8">
        <f>'Participant reporting'!J12</f>
        <v>0</v>
      </c>
      <c r="K8">
        <f>'Participant reporting'!K12</f>
        <v>0</v>
      </c>
      <c r="L8">
        <f>'Participant reporting'!L12</f>
        <v>0</v>
      </c>
      <c r="M8">
        <f>'Participant reporting'!M12</f>
        <v>0</v>
      </c>
      <c r="N8">
        <f>'Participant reporting'!N12</f>
        <v>0</v>
      </c>
      <c r="O8">
        <f>'Participant reporting'!O12</f>
        <v>0</v>
      </c>
    </row>
    <row r="9" spans="1:15" x14ac:dyDescent="0.25">
      <c r="A9">
        <f>'Participant reporting'!A13</f>
        <v>0</v>
      </c>
      <c r="B9">
        <f>'Participant reporting'!B13</f>
        <v>0</v>
      </c>
      <c r="C9">
        <f>'Participant reporting'!C13</f>
        <v>0</v>
      </c>
      <c r="D9">
        <f>'Participant reporting'!D13</f>
        <v>0</v>
      </c>
      <c r="E9" s="15">
        <f>'Participant reporting'!E13</f>
        <v>0</v>
      </c>
      <c r="F9">
        <f>'Participant reporting'!F13</f>
        <v>0</v>
      </c>
      <c r="G9">
        <f>'Participant reporting'!G13</f>
        <v>0</v>
      </c>
      <c r="H9">
        <f>'Participant reporting'!H13</f>
        <v>0</v>
      </c>
      <c r="I9">
        <f>'Participant reporting'!I13</f>
        <v>0</v>
      </c>
      <c r="J9">
        <f>'Participant reporting'!J13</f>
        <v>0</v>
      </c>
      <c r="K9">
        <f>'Participant reporting'!K13</f>
        <v>0</v>
      </c>
      <c r="L9">
        <f>'Participant reporting'!L13</f>
        <v>0</v>
      </c>
      <c r="M9">
        <f>'Participant reporting'!M13</f>
        <v>0</v>
      </c>
      <c r="N9">
        <f>'Participant reporting'!N13</f>
        <v>0</v>
      </c>
      <c r="O9">
        <f>'Participant reporting'!O13</f>
        <v>0</v>
      </c>
    </row>
    <row r="10" spans="1:15" x14ac:dyDescent="0.25">
      <c r="A10">
        <f>'Participant reporting'!A14</f>
        <v>0</v>
      </c>
      <c r="B10">
        <f>'Participant reporting'!B14</f>
        <v>0</v>
      </c>
      <c r="C10">
        <f>'Participant reporting'!C14</f>
        <v>0</v>
      </c>
      <c r="D10">
        <f>'Participant reporting'!D14</f>
        <v>0</v>
      </c>
      <c r="E10" s="15">
        <f>'Participant reporting'!E14</f>
        <v>0</v>
      </c>
      <c r="F10">
        <f>'Participant reporting'!F14</f>
        <v>0</v>
      </c>
      <c r="G10">
        <f>'Participant reporting'!G14</f>
        <v>0</v>
      </c>
      <c r="H10">
        <f>'Participant reporting'!H14</f>
        <v>0</v>
      </c>
      <c r="I10">
        <f>'Participant reporting'!I14</f>
        <v>0</v>
      </c>
      <c r="J10">
        <f>'Participant reporting'!J14</f>
        <v>0</v>
      </c>
      <c r="K10">
        <f>'Participant reporting'!K14</f>
        <v>0</v>
      </c>
      <c r="L10">
        <f>'Participant reporting'!L14</f>
        <v>0</v>
      </c>
      <c r="M10">
        <f>'Participant reporting'!M14</f>
        <v>0</v>
      </c>
      <c r="N10">
        <f>'Participant reporting'!N14</f>
        <v>0</v>
      </c>
      <c r="O10">
        <f>'Participant reporting'!O14</f>
        <v>0</v>
      </c>
    </row>
    <row r="11" spans="1:15" x14ac:dyDescent="0.25">
      <c r="A11">
        <f>'Participant reporting'!A15</f>
        <v>0</v>
      </c>
      <c r="B11">
        <f>'Participant reporting'!B15</f>
        <v>0</v>
      </c>
      <c r="C11">
        <f>'Participant reporting'!C15</f>
        <v>0</v>
      </c>
      <c r="D11">
        <f>'Participant reporting'!D15</f>
        <v>0</v>
      </c>
      <c r="E11" s="15">
        <f>'Participant reporting'!E15</f>
        <v>0</v>
      </c>
      <c r="F11">
        <f>'Participant reporting'!F15</f>
        <v>0</v>
      </c>
      <c r="G11">
        <f>'Participant reporting'!G15</f>
        <v>0</v>
      </c>
      <c r="H11">
        <f>'Participant reporting'!H15</f>
        <v>0</v>
      </c>
      <c r="I11">
        <f>'Participant reporting'!I15</f>
        <v>0</v>
      </c>
      <c r="J11">
        <f>'Participant reporting'!J15</f>
        <v>0</v>
      </c>
      <c r="K11">
        <f>'Participant reporting'!K15</f>
        <v>0</v>
      </c>
      <c r="L11">
        <f>'Participant reporting'!L15</f>
        <v>0</v>
      </c>
      <c r="M11">
        <f>'Participant reporting'!M15</f>
        <v>0</v>
      </c>
      <c r="N11">
        <f>'Participant reporting'!N15</f>
        <v>0</v>
      </c>
      <c r="O11">
        <f>'Participant reporting'!O15</f>
        <v>0</v>
      </c>
    </row>
    <row r="12" spans="1:15" x14ac:dyDescent="0.25">
      <c r="A12">
        <f>'Participant reporting'!A16</f>
        <v>0</v>
      </c>
      <c r="B12">
        <f>'Participant reporting'!B16</f>
        <v>0</v>
      </c>
      <c r="C12">
        <f>'Participant reporting'!C16</f>
        <v>0</v>
      </c>
      <c r="D12">
        <f>'Participant reporting'!D16</f>
        <v>0</v>
      </c>
      <c r="E12" s="15">
        <f>'Participant reporting'!E16</f>
        <v>0</v>
      </c>
      <c r="F12">
        <f>'Participant reporting'!F16</f>
        <v>0</v>
      </c>
      <c r="G12">
        <f>'Participant reporting'!G16</f>
        <v>0</v>
      </c>
      <c r="H12">
        <f>'Participant reporting'!H16</f>
        <v>0</v>
      </c>
      <c r="I12">
        <f>'Participant reporting'!I16</f>
        <v>0</v>
      </c>
      <c r="J12">
        <f>'Participant reporting'!J16</f>
        <v>0</v>
      </c>
      <c r="K12">
        <f>'Participant reporting'!K16</f>
        <v>0</v>
      </c>
      <c r="L12">
        <f>'Participant reporting'!L16</f>
        <v>0</v>
      </c>
      <c r="M12">
        <f>'Participant reporting'!M16</f>
        <v>0</v>
      </c>
      <c r="N12">
        <f>'Participant reporting'!N16</f>
        <v>0</v>
      </c>
      <c r="O12">
        <f>'Participant reporting'!O16</f>
        <v>0</v>
      </c>
    </row>
    <row r="13" spans="1:15" x14ac:dyDescent="0.25">
      <c r="A13">
        <f>'Participant reporting'!A17</f>
        <v>0</v>
      </c>
      <c r="B13">
        <f>'Participant reporting'!B17</f>
        <v>0</v>
      </c>
      <c r="C13">
        <f>'Participant reporting'!C17</f>
        <v>0</v>
      </c>
      <c r="D13">
        <f>'Participant reporting'!D17</f>
        <v>0</v>
      </c>
      <c r="E13" s="15">
        <f>'Participant reporting'!E17</f>
        <v>0</v>
      </c>
      <c r="F13">
        <f>'Participant reporting'!F17</f>
        <v>0</v>
      </c>
      <c r="G13">
        <f>'Participant reporting'!G17</f>
        <v>0</v>
      </c>
      <c r="H13">
        <f>'Participant reporting'!H17</f>
        <v>0</v>
      </c>
      <c r="I13">
        <f>'Participant reporting'!I17</f>
        <v>0</v>
      </c>
      <c r="J13">
        <f>'Participant reporting'!J17</f>
        <v>0</v>
      </c>
      <c r="K13">
        <f>'Participant reporting'!K17</f>
        <v>0</v>
      </c>
      <c r="L13">
        <f>'Participant reporting'!L17</f>
        <v>0</v>
      </c>
      <c r="M13">
        <f>'Participant reporting'!M17</f>
        <v>0</v>
      </c>
      <c r="N13">
        <f>'Participant reporting'!N17</f>
        <v>0</v>
      </c>
      <c r="O13">
        <f>'Participant reporting'!O17</f>
        <v>0</v>
      </c>
    </row>
    <row r="14" spans="1:15" x14ac:dyDescent="0.25">
      <c r="A14">
        <f>'Participant reporting'!A18</f>
        <v>0</v>
      </c>
      <c r="B14">
        <f>'Participant reporting'!B18</f>
        <v>0</v>
      </c>
      <c r="C14">
        <f>'Participant reporting'!C18</f>
        <v>0</v>
      </c>
      <c r="D14">
        <f>'Participant reporting'!D18</f>
        <v>0</v>
      </c>
      <c r="E14" s="15">
        <f>'Participant reporting'!E18</f>
        <v>0</v>
      </c>
      <c r="F14">
        <f>'Participant reporting'!F18</f>
        <v>0</v>
      </c>
      <c r="G14">
        <f>'Participant reporting'!G18</f>
        <v>0</v>
      </c>
      <c r="H14">
        <f>'Participant reporting'!H18</f>
        <v>0</v>
      </c>
      <c r="I14">
        <f>'Participant reporting'!I18</f>
        <v>0</v>
      </c>
      <c r="J14">
        <f>'Participant reporting'!J18</f>
        <v>0</v>
      </c>
      <c r="K14">
        <f>'Participant reporting'!K18</f>
        <v>0</v>
      </c>
      <c r="L14">
        <f>'Participant reporting'!L18</f>
        <v>0</v>
      </c>
      <c r="M14">
        <f>'Participant reporting'!M18</f>
        <v>0</v>
      </c>
      <c r="N14">
        <f>'Participant reporting'!N18</f>
        <v>0</v>
      </c>
      <c r="O14">
        <f>'Participant reporting'!O18</f>
        <v>0</v>
      </c>
    </row>
    <row r="15" spans="1:15" x14ac:dyDescent="0.25">
      <c r="A15">
        <f>'Participant reporting'!A19</f>
        <v>0</v>
      </c>
      <c r="B15">
        <f>'Participant reporting'!B19</f>
        <v>0</v>
      </c>
      <c r="C15">
        <f>'Participant reporting'!C19</f>
        <v>0</v>
      </c>
      <c r="D15">
        <f>'Participant reporting'!D19</f>
        <v>0</v>
      </c>
      <c r="E15" s="15">
        <f>'Participant reporting'!E19</f>
        <v>0</v>
      </c>
      <c r="F15">
        <f>'Participant reporting'!F19</f>
        <v>0</v>
      </c>
      <c r="G15">
        <f>'Participant reporting'!G19</f>
        <v>0</v>
      </c>
      <c r="H15">
        <f>'Participant reporting'!H19</f>
        <v>0</v>
      </c>
      <c r="I15">
        <f>'Participant reporting'!I19</f>
        <v>0</v>
      </c>
      <c r="J15">
        <f>'Participant reporting'!J19</f>
        <v>0</v>
      </c>
      <c r="K15">
        <f>'Participant reporting'!K19</f>
        <v>0</v>
      </c>
      <c r="L15">
        <f>'Participant reporting'!L19</f>
        <v>0</v>
      </c>
      <c r="M15">
        <f>'Participant reporting'!M19</f>
        <v>0</v>
      </c>
      <c r="N15">
        <f>'Participant reporting'!N19</f>
        <v>0</v>
      </c>
      <c r="O15">
        <f>'Participant reporting'!O19</f>
        <v>0</v>
      </c>
    </row>
    <row r="16" spans="1:15" x14ac:dyDescent="0.25">
      <c r="A16">
        <f>'Participant reporting'!A20</f>
        <v>0</v>
      </c>
      <c r="B16">
        <f>'Participant reporting'!B20</f>
        <v>0</v>
      </c>
      <c r="C16">
        <f>'Participant reporting'!C20</f>
        <v>0</v>
      </c>
      <c r="D16">
        <f>'Participant reporting'!D20</f>
        <v>0</v>
      </c>
      <c r="E16" s="15">
        <f>'Participant reporting'!E20</f>
        <v>0</v>
      </c>
      <c r="F16">
        <f>'Participant reporting'!F20</f>
        <v>0</v>
      </c>
      <c r="G16">
        <f>'Participant reporting'!G20</f>
        <v>0</v>
      </c>
      <c r="H16">
        <f>'Participant reporting'!H20</f>
        <v>0</v>
      </c>
      <c r="I16">
        <f>'Participant reporting'!I20</f>
        <v>0</v>
      </c>
      <c r="J16">
        <f>'Participant reporting'!J20</f>
        <v>0</v>
      </c>
      <c r="K16">
        <f>'Participant reporting'!K20</f>
        <v>0</v>
      </c>
      <c r="L16">
        <f>'Participant reporting'!L20</f>
        <v>0</v>
      </c>
      <c r="M16">
        <f>'Participant reporting'!M20</f>
        <v>0</v>
      </c>
      <c r="N16">
        <f>'Participant reporting'!N20</f>
        <v>0</v>
      </c>
      <c r="O16">
        <f>'Participant reporting'!O20</f>
        <v>0</v>
      </c>
    </row>
    <row r="17" spans="1:15" x14ac:dyDescent="0.25">
      <c r="A17">
        <f>'Participant reporting'!A21</f>
        <v>0</v>
      </c>
      <c r="B17">
        <f>'Participant reporting'!B21</f>
        <v>0</v>
      </c>
      <c r="C17">
        <f>'Participant reporting'!C21</f>
        <v>0</v>
      </c>
      <c r="D17">
        <f>'Participant reporting'!D21</f>
        <v>0</v>
      </c>
      <c r="E17" s="15">
        <f>'Participant reporting'!E21</f>
        <v>0</v>
      </c>
      <c r="F17">
        <f>'Participant reporting'!F21</f>
        <v>0</v>
      </c>
      <c r="G17">
        <f>'Participant reporting'!G21</f>
        <v>0</v>
      </c>
      <c r="H17">
        <f>'Participant reporting'!H21</f>
        <v>0</v>
      </c>
      <c r="I17">
        <f>'Participant reporting'!I21</f>
        <v>0</v>
      </c>
      <c r="J17">
        <f>'Participant reporting'!J21</f>
        <v>0</v>
      </c>
      <c r="K17">
        <f>'Participant reporting'!K21</f>
        <v>0</v>
      </c>
      <c r="L17">
        <f>'Participant reporting'!L21</f>
        <v>0</v>
      </c>
      <c r="M17">
        <f>'Participant reporting'!M21</f>
        <v>0</v>
      </c>
      <c r="N17">
        <f>'Participant reporting'!N21</f>
        <v>0</v>
      </c>
      <c r="O17">
        <f>'Participant reporting'!O21</f>
        <v>0</v>
      </c>
    </row>
    <row r="18" spans="1:15" x14ac:dyDescent="0.25">
      <c r="A18">
        <f>'Participant reporting'!A22</f>
        <v>0</v>
      </c>
      <c r="B18">
        <f>'Participant reporting'!B22</f>
        <v>0</v>
      </c>
      <c r="C18">
        <f>'Participant reporting'!C22</f>
        <v>0</v>
      </c>
      <c r="D18">
        <f>'Participant reporting'!D22</f>
        <v>0</v>
      </c>
      <c r="E18" s="15">
        <f>'Participant reporting'!E22</f>
        <v>0</v>
      </c>
      <c r="F18">
        <f>'Participant reporting'!F22</f>
        <v>0</v>
      </c>
      <c r="G18">
        <f>'Participant reporting'!G22</f>
        <v>0</v>
      </c>
      <c r="H18">
        <f>'Participant reporting'!H22</f>
        <v>0</v>
      </c>
      <c r="I18">
        <f>'Participant reporting'!I22</f>
        <v>0</v>
      </c>
      <c r="J18">
        <f>'Participant reporting'!J22</f>
        <v>0</v>
      </c>
      <c r="K18">
        <f>'Participant reporting'!K22</f>
        <v>0</v>
      </c>
      <c r="L18">
        <f>'Participant reporting'!L22</f>
        <v>0</v>
      </c>
      <c r="M18">
        <f>'Participant reporting'!M22</f>
        <v>0</v>
      </c>
      <c r="N18">
        <f>'Participant reporting'!N22</f>
        <v>0</v>
      </c>
      <c r="O18">
        <f>'Participant reporting'!O22</f>
        <v>0</v>
      </c>
    </row>
    <row r="19" spans="1:15" x14ac:dyDescent="0.25">
      <c r="A19">
        <f>'Participant reporting'!A23</f>
        <v>0</v>
      </c>
      <c r="B19">
        <f>'Participant reporting'!B23</f>
        <v>0</v>
      </c>
      <c r="C19">
        <f>'Participant reporting'!C23</f>
        <v>0</v>
      </c>
      <c r="D19">
        <f>'Participant reporting'!D23</f>
        <v>0</v>
      </c>
      <c r="E19" s="15">
        <f>'Participant reporting'!E23</f>
        <v>0</v>
      </c>
      <c r="F19">
        <f>'Participant reporting'!F23</f>
        <v>0</v>
      </c>
      <c r="G19">
        <f>'Participant reporting'!G23</f>
        <v>0</v>
      </c>
      <c r="H19">
        <f>'Participant reporting'!H23</f>
        <v>0</v>
      </c>
      <c r="I19">
        <f>'Participant reporting'!I23</f>
        <v>0</v>
      </c>
      <c r="J19">
        <f>'Participant reporting'!J23</f>
        <v>0</v>
      </c>
      <c r="K19">
        <f>'Participant reporting'!K23</f>
        <v>0</v>
      </c>
      <c r="L19">
        <f>'Participant reporting'!L23</f>
        <v>0</v>
      </c>
      <c r="M19">
        <f>'Participant reporting'!M23</f>
        <v>0</v>
      </c>
      <c r="N19">
        <f>'Participant reporting'!N23</f>
        <v>0</v>
      </c>
      <c r="O19">
        <f>'Participant reporting'!O23</f>
        <v>0</v>
      </c>
    </row>
    <row r="20" spans="1:15" x14ac:dyDescent="0.25">
      <c r="A20">
        <f>'Participant reporting'!A24</f>
        <v>0</v>
      </c>
      <c r="B20">
        <f>'Participant reporting'!B24</f>
        <v>0</v>
      </c>
      <c r="C20">
        <f>'Participant reporting'!C24</f>
        <v>0</v>
      </c>
      <c r="D20">
        <f>'Participant reporting'!D24</f>
        <v>0</v>
      </c>
      <c r="E20" s="15">
        <f>'Participant reporting'!E24</f>
        <v>0</v>
      </c>
      <c r="F20">
        <f>'Participant reporting'!F24</f>
        <v>0</v>
      </c>
      <c r="G20">
        <f>'Participant reporting'!G24</f>
        <v>0</v>
      </c>
      <c r="H20">
        <f>'Participant reporting'!H24</f>
        <v>0</v>
      </c>
      <c r="I20">
        <f>'Participant reporting'!I24</f>
        <v>0</v>
      </c>
      <c r="J20">
        <f>'Participant reporting'!J24</f>
        <v>0</v>
      </c>
      <c r="K20">
        <f>'Participant reporting'!K24</f>
        <v>0</v>
      </c>
      <c r="L20">
        <f>'Participant reporting'!L24</f>
        <v>0</v>
      </c>
      <c r="M20">
        <f>'Participant reporting'!M24</f>
        <v>0</v>
      </c>
      <c r="N20">
        <f>'Participant reporting'!N24</f>
        <v>0</v>
      </c>
      <c r="O20">
        <f>'Participant reporting'!O24</f>
        <v>0</v>
      </c>
    </row>
    <row r="21" spans="1:15" x14ac:dyDescent="0.25">
      <c r="A21">
        <f>'Participant reporting'!A25</f>
        <v>0</v>
      </c>
      <c r="B21">
        <f>'Participant reporting'!B25</f>
        <v>0</v>
      </c>
      <c r="C21">
        <f>'Participant reporting'!C25</f>
        <v>0</v>
      </c>
      <c r="D21">
        <f>'Participant reporting'!D25</f>
        <v>0</v>
      </c>
      <c r="E21" s="15">
        <f>'Participant reporting'!E25</f>
        <v>0</v>
      </c>
      <c r="F21">
        <f>'Participant reporting'!F25</f>
        <v>0</v>
      </c>
      <c r="G21">
        <f>'Participant reporting'!G25</f>
        <v>0</v>
      </c>
      <c r="H21">
        <f>'Participant reporting'!H25</f>
        <v>0</v>
      </c>
      <c r="I21">
        <f>'Participant reporting'!I25</f>
        <v>0</v>
      </c>
      <c r="J21">
        <f>'Participant reporting'!J25</f>
        <v>0</v>
      </c>
      <c r="K21">
        <f>'Participant reporting'!K25</f>
        <v>0</v>
      </c>
      <c r="L21">
        <f>'Participant reporting'!L25</f>
        <v>0</v>
      </c>
      <c r="M21">
        <f>'Participant reporting'!M25</f>
        <v>0</v>
      </c>
      <c r="N21">
        <f>'Participant reporting'!N25</f>
        <v>0</v>
      </c>
      <c r="O21">
        <f>'Participant reporting'!O25</f>
        <v>0</v>
      </c>
    </row>
    <row r="22" spans="1:15" x14ac:dyDescent="0.25">
      <c r="A22">
        <f>'Participant reporting'!A26</f>
        <v>0</v>
      </c>
      <c r="B22">
        <f>'Participant reporting'!B26</f>
        <v>0</v>
      </c>
      <c r="C22">
        <f>'Participant reporting'!C26</f>
        <v>0</v>
      </c>
      <c r="D22">
        <f>'Participant reporting'!D26</f>
        <v>0</v>
      </c>
      <c r="E22" s="15">
        <f>'Participant reporting'!E26</f>
        <v>0</v>
      </c>
      <c r="F22">
        <f>'Participant reporting'!F26</f>
        <v>0</v>
      </c>
      <c r="G22">
        <f>'Participant reporting'!G26</f>
        <v>0</v>
      </c>
      <c r="H22">
        <f>'Participant reporting'!H26</f>
        <v>0</v>
      </c>
      <c r="I22">
        <f>'Participant reporting'!I26</f>
        <v>0</v>
      </c>
      <c r="J22">
        <f>'Participant reporting'!J26</f>
        <v>0</v>
      </c>
      <c r="K22">
        <f>'Participant reporting'!K26</f>
        <v>0</v>
      </c>
      <c r="L22">
        <f>'Participant reporting'!L26</f>
        <v>0</v>
      </c>
      <c r="M22">
        <f>'Participant reporting'!M26</f>
        <v>0</v>
      </c>
      <c r="N22">
        <f>'Participant reporting'!N26</f>
        <v>0</v>
      </c>
      <c r="O22">
        <f>'Participant reporting'!O26</f>
        <v>0</v>
      </c>
    </row>
    <row r="23" spans="1:15" x14ac:dyDescent="0.25">
      <c r="A23">
        <f>'Participant reporting'!A27</f>
        <v>0</v>
      </c>
      <c r="B23">
        <f>'Participant reporting'!B27</f>
        <v>0</v>
      </c>
      <c r="C23">
        <f>'Participant reporting'!C27</f>
        <v>0</v>
      </c>
      <c r="D23">
        <f>'Participant reporting'!D27</f>
        <v>0</v>
      </c>
      <c r="E23" s="15">
        <f>'Participant reporting'!E27</f>
        <v>0</v>
      </c>
      <c r="F23">
        <f>'Participant reporting'!F27</f>
        <v>0</v>
      </c>
      <c r="G23">
        <f>'Participant reporting'!G27</f>
        <v>0</v>
      </c>
      <c r="H23">
        <f>'Participant reporting'!H27</f>
        <v>0</v>
      </c>
      <c r="I23">
        <f>'Participant reporting'!I27</f>
        <v>0</v>
      </c>
      <c r="J23">
        <f>'Participant reporting'!J27</f>
        <v>0</v>
      </c>
      <c r="K23">
        <f>'Participant reporting'!K27</f>
        <v>0</v>
      </c>
      <c r="L23">
        <f>'Participant reporting'!L27</f>
        <v>0</v>
      </c>
      <c r="M23">
        <f>'Participant reporting'!M27</f>
        <v>0</v>
      </c>
      <c r="N23">
        <f>'Participant reporting'!N27</f>
        <v>0</v>
      </c>
      <c r="O23">
        <f>'Participant reporting'!O27</f>
        <v>0</v>
      </c>
    </row>
    <row r="24" spans="1:15" x14ac:dyDescent="0.25">
      <c r="A24">
        <f>'Participant reporting'!A28</f>
        <v>0</v>
      </c>
      <c r="B24">
        <f>'Participant reporting'!B28</f>
        <v>0</v>
      </c>
      <c r="C24">
        <f>'Participant reporting'!C28</f>
        <v>0</v>
      </c>
      <c r="D24">
        <f>'Participant reporting'!D28</f>
        <v>0</v>
      </c>
      <c r="E24" s="15">
        <f>'Participant reporting'!E28</f>
        <v>0</v>
      </c>
      <c r="F24">
        <f>'Participant reporting'!F28</f>
        <v>0</v>
      </c>
      <c r="G24">
        <f>'Participant reporting'!G28</f>
        <v>0</v>
      </c>
      <c r="H24">
        <f>'Participant reporting'!H28</f>
        <v>0</v>
      </c>
      <c r="I24">
        <f>'Participant reporting'!I28</f>
        <v>0</v>
      </c>
      <c r="J24">
        <f>'Participant reporting'!J28</f>
        <v>0</v>
      </c>
      <c r="K24">
        <f>'Participant reporting'!K28</f>
        <v>0</v>
      </c>
      <c r="L24">
        <f>'Participant reporting'!L28</f>
        <v>0</v>
      </c>
      <c r="M24">
        <f>'Participant reporting'!M28</f>
        <v>0</v>
      </c>
      <c r="N24">
        <f>'Participant reporting'!N28</f>
        <v>0</v>
      </c>
      <c r="O24">
        <f>'Participant reporting'!O28</f>
        <v>0</v>
      </c>
    </row>
    <row r="25" spans="1:15" x14ac:dyDescent="0.25">
      <c r="A25">
        <f>'Participant reporting'!A29</f>
        <v>0</v>
      </c>
      <c r="B25">
        <f>'Participant reporting'!B29</f>
        <v>0</v>
      </c>
      <c r="C25">
        <f>'Participant reporting'!C29</f>
        <v>0</v>
      </c>
      <c r="D25">
        <f>'Participant reporting'!D29</f>
        <v>0</v>
      </c>
      <c r="E25" s="15">
        <f>'Participant reporting'!E29</f>
        <v>0</v>
      </c>
      <c r="F25">
        <f>'Participant reporting'!F29</f>
        <v>0</v>
      </c>
      <c r="G25">
        <f>'Participant reporting'!G29</f>
        <v>0</v>
      </c>
      <c r="H25">
        <f>'Participant reporting'!H29</f>
        <v>0</v>
      </c>
      <c r="I25">
        <f>'Participant reporting'!I29</f>
        <v>0</v>
      </c>
      <c r="J25">
        <f>'Participant reporting'!J29</f>
        <v>0</v>
      </c>
      <c r="K25">
        <f>'Participant reporting'!K29</f>
        <v>0</v>
      </c>
      <c r="L25">
        <f>'Participant reporting'!L29</f>
        <v>0</v>
      </c>
      <c r="M25">
        <f>'Participant reporting'!M29</f>
        <v>0</v>
      </c>
      <c r="N25">
        <f>'Participant reporting'!N29</f>
        <v>0</v>
      </c>
      <c r="O25">
        <f>'Participant reporting'!O29</f>
        <v>0</v>
      </c>
    </row>
    <row r="26" spans="1:15" x14ac:dyDescent="0.25">
      <c r="A26">
        <f>'Participant reporting'!A30</f>
        <v>0</v>
      </c>
      <c r="B26">
        <f>'Participant reporting'!B30</f>
        <v>0</v>
      </c>
      <c r="C26">
        <f>'Participant reporting'!C30</f>
        <v>0</v>
      </c>
      <c r="D26">
        <f>'Participant reporting'!D30</f>
        <v>0</v>
      </c>
      <c r="E26" s="15">
        <f>'Participant reporting'!E30</f>
        <v>0</v>
      </c>
      <c r="F26">
        <f>'Participant reporting'!F30</f>
        <v>0</v>
      </c>
      <c r="G26">
        <f>'Participant reporting'!G30</f>
        <v>0</v>
      </c>
      <c r="H26">
        <f>'Participant reporting'!H30</f>
        <v>0</v>
      </c>
      <c r="I26">
        <f>'Participant reporting'!I30</f>
        <v>0</v>
      </c>
      <c r="J26">
        <f>'Participant reporting'!J30</f>
        <v>0</v>
      </c>
      <c r="K26">
        <f>'Participant reporting'!K30</f>
        <v>0</v>
      </c>
      <c r="L26">
        <f>'Participant reporting'!L30</f>
        <v>0</v>
      </c>
      <c r="M26">
        <f>'Participant reporting'!M30</f>
        <v>0</v>
      </c>
      <c r="N26">
        <f>'Participant reporting'!N30</f>
        <v>0</v>
      </c>
      <c r="O26">
        <f>'Participant reporting'!O30</f>
        <v>0</v>
      </c>
    </row>
    <row r="27" spans="1:15" x14ac:dyDescent="0.25">
      <c r="A27">
        <f>'Participant reporting'!A31</f>
        <v>0</v>
      </c>
      <c r="B27">
        <f>'Participant reporting'!B31</f>
        <v>0</v>
      </c>
      <c r="C27">
        <f>'Participant reporting'!C31</f>
        <v>0</v>
      </c>
      <c r="D27">
        <f>'Participant reporting'!D31</f>
        <v>0</v>
      </c>
      <c r="E27" s="15">
        <f>'Participant reporting'!E31</f>
        <v>0</v>
      </c>
      <c r="F27">
        <f>'Participant reporting'!F31</f>
        <v>0</v>
      </c>
      <c r="G27">
        <f>'Participant reporting'!G31</f>
        <v>0</v>
      </c>
      <c r="H27">
        <f>'Participant reporting'!H31</f>
        <v>0</v>
      </c>
      <c r="I27">
        <f>'Participant reporting'!I31</f>
        <v>0</v>
      </c>
      <c r="J27">
        <f>'Participant reporting'!J31</f>
        <v>0</v>
      </c>
      <c r="K27">
        <f>'Participant reporting'!K31</f>
        <v>0</v>
      </c>
      <c r="L27">
        <f>'Participant reporting'!L31</f>
        <v>0</v>
      </c>
      <c r="M27">
        <f>'Participant reporting'!M31</f>
        <v>0</v>
      </c>
      <c r="N27">
        <f>'Participant reporting'!N31</f>
        <v>0</v>
      </c>
      <c r="O27">
        <f>'Participant reporting'!O31</f>
        <v>0</v>
      </c>
    </row>
    <row r="28" spans="1:15" x14ac:dyDescent="0.25">
      <c r="A28">
        <f>'Participant reporting'!A32</f>
        <v>0</v>
      </c>
      <c r="B28">
        <f>'Participant reporting'!B32</f>
        <v>0</v>
      </c>
      <c r="C28">
        <f>'Participant reporting'!C32</f>
        <v>0</v>
      </c>
      <c r="D28">
        <f>'Participant reporting'!D32</f>
        <v>0</v>
      </c>
      <c r="E28" s="15">
        <f>'Participant reporting'!E32</f>
        <v>0</v>
      </c>
      <c r="F28">
        <f>'Participant reporting'!F32</f>
        <v>0</v>
      </c>
      <c r="G28">
        <f>'Participant reporting'!G32</f>
        <v>0</v>
      </c>
      <c r="H28">
        <f>'Participant reporting'!H32</f>
        <v>0</v>
      </c>
      <c r="I28">
        <f>'Participant reporting'!I32</f>
        <v>0</v>
      </c>
      <c r="J28">
        <f>'Participant reporting'!J32</f>
        <v>0</v>
      </c>
      <c r="K28">
        <f>'Participant reporting'!K32</f>
        <v>0</v>
      </c>
      <c r="L28">
        <f>'Participant reporting'!L32</f>
        <v>0</v>
      </c>
      <c r="M28">
        <f>'Participant reporting'!M32</f>
        <v>0</v>
      </c>
      <c r="N28">
        <f>'Participant reporting'!N32</f>
        <v>0</v>
      </c>
      <c r="O28">
        <f>'Participant reporting'!O32</f>
        <v>0</v>
      </c>
    </row>
    <row r="29" spans="1:15" x14ac:dyDescent="0.25">
      <c r="A29">
        <f>'Participant reporting'!A33</f>
        <v>0</v>
      </c>
      <c r="B29">
        <f>'Participant reporting'!B33</f>
        <v>0</v>
      </c>
      <c r="C29">
        <f>'Participant reporting'!C33</f>
        <v>0</v>
      </c>
      <c r="D29">
        <f>'Participant reporting'!D33</f>
        <v>0</v>
      </c>
      <c r="E29" s="15">
        <f>'Participant reporting'!E33</f>
        <v>0</v>
      </c>
      <c r="F29">
        <f>'Participant reporting'!F33</f>
        <v>0</v>
      </c>
      <c r="G29">
        <f>'Participant reporting'!G33</f>
        <v>0</v>
      </c>
      <c r="H29">
        <f>'Participant reporting'!H33</f>
        <v>0</v>
      </c>
      <c r="I29">
        <f>'Participant reporting'!I33</f>
        <v>0</v>
      </c>
      <c r="J29">
        <f>'Participant reporting'!J33</f>
        <v>0</v>
      </c>
      <c r="K29">
        <f>'Participant reporting'!K33</f>
        <v>0</v>
      </c>
      <c r="L29">
        <f>'Participant reporting'!L33</f>
        <v>0</v>
      </c>
      <c r="M29">
        <f>'Participant reporting'!M33</f>
        <v>0</v>
      </c>
      <c r="N29">
        <f>'Participant reporting'!N33</f>
        <v>0</v>
      </c>
      <c r="O29">
        <f>'Participant reporting'!O33</f>
        <v>0</v>
      </c>
    </row>
    <row r="30" spans="1:15" x14ac:dyDescent="0.25">
      <c r="A30">
        <f>'Participant reporting'!A257</f>
        <v>0</v>
      </c>
      <c r="B30">
        <f>'Participant reporting'!B257</f>
        <v>0</v>
      </c>
      <c r="C30">
        <f>'Participant reporting'!C257</f>
        <v>0</v>
      </c>
      <c r="D30">
        <f>'Participant reporting'!D257</f>
        <v>0</v>
      </c>
      <c r="E30" s="15">
        <f>'Participant reporting'!E257</f>
        <v>0</v>
      </c>
      <c r="F30">
        <f>'Participant reporting'!F257</f>
        <v>0</v>
      </c>
      <c r="G30">
        <f>'Participant reporting'!G257</f>
        <v>0</v>
      </c>
      <c r="H30">
        <f>'Participant reporting'!H257</f>
        <v>0</v>
      </c>
      <c r="I30">
        <f>'Participant reporting'!I257</f>
        <v>0</v>
      </c>
      <c r="J30">
        <f>'Participant reporting'!J257</f>
        <v>0</v>
      </c>
      <c r="K30">
        <f>'Participant reporting'!K257</f>
        <v>0</v>
      </c>
      <c r="L30">
        <f>'Participant reporting'!L257</f>
        <v>0</v>
      </c>
      <c r="M30">
        <f>'Participant reporting'!M257</f>
        <v>0</v>
      </c>
      <c r="N30">
        <f>'Participant reporting'!N257</f>
        <v>0</v>
      </c>
      <c r="O30">
        <f>'Participant reporting'!O257</f>
        <v>0</v>
      </c>
    </row>
    <row r="31" spans="1:15" x14ac:dyDescent="0.25">
      <c r="A31">
        <f>'Participant reporting'!A258</f>
        <v>0</v>
      </c>
      <c r="B31">
        <f>'Participant reporting'!B258</f>
        <v>0</v>
      </c>
      <c r="C31">
        <f>'Participant reporting'!C258</f>
        <v>0</v>
      </c>
      <c r="D31">
        <f>'Participant reporting'!D258</f>
        <v>0</v>
      </c>
      <c r="E31" s="15">
        <f>'Participant reporting'!E258</f>
        <v>0</v>
      </c>
      <c r="F31">
        <f>'Participant reporting'!F258</f>
        <v>0</v>
      </c>
      <c r="G31">
        <f>'Participant reporting'!G258</f>
        <v>0</v>
      </c>
      <c r="H31">
        <f>'Participant reporting'!H258</f>
        <v>0</v>
      </c>
      <c r="I31">
        <f>'Participant reporting'!I258</f>
        <v>0</v>
      </c>
      <c r="J31">
        <f>'Participant reporting'!J258</f>
        <v>0</v>
      </c>
      <c r="K31">
        <f>'Participant reporting'!K258</f>
        <v>0</v>
      </c>
      <c r="L31">
        <f>'Participant reporting'!L258</f>
        <v>0</v>
      </c>
      <c r="M31">
        <f>'Participant reporting'!M258</f>
        <v>0</v>
      </c>
      <c r="N31">
        <f>'Participant reporting'!N258</f>
        <v>0</v>
      </c>
      <c r="O31">
        <f>'Participant reporting'!O258</f>
        <v>0</v>
      </c>
    </row>
    <row r="32" spans="1:15" x14ac:dyDescent="0.25">
      <c r="A32">
        <f>'Participant reporting'!A259</f>
        <v>0</v>
      </c>
      <c r="B32">
        <f>'Participant reporting'!B259</f>
        <v>0</v>
      </c>
      <c r="C32">
        <f>'Participant reporting'!C259</f>
        <v>0</v>
      </c>
      <c r="D32">
        <f>'Participant reporting'!D259</f>
        <v>0</v>
      </c>
      <c r="E32" s="15">
        <f>'Participant reporting'!E259</f>
        <v>0</v>
      </c>
      <c r="F32">
        <f>'Participant reporting'!F259</f>
        <v>0</v>
      </c>
      <c r="G32">
        <f>'Participant reporting'!G259</f>
        <v>0</v>
      </c>
      <c r="H32">
        <f>'Participant reporting'!H259</f>
        <v>0</v>
      </c>
      <c r="I32">
        <f>'Participant reporting'!I259</f>
        <v>0</v>
      </c>
      <c r="J32">
        <f>'Participant reporting'!J259</f>
        <v>0</v>
      </c>
      <c r="K32">
        <f>'Participant reporting'!K259</f>
        <v>0</v>
      </c>
      <c r="L32">
        <f>'Participant reporting'!L259</f>
        <v>0</v>
      </c>
      <c r="M32">
        <f>'Participant reporting'!M259</f>
        <v>0</v>
      </c>
      <c r="N32">
        <f>'Participant reporting'!N259</f>
        <v>0</v>
      </c>
      <c r="O32">
        <f>'Participant reporting'!O259</f>
        <v>0</v>
      </c>
    </row>
    <row r="33" spans="1:15" x14ac:dyDescent="0.25">
      <c r="A33">
        <f>'Participant reporting'!A260</f>
        <v>0</v>
      </c>
      <c r="B33">
        <f>'Participant reporting'!B260</f>
        <v>0</v>
      </c>
      <c r="C33">
        <f>'Participant reporting'!C260</f>
        <v>0</v>
      </c>
      <c r="D33">
        <f>'Participant reporting'!D260</f>
        <v>0</v>
      </c>
      <c r="E33" s="15">
        <f>'Participant reporting'!E260</f>
        <v>0</v>
      </c>
      <c r="F33">
        <f>'Participant reporting'!F260</f>
        <v>0</v>
      </c>
      <c r="G33">
        <f>'Participant reporting'!G260</f>
        <v>0</v>
      </c>
      <c r="H33">
        <f>'Participant reporting'!H260</f>
        <v>0</v>
      </c>
      <c r="I33">
        <f>'Participant reporting'!I260</f>
        <v>0</v>
      </c>
      <c r="J33">
        <f>'Participant reporting'!J260</f>
        <v>0</v>
      </c>
      <c r="K33">
        <f>'Participant reporting'!K260</f>
        <v>0</v>
      </c>
      <c r="L33">
        <f>'Participant reporting'!L260</f>
        <v>0</v>
      </c>
      <c r="M33">
        <f>'Participant reporting'!M260</f>
        <v>0</v>
      </c>
      <c r="N33">
        <f>'Participant reporting'!N260</f>
        <v>0</v>
      </c>
      <c r="O33">
        <f>'Participant reporting'!O260</f>
        <v>0</v>
      </c>
    </row>
    <row r="34" spans="1:15" x14ac:dyDescent="0.25">
      <c r="A34">
        <f>'Participant reporting'!A261</f>
        <v>0</v>
      </c>
      <c r="B34">
        <f>'Participant reporting'!B261</f>
        <v>0</v>
      </c>
      <c r="C34">
        <f>'Participant reporting'!C261</f>
        <v>0</v>
      </c>
      <c r="D34">
        <f>'Participant reporting'!D261</f>
        <v>0</v>
      </c>
      <c r="E34" s="15">
        <f>'Participant reporting'!E261</f>
        <v>0</v>
      </c>
      <c r="F34">
        <f>'Participant reporting'!F261</f>
        <v>0</v>
      </c>
      <c r="G34">
        <f>'Participant reporting'!G261</f>
        <v>0</v>
      </c>
      <c r="H34">
        <f>'Participant reporting'!H261</f>
        <v>0</v>
      </c>
      <c r="I34">
        <f>'Participant reporting'!I261</f>
        <v>0</v>
      </c>
      <c r="J34">
        <f>'Participant reporting'!J261</f>
        <v>0</v>
      </c>
      <c r="K34">
        <f>'Participant reporting'!K261</f>
        <v>0</v>
      </c>
      <c r="L34">
        <f>'Participant reporting'!L261</f>
        <v>0</v>
      </c>
      <c r="M34">
        <f>'Participant reporting'!M261</f>
        <v>0</v>
      </c>
      <c r="N34">
        <f>'Participant reporting'!N261</f>
        <v>0</v>
      </c>
      <c r="O34">
        <f>'Participant reporting'!O261</f>
        <v>0</v>
      </c>
    </row>
    <row r="35" spans="1:15" x14ac:dyDescent="0.25">
      <c r="A35">
        <f>'Participant reporting'!A262</f>
        <v>0</v>
      </c>
      <c r="B35">
        <f>'Participant reporting'!B262</f>
        <v>0</v>
      </c>
      <c r="C35">
        <f>'Participant reporting'!C262</f>
        <v>0</v>
      </c>
      <c r="D35">
        <f>'Participant reporting'!D262</f>
        <v>0</v>
      </c>
      <c r="E35" s="15">
        <f>'Participant reporting'!E262</f>
        <v>0</v>
      </c>
      <c r="F35">
        <f>'Participant reporting'!F262</f>
        <v>0</v>
      </c>
      <c r="G35">
        <f>'Participant reporting'!G262</f>
        <v>0</v>
      </c>
      <c r="H35">
        <f>'Participant reporting'!H262</f>
        <v>0</v>
      </c>
      <c r="I35">
        <f>'Participant reporting'!I262</f>
        <v>0</v>
      </c>
      <c r="J35">
        <f>'Participant reporting'!J262</f>
        <v>0</v>
      </c>
      <c r="K35">
        <f>'Participant reporting'!K262</f>
        <v>0</v>
      </c>
      <c r="L35">
        <f>'Participant reporting'!L262</f>
        <v>0</v>
      </c>
      <c r="M35">
        <f>'Participant reporting'!M262</f>
        <v>0</v>
      </c>
      <c r="N35">
        <f>'Participant reporting'!N262</f>
        <v>0</v>
      </c>
      <c r="O35">
        <f>'Participant reporting'!O262</f>
        <v>0</v>
      </c>
    </row>
    <row r="36" spans="1:15" x14ac:dyDescent="0.25">
      <c r="A36">
        <f>'Participant reporting'!A263</f>
        <v>0</v>
      </c>
      <c r="B36">
        <f>'Participant reporting'!B263</f>
        <v>0</v>
      </c>
      <c r="C36">
        <f>'Participant reporting'!C263</f>
        <v>0</v>
      </c>
      <c r="D36">
        <f>'Participant reporting'!D263</f>
        <v>0</v>
      </c>
      <c r="E36" s="15">
        <f>'Participant reporting'!E263</f>
        <v>0</v>
      </c>
      <c r="F36">
        <f>'Participant reporting'!F263</f>
        <v>0</v>
      </c>
      <c r="G36">
        <f>'Participant reporting'!G263</f>
        <v>0</v>
      </c>
      <c r="H36">
        <f>'Participant reporting'!H263</f>
        <v>0</v>
      </c>
      <c r="I36">
        <f>'Participant reporting'!I263</f>
        <v>0</v>
      </c>
      <c r="J36">
        <f>'Participant reporting'!J263</f>
        <v>0</v>
      </c>
      <c r="K36">
        <f>'Participant reporting'!K263</f>
        <v>0</v>
      </c>
      <c r="L36">
        <f>'Participant reporting'!L263</f>
        <v>0</v>
      </c>
      <c r="M36">
        <f>'Participant reporting'!M263</f>
        <v>0</v>
      </c>
      <c r="N36">
        <f>'Participant reporting'!N263</f>
        <v>0</v>
      </c>
      <c r="O36">
        <f>'Participant reporting'!O263</f>
        <v>0</v>
      </c>
    </row>
    <row r="37" spans="1:15" x14ac:dyDescent="0.25">
      <c r="A37">
        <f>'Participant reporting'!A264</f>
        <v>0</v>
      </c>
      <c r="B37">
        <f>'Participant reporting'!B264</f>
        <v>0</v>
      </c>
      <c r="C37">
        <f>'Participant reporting'!C264</f>
        <v>0</v>
      </c>
      <c r="D37">
        <f>'Participant reporting'!D264</f>
        <v>0</v>
      </c>
      <c r="E37" s="15">
        <f>'Participant reporting'!E264</f>
        <v>0</v>
      </c>
      <c r="F37">
        <f>'Participant reporting'!F264</f>
        <v>0</v>
      </c>
      <c r="G37">
        <f>'Participant reporting'!G264</f>
        <v>0</v>
      </c>
      <c r="H37">
        <f>'Participant reporting'!H264</f>
        <v>0</v>
      </c>
      <c r="I37">
        <f>'Participant reporting'!I264</f>
        <v>0</v>
      </c>
      <c r="J37">
        <f>'Participant reporting'!J264</f>
        <v>0</v>
      </c>
      <c r="K37">
        <f>'Participant reporting'!K264</f>
        <v>0</v>
      </c>
      <c r="L37">
        <f>'Participant reporting'!L264</f>
        <v>0</v>
      </c>
      <c r="M37">
        <f>'Participant reporting'!M264</f>
        <v>0</v>
      </c>
      <c r="N37">
        <f>'Participant reporting'!N264</f>
        <v>0</v>
      </c>
      <c r="O37">
        <f>'Participant reporting'!O264</f>
        <v>0</v>
      </c>
    </row>
    <row r="38" spans="1:15" x14ac:dyDescent="0.25">
      <c r="A38">
        <f>'Participant reporting'!A265</f>
        <v>0</v>
      </c>
      <c r="B38">
        <f>'Participant reporting'!B265</f>
        <v>0</v>
      </c>
      <c r="C38">
        <f>'Participant reporting'!C265</f>
        <v>0</v>
      </c>
      <c r="D38">
        <f>'Participant reporting'!D265</f>
        <v>0</v>
      </c>
      <c r="E38" s="15">
        <f>'Participant reporting'!E265</f>
        <v>0</v>
      </c>
      <c r="F38">
        <f>'Participant reporting'!F265</f>
        <v>0</v>
      </c>
      <c r="G38">
        <f>'Participant reporting'!G265</f>
        <v>0</v>
      </c>
      <c r="H38">
        <f>'Participant reporting'!H265</f>
        <v>0</v>
      </c>
      <c r="I38">
        <f>'Participant reporting'!I265</f>
        <v>0</v>
      </c>
      <c r="J38">
        <f>'Participant reporting'!J265</f>
        <v>0</v>
      </c>
      <c r="K38">
        <f>'Participant reporting'!K265</f>
        <v>0</v>
      </c>
      <c r="L38">
        <f>'Participant reporting'!L265</f>
        <v>0</v>
      </c>
      <c r="M38">
        <f>'Participant reporting'!M265</f>
        <v>0</v>
      </c>
      <c r="N38">
        <f>'Participant reporting'!N265</f>
        <v>0</v>
      </c>
      <c r="O38">
        <f>'Participant reporting'!O265</f>
        <v>0</v>
      </c>
    </row>
    <row r="39" spans="1:15" x14ac:dyDescent="0.25">
      <c r="A39">
        <f>'Participant reporting'!A266</f>
        <v>0</v>
      </c>
      <c r="B39">
        <f>'Participant reporting'!B266</f>
        <v>0</v>
      </c>
      <c r="C39">
        <f>'Participant reporting'!C266</f>
        <v>0</v>
      </c>
      <c r="D39">
        <f>'Participant reporting'!D266</f>
        <v>0</v>
      </c>
      <c r="E39" s="15">
        <f>'Participant reporting'!E266</f>
        <v>0</v>
      </c>
      <c r="F39">
        <f>'Participant reporting'!F266</f>
        <v>0</v>
      </c>
      <c r="G39">
        <f>'Participant reporting'!G266</f>
        <v>0</v>
      </c>
      <c r="H39">
        <f>'Participant reporting'!H266</f>
        <v>0</v>
      </c>
      <c r="I39">
        <f>'Participant reporting'!I266</f>
        <v>0</v>
      </c>
      <c r="J39">
        <f>'Participant reporting'!J266</f>
        <v>0</v>
      </c>
      <c r="K39">
        <f>'Participant reporting'!K266</f>
        <v>0</v>
      </c>
      <c r="L39">
        <f>'Participant reporting'!L266</f>
        <v>0</v>
      </c>
      <c r="M39">
        <f>'Participant reporting'!M266</f>
        <v>0</v>
      </c>
      <c r="N39">
        <f>'Participant reporting'!N266</f>
        <v>0</v>
      </c>
      <c r="O39">
        <f>'Participant reporting'!O266</f>
        <v>0</v>
      </c>
    </row>
    <row r="40" spans="1:15" x14ac:dyDescent="0.25">
      <c r="A40">
        <f>'Participant reporting'!A267</f>
        <v>0</v>
      </c>
      <c r="B40">
        <f>'Participant reporting'!B267</f>
        <v>0</v>
      </c>
      <c r="C40">
        <f>'Participant reporting'!C267</f>
        <v>0</v>
      </c>
      <c r="D40">
        <f>'Participant reporting'!D267</f>
        <v>0</v>
      </c>
      <c r="E40" s="15">
        <f>'Participant reporting'!E267</f>
        <v>0</v>
      </c>
      <c r="F40">
        <f>'Participant reporting'!F267</f>
        <v>0</v>
      </c>
      <c r="G40">
        <f>'Participant reporting'!G267</f>
        <v>0</v>
      </c>
      <c r="H40">
        <f>'Participant reporting'!H267</f>
        <v>0</v>
      </c>
      <c r="I40">
        <f>'Participant reporting'!I267</f>
        <v>0</v>
      </c>
      <c r="J40">
        <f>'Participant reporting'!J267</f>
        <v>0</v>
      </c>
      <c r="K40">
        <f>'Participant reporting'!K267</f>
        <v>0</v>
      </c>
      <c r="L40">
        <f>'Participant reporting'!L267</f>
        <v>0</v>
      </c>
      <c r="M40">
        <f>'Participant reporting'!M267</f>
        <v>0</v>
      </c>
      <c r="N40">
        <f>'Participant reporting'!N267</f>
        <v>0</v>
      </c>
      <c r="O40">
        <f>'Participant reporting'!O267</f>
        <v>0</v>
      </c>
    </row>
    <row r="41" spans="1:15" x14ac:dyDescent="0.25">
      <c r="A41">
        <f>'Participant reporting'!A268</f>
        <v>0</v>
      </c>
      <c r="B41">
        <f>'Participant reporting'!B268</f>
        <v>0</v>
      </c>
      <c r="C41">
        <f>'Participant reporting'!C268</f>
        <v>0</v>
      </c>
      <c r="D41">
        <f>'Participant reporting'!D268</f>
        <v>0</v>
      </c>
      <c r="E41" s="15">
        <f>'Participant reporting'!E268</f>
        <v>0</v>
      </c>
      <c r="F41">
        <f>'Participant reporting'!F268</f>
        <v>0</v>
      </c>
      <c r="G41">
        <f>'Participant reporting'!G268</f>
        <v>0</v>
      </c>
      <c r="H41">
        <f>'Participant reporting'!H268</f>
        <v>0</v>
      </c>
      <c r="I41">
        <f>'Participant reporting'!I268</f>
        <v>0</v>
      </c>
      <c r="J41">
        <f>'Participant reporting'!J268</f>
        <v>0</v>
      </c>
      <c r="K41">
        <f>'Participant reporting'!K268</f>
        <v>0</v>
      </c>
      <c r="L41">
        <f>'Participant reporting'!L268</f>
        <v>0</v>
      </c>
      <c r="M41">
        <f>'Participant reporting'!M268</f>
        <v>0</v>
      </c>
      <c r="N41">
        <f>'Participant reporting'!N268</f>
        <v>0</v>
      </c>
      <c r="O41">
        <f>'Participant reporting'!O268</f>
        <v>0</v>
      </c>
    </row>
    <row r="42" spans="1:15" x14ac:dyDescent="0.25">
      <c r="A42">
        <f>'Participant reporting'!A269</f>
        <v>0</v>
      </c>
      <c r="B42">
        <f>'Participant reporting'!B269</f>
        <v>0</v>
      </c>
      <c r="C42">
        <f>'Participant reporting'!C269</f>
        <v>0</v>
      </c>
      <c r="D42">
        <f>'Participant reporting'!D269</f>
        <v>0</v>
      </c>
      <c r="E42" s="15">
        <f>'Participant reporting'!E269</f>
        <v>0</v>
      </c>
      <c r="F42">
        <f>'Participant reporting'!F269</f>
        <v>0</v>
      </c>
      <c r="G42">
        <f>'Participant reporting'!G269</f>
        <v>0</v>
      </c>
      <c r="H42">
        <f>'Participant reporting'!H269</f>
        <v>0</v>
      </c>
      <c r="I42">
        <f>'Participant reporting'!I269</f>
        <v>0</v>
      </c>
      <c r="J42">
        <f>'Participant reporting'!J269</f>
        <v>0</v>
      </c>
      <c r="K42">
        <f>'Participant reporting'!K269</f>
        <v>0</v>
      </c>
      <c r="L42">
        <f>'Participant reporting'!L269</f>
        <v>0</v>
      </c>
      <c r="M42">
        <f>'Participant reporting'!M269</f>
        <v>0</v>
      </c>
      <c r="N42">
        <f>'Participant reporting'!N269</f>
        <v>0</v>
      </c>
      <c r="O42">
        <f>'Participant reporting'!O269</f>
        <v>0</v>
      </c>
    </row>
    <row r="43" spans="1:15" x14ac:dyDescent="0.25">
      <c r="A43">
        <f>'Participant reporting'!A270</f>
        <v>0</v>
      </c>
      <c r="B43">
        <f>'Participant reporting'!B270</f>
        <v>0</v>
      </c>
      <c r="C43">
        <f>'Participant reporting'!C270</f>
        <v>0</v>
      </c>
      <c r="D43">
        <f>'Participant reporting'!D270</f>
        <v>0</v>
      </c>
      <c r="E43" s="15">
        <f>'Participant reporting'!E270</f>
        <v>0</v>
      </c>
      <c r="F43">
        <f>'Participant reporting'!F270</f>
        <v>0</v>
      </c>
      <c r="G43">
        <f>'Participant reporting'!G270</f>
        <v>0</v>
      </c>
      <c r="H43">
        <f>'Participant reporting'!H270</f>
        <v>0</v>
      </c>
      <c r="I43">
        <f>'Participant reporting'!I270</f>
        <v>0</v>
      </c>
      <c r="J43">
        <f>'Participant reporting'!J270</f>
        <v>0</v>
      </c>
      <c r="K43">
        <f>'Participant reporting'!K270</f>
        <v>0</v>
      </c>
      <c r="L43">
        <f>'Participant reporting'!L270</f>
        <v>0</v>
      </c>
      <c r="M43">
        <f>'Participant reporting'!M270</f>
        <v>0</v>
      </c>
      <c r="N43">
        <f>'Participant reporting'!N270</f>
        <v>0</v>
      </c>
      <c r="O43">
        <f>'Participant reporting'!O270</f>
        <v>0</v>
      </c>
    </row>
    <row r="44" spans="1:15" x14ac:dyDescent="0.25">
      <c r="A44">
        <f>'Participant reporting'!A271</f>
        <v>0</v>
      </c>
      <c r="B44">
        <f>'Participant reporting'!B271</f>
        <v>0</v>
      </c>
      <c r="C44">
        <f>'Participant reporting'!C271</f>
        <v>0</v>
      </c>
      <c r="D44">
        <f>'Participant reporting'!D271</f>
        <v>0</v>
      </c>
      <c r="E44" s="15">
        <f>'Participant reporting'!E271</f>
        <v>0</v>
      </c>
      <c r="F44">
        <f>'Participant reporting'!F271</f>
        <v>0</v>
      </c>
      <c r="G44">
        <f>'Participant reporting'!G271</f>
        <v>0</v>
      </c>
      <c r="H44">
        <f>'Participant reporting'!H271</f>
        <v>0</v>
      </c>
      <c r="I44">
        <f>'Participant reporting'!I271</f>
        <v>0</v>
      </c>
      <c r="J44">
        <f>'Participant reporting'!J271</f>
        <v>0</v>
      </c>
      <c r="K44">
        <f>'Participant reporting'!K271</f>
        <v>0</v>
      </c>
      <c r="L44">
        <f>'Participant reporting'!L271</f>
        <v>0</v>
      </c>
      <c r="M44">
        <f>'Participant reporting'!M271</f>
        <v>0</v>
      </c>
      <c r="N44">
        <f>'Participant reporting'!N271</f>
        <v>0</v>
      </c>
      <c r="O44">
        <f>'Participant reporting'!O271</f>
        <v>0</v>
      </c>
    </row>
    <row r="45" spans="1:15" x14ac:dyDescent="0.25">
      <c r="A45">
        <f>'Participant reporting'!A272</f>
        <v>0</v>
      </c>
      <c r="B45">
        <f>'Participant reporting'!B272</f>
        <v>0</v>
      </c>
      <c r="C45">
        <f>'Participant reporting'!C272</f>
        <v>0</v>
      </c>
      <c r="D45">
        <f>'Participant reporting'!D272</f>
        <v>0</v>
      </c>
      <c r="E45" s="15">
        <f>'Participant reporting'!E272</f>
        <v>0</v>
      </c>
      <c r="F45">
        <f>'Participant reporting'!F272</f>
        <v>0</v>
      </c>
      <c r="G45">
        <f>'Participant reporting'!G272</f>
        <v>0</v>
      </c>
      <c r="H45">
        <f>'Participant reporting'!H272</f>
        <v>0</v>
      </c>
      <c r="I45">
        <f>'Participant reporting'!I272</f>
        <v>0</v>
      </c>
      <c r="J45">
        <f>'Participant reporting'!J272</f>
        <v>0</v>
      </c>
      <c r="K45">
        <f>'Participant reporting'!K272</f>
        <v>0</v>
      </c>
      <c r="L45">
        <f>'Participant reporting'!L272</f>
        <v>0</v>
      </c>
      <c r="M45">
        <f>'Participant reporting'!M272</f>
        <v>0</v>
      </c>
      <c r="N45">
        <f>'Participant reporting'!N272</f>
        <v>0</v>
      </c>
      <c r="O45">
        <f>'Participant reporting'!O272</f>
        <v>0</v>
      </c>
    </row>
    <row r="46" spans="1:15" x14ac:dyDescent="0.25">
      <c r="A46">
        <f>'Participant reporting'!A273</f>
        <v>0</v>
      </c>
      <c r="B46">
        <f>'Participant reporting'!B273</f>
        <v>0</v>
      </c>
      <c r="C46">
        <f>'Participant reporting'!C273</f>
        <v>0</v>
      </c>
      <c r="D46">
        <f>'Participant reporting'!D273</f>
        <v>0</v>
      </c>
      <c r="E46" s="15">
        <f>'Participant reporting'!E273</f>
        <v>0</v>
      </c>
      <c r="F46">
        <f>'Participant reporting'!F273</f>
        <v>0</v>
      </c>
      <c r="G46">
        <f>'Participant reporting'!G273</f>
        <v>0</v>
      </c>
      <c r="H46">
        <f>'Participant reporting'!H273</f>
        <v>0</v>
      </c>
      <c r="I46">
        <f>'Participant reporting'!I273</f>
        <v>0</v>
      </c>
      <c r="J46">
        <f>'Participant reporting'!J273</f>
        <v>0</v>
      </c>
      <c r="K46">
        <f>'Participant reporting'!K273</f>
        <v>0</v>
      </c>
      <c r="L46">
        <f>'Participant reporting'!L273</f>
        <v>0</v>
      </c>
      <c r="M46">
        <f>'Participant reporting'!M273</f>
        <v>0</v>
      </c>
      <c r="N46">
        <f>'Participant reporting'!N273</f>
        <v>0</v>
      </c>
      <c r="O46">
        <f>'Participant reporting'!O273</f>
        <v>0</v>
      </c>
    </row>
    <row r="47" spans="1:15" x14ac:dyDescent="0.25">
      <c r="A47">
        <f>'Participant reporting'!A274</f>
        <v>0</v>
      </c>
      <c r="B47">
        <f>'Participant reporting'!B274</f>
        <v>0</v>
      </c>
      <c r="C47">
        <f>'Participant reporting'!C274</f>
        <v>0</v>
      </c>
      <c r="D47">
        <f>'Participant reporting'!D274</f>
        <v>0</v>
      </c>
      <c r="E47" s="15">
        <f>'Participant reporting'!E274</f>
        <v>0</v>
      </c>
      <c r="F47">
        <f>'Participant reporting'!F274</f>
        <v>0</v>
      </c>
      <c r="G47">
        <f>'Participant reporting'!G274</f>
        <v>0</v>
      </c>
      <c r="H47">
        <f>'Participant reporting'!H274</f>
        <v>0</v>
      </c>
      <c r="I47">
        <f>'Participant reporting'!I274</f>
        <v>0</v>
      </c>
      <c r="J47">
        <f>'Participant reporting'!J274</f>
        <v>0</v>
      </c>
      <c r="K47">
        <f>'Participant reporting'!K274</f>
        <v>0</v>
      </c>
      <c r="L47">
        <f>'Participant reporting'!L274</f>
        <v>0</v>
      </c>
      <c r="M47">
        <f>'Participant reporting'!M274</f>
        <v>0</v>
      </c>
      <c r="N47">
        <f>'Participant reporting'!N274</f>
        <v>0</v>
      </c>
      <c r="O47">
        <f>'Participant reporting'!O274</f>
        <v>0</v>
      </c>
    </row>
    <row r="48" spans="1:15" x14ac:dyDescent="0.25">
      <c r="A48">
        <f>'Participant reporting'!A275</f>
        <v>0</v>
      </c>
      <c r="B48">
        <f>'Participant reporting'!B275</f>
        <v>0</v>
      </c>
      <c r="C48">
        <f>'Participant reporting'!C275</f>
        <v>0</v>
      </c>
      <c r="D48">
        <f>'Participant reporting'!D275</f>
        <v>0</v>
      </c>
      <c r="E48" s="15">
        <f>'Participant reporting'!E275</f>
        <v>0</v>
      </c>
      <c r="F48">
        <f>'Participant reporting'!F275</f>
        <v>0</v>
      </c>
      <c r="G48">
        <f>'Participant reporting'!G275</f>
        <v>0</v>
      </c>
      <c r="H48">
        <f>'Participant reporting'!H275</f>
        <v>0</v>
      </c>
      <c r="I48">
        <f>'Participant reporting'!I275</f>
        <v>0</v>
      </c>
      <c r="J48">
        <f>'Participant reporting'!J275</f>
        <v>0</v>
      </c>
      <c r="K48">
        <f>'Participant reporting'!K275</f>
        <v>0</v>
      </c>
      <c r="L48">
        <f>'Participant reporting'!L275</f>
        <v>0</v>
      </c>
      <c r="M48">
        <f>'Participant reporting'!M275</f>
        <v>0</v>
      </c>
      <c r="N48">
        <f>'Participant reporting'!N275</f>
        <v>0</v>
      </c>
      <c r="O48">
        <f>'Participant reporting'!O275</f>
        <v>0</v>
      </c>
    </row>
    <row r="49" spans="1:15" x14ac:dyDescent="0.25">
      <c r="A49">
        <f>'Participant reporting'!A276</f>
        <v>0</v>
      </c>
      <c r="B49">
        <f>'Participant reporting'!B276</f>
        <v>0</v>
      </c>
      <c r="C49">
        <f>'Participant reporting'!C276</f>
        <v>0</v>
      </c>
      <c r="D49">
        <f>'Participant reporting'!D276</f>
        <v>0</v>
      </c>
      <c r="E49" s="15">
        <f>'Participant reporting'!E276</f>
        <v>0</v>
      </c>
      <c r="F49">
        <f>'Participant reporting'!F276</f>
        <v>0</v>
      </c>
      <c r="G49">
        <f>'Participant reporting'!G276</f>
        <v>0</v>
      </c>
      <c r="H49">
        <f>'Participant reporting'!H276</f>
        <v>0</v>
      </c>
      <c r="I49">
        <f>'Participant reporting'!I276</f>
        <v>0</v>
      </c>
      <c r="J49">
        <f>'Participant reporting'!J276</f>
        <v>0</v>
      </c>
      <c r="K49">
        <f>'Participant reporting'!K276</f>
        <v>0</v>
      </c>
      <c r="L49">
        <f>'Participant reporting'!L276</f>
        <v>0</v>
      </c>
      <c r="M49">
        <f>'Participant reporting'!M276</f>
        <v>0</v>
      </c>
      <c r="N49">
        <f>'Participant reporting'!N276</f>
        <v>0</v>
      </c>
      <c r="O49">
        <f>'Participant reporting'!O276</f>
        <v>0</v>
      </c>
    </row>
    <row r="50" spans="1:15" x14ac:dyDescent="0.25">
      <c r="A50">
        <f>'Participant reporting'!A277</f>
        <v>0</v>
      </c>
      <c r="B50">
        <f>'Participant reporting'!B277</f>
        <v>0</v>
      </c>
      <c r="C50">
        <f>'Participant reporting'!C277</f>
        <v>0</v>
      </c>
      <c r="D50">
        <f>'Participant reporting'!D277</f>
        <v>0</v>
      </c>
      <c r="E50" s="15">
        <f>'Participant reporting'!E277</f>
        <v>0</v>
      </c>
      <c r="F50">
        <f>'Participant reporting'!F277</f>
        <v>0</v>
      </c>
      <c r="G50">
        <f>'Participant reporting'!G277</f>
        <v>0</v>
      </c>
      <c r="H50">
        <f>'Participant reporting'!H277</f>
        <v>0</v>
      </c>
      <c r="I50">
        <f>'Participant reporting'!I277</f>
        <v>0</v>
      </c>
      <c r="J50">
        <f>'Participant reporting'!J277</f>
        <v>0</v>
      </c>
      <c r="K50">
        <f>'Participant reporting'!K277</f>
        <v>0</v>
      </c>
      <c r="L50">
        <f>'Participant reporting'!L277</f>
        <v>0</v>
      </c>
      <c r="M50">
        <f>'Participant reporting'!M277</f>
        <v>0</v>
      </c>
      <c r="N50">
        <f>'Participant reporting'!N277</f>
        <v>0</v>
      </c>
      <c r="O50">
        <f>'Participant reporting'!O277</f>
        <v>0</v>
      </c>
    </row>
    <row r="51" spans="1:15" x14ac:dyDescent="0.25">
      <c r="A51">
        <f>'Participant reporting'!A278</f>
        <v>0</v>
      </c>
      <c r="B51">
        <f>'Participant reporting'!B278</f>
        <v>0</v>
      </c>
      <c r="C51">
        <f>'Participant reporting'!C278</f>
        <v>0</v>
      </c>
      <c r="D51">
        <f>'Participant reporting'!D278</f>
        <v>0</v>
      </c>
      <c r="E51" s="15">
        <f>'Participant reporting'!E278</f>
        <v>0</v>
      </c>
      <c r="F51">
        <f>'Participant reporting'!F278</f>
        <v>0</v>
      </c>
      <c r="G51">
        <f>'Participant reporting'!G278</f>
        <v>0</v>
      </c>
      <c r="H51">
        <f>'Participant reporting'!H278</f>
        <v>0</v>
      </c>
      <c r="I51">
        <f>'Participant reporting'!I278</f>
        <v>0</v>
      </c>
      <c r="J51">
        <f>'Participant reporting'!J278</f>
        <v>0</v>
      </c>
      <c r="K51">
        <f>'Participant reporting'!K278</f>
        <v>0</v>
      </c>
      <c r="L51">
        <f>'Participant reporting'!L278</f>
        <v>0</v>
      </c>
      <c r="M51">
        <f>'Participant reporting'!M278</f>
        <v>0</v>
      </c>
      <c r="N51">
        <f>'Participant reporting'!N278</f>
        <v>0</v>
      </c>
      <c r="O51">
        <f>'Participant reporting'!O278</f>
        <v>0</v>
      </c>
    </row>
    <row r="52" spans="1:15" x14ac:dyDescent="0.25">
      <c r="A52">
        <f>'Participant reporting'!A279</f>
        <v>0</v>
      </c>
      <c r="B52">
        <f>'Participant reporting'!B279</f>
        <v>0</v>
      </c>
      <c r="C52">
        <f>'Participant reporting'!C279</f>
        <v>0</v>
      </c>
      <c r="D52">
        <f>'Participant reporting'!D279</f>
        <v>0</v>
      </c>
      <c r="E52" s="15">
        <f>'Participant reporting'!E279</f>
        <v>0</v>
      </c>
      <c r="F52">
        <f>'Participant reporting'!F279</f>
        <v>0</v>
      </c>
      <c r="G52">
        <f>'Participant reporting'!G279</f>
        <v>0</v>
      </c>
      <c r="H52">
        <f>'Participant reporting'!H279</f>
        <v>0</v>
      </c>
      <c r="I52">
        <f>'Participant reporting'!I279</f>
        <v>0</v>
      </c>
      <c r="J52">
        <f>'Participant reporting'!J279</f>
        <v>0</v>
      </c>
      <c r="K52">
        <f>'Participant reporting'!K279</f>
        <v>0</v>
      </c>
      <c r="L52">
        <f>'Participant reporting'!L279</f>
        <v>0</v>
      </c>
      <c r="M52">
        <f>'Participant reporting'!M279</f>
        <v>0</v>
      </c>
      <c r="N52">
        <f>'Participant reporting'!N279</f>
        <v>0</v>
      </c>
      <c r="O52">
        <f>'Participant reporting'!O279</f>
        <v>0</v>
      </c>
    </row>
    <row r="53" spans="1:15" x14ac:dyDescent="0.25">
      <c r="A53">
        <f>'Participant reporting'!A280</f>
        <v>0</v>
      </c>
      <c r="B53">
        <f>'Participant reporting'!B280</f>
        <v>0</v>
      </c>
      <c r="C53">
        <f>'Participant reporting'!C280</f>
        <v>0</v>
      </c>
      <c r="D53">
        <f>'Participant reporting'!D280</f>
        <v>0</v>
      </c>
      <c r="E53" s="15">
        <f>'Participant reporting'!E280</f>
        <v>0</v>
      </c>
      <c r="F53">
        <f>'Participant reporting'!F280</f>
        <v>0</v>
      </c>
      <c r="G53">
        <f>'Participant reporting'!G280</f>
        <v>0</v>
      </c>
      <c r="H53">
        <f>'Participant reporting'!H280</f>
        <v>0</v>
      </c>
      <c r="I53">
        <f>'Participant reporting'!I280</f>
        <v>0</v>
      </c>
      <c r="J53">
        <f>'Participant reporting'!J280</f>
        <v>0</v>
      </c>
      <c r="K53">
        <f>'Participant reporting'!K280</f>
        <v>0</v>
      </c>
      <c r="L53">
        <f>'Participant reporting'!L280</f>
        <v>0</v>
      </c>
      <c r="M53">
        <f>'Participant reporting'!M280</f>
        <v>0</v>
      </c>
      <c r="N53">
        <f>'Participant reporting'!N280</f>
        <v>0</v>
      </c>
      <c r="O53">
        <f>'Participant reporting'!O280</f>
        <v>0</v>
      </c>
    </row>
    <row r="54" spans="1:15" x14ac:dyDescent="0.25">
      <c r="A54">
        <f>'Participant reporting'!A281</f>
        <v>0</v>
      </c>
      <c r="B54">
        <f>'Participant reporting'!B281</f>
        <v>0</v>
      </c>
      <c r="C54">
        <f>'Participant reporting'!C281</f>
        <v>0</v>
      </c>
      <c r="D54">
        <f>'Participant reporting'!D281</f>
        <v>0</v>
      </c>
      <c r="E54" s="15">
        <f>'Participant reporting'!E281</f>
        <v>0</v>
      </c>
      <c r="F54">
        <f>'Participant reporting'!F281</f>
        <v>0</v>
      </c>
      <c r="G54">
        <f>'Participant reporting'!G281</f>
        <v>0</v>
      </c>
      <c r="H54">
        <f>'Participant reporting'!H281</f>
        <v>0</v>
      </c>
      <c r="I54">
        <f>'Participant reporting'!I281</f>
        <v>0</v>
      </c>
      <c r="J54">
        <f>'Participant reporting'!J281</f>
        <v>0</v>
      </c>
      <c r="K54">
        <f>'Participant reporting'!K281</f>
        <v>0</v>
      </c>
      <c r="L54">
        <f>'Participant reporting'!L281</f>
        <v>0</v>
      </c>
      <c r="M54">
        <f>'Participant reporting'!M281</f>
        <v>0</v>
      </c>
      <c r="N54">
        <f>'Participant reporting'!N281</f>
        <v>0</v>
      </c>
      <c r="O54">
        <f>'Participant reporting'!O281</f>
        <v>0</v>
      </c>
    </row>
    <row r="55" spans="1:15" x14ac:dyDescent="0.25">
      <c r="A55">
        <f>'Participant reporting'!A282</f>
        <v>0</v>
      </c>
      <c r="B55">
        <f>'Participant reporting'!B282</f>
        <v>0</v>
      </c>
      <c r="C55">
        <f>'Participant reporting'!C282</f>
        <v>0</v>
      </c>
      <c r="D55">
        <f>'Participant reporting'!D282</f>
        <v>0</v>
      </c>
      <c r="E55" s="15">
        <f>'Participant reporting'!E282</f>
        <v>0</v>
      </c>
      <c r="F55">
        <f>'Participant reporting'!F282</f>
        <v>0</v>
      </c>
      <c r="G55">
        <f>'Participant reporting'!G282</f>
        <v>0</v>
      </c>
      <c r="H55">
        <f>'Participant reporting'!H282</f>
        <v>0</v>
      </c>
      <c r="I55">
        <f>'Participant reporting'!I282</f>
        <v>0</v>
      </c>
      <c r="J55">
        <f>'Participant reporting'!J282</f>
        <v>0</v>
      </c>
      <c r="K55">
        <f>'Participant reporting'!K282</f>
        <v>0</v>
      </c>
      <c r="L55">
        <f>'Participant reporting'!L282</f>
        <v>0</v>
      </c>
      <c r="M55">
        <f>'Participant reporting'!M282</f>
        <v>0</v>
      </c>
      <c r="N55">
        <f>'Participant reporting'!N282</f>
        <v>0</v>
      </c>
      <c r="O55">
        <f>'Participant reporting'!O282</f>
        <v>0</v>
      </c>
    </row>
    <row r="56" spans="1:15" x14ac:dyDescent="0.25">
      <c r="A56">
        <f>'Participant reporting'!A283</f>
        <v>0</v>
      </c>
      <c r="B56">
        <f>'Participant reporting'!B283</f>
        <v>0</v>
      </c>
      <c r="C56">
        <f>'Participant reporting'!C283</f>
        <v>0</v>
      </c>
      <c r="D56">
        <f>'Participant reporting'!D283</f>
        <v>0</v>
      </c>
      <c r="E56" s="15">
        <f>'Participant reporting'!E283</f>
        <v>0</v>
      </c>
      <c r="F56">
        <f>'Participant reporting'!F283</f>
        <v>0</v>
      </c>
      <c r="G56">
        <f>'Participant reporting'!G283</f>
        <v>0</v>
      </c>
      <c r="H56">
        <f>'Participant reporting'!H283</f>
        <v>0</v>
      </c>
      <c r="I56">
        <f>'Participant reporting'!I283</f>
        <v>0</v>
      </c>
      <c r="J56">
        <f>'Participant reporting'!J283</f>
        <v>0</v>
      </c>
      <c r="K56">
        <f>'Participant reporting'!K283</f>
        <v>0</v>
      </c>
      <c r="L56">
        <f>'Participant reporting'!L283</f>
        <v>0</v>
      </c>
      <c r="M56">
        <f>'Participant reporting'!M283</f>
        <v>0</v>
      </c>
      <c r="N56">
        <f>'Participant reporting'!N283</f>
        <v>0</v>
      </c>
      <c r="O56">
        <f>'Participant reporting'!O283</f>
        <v>0</v>
      </c>
    </row>
    <row r="57" spans="1:15" x14ac:dyDescent="0.25">
      <c r="A57">
        <f>'Participant reporting'!A284</f>
        <v>0</v>
      </c>
      <c r="B57">
        <f>'Participant reporting'!B284</f>
        <v>0</v>
      </c>
      <c r="C57">
        <f>'Participant reporting'!C284</f>
        <v>0</v>
      </c>
      <c r="D57">
        <f>'Participant reporting'!D284</f>
        <v>0</v>
      </c>
      <c r="E57" s="15">
        <f>'Participant reporting'!E284</f>
        <v>0</v>
      </c>
      <c r="F57">
        <f>'Participant reporting'!F284</f>
        <v>0</v>
      </c>
      <c r="G57">
        <f>'Participant reporting'!G284</f>
        <v>0</v>
      </c>
      <c r="H57">
        <f>'Participant reporting'!H284</f>
        <v>0</v>
      </c>
      <c r="I57">
        <f>'Participant reporting'!I284</f>
        <v>0</v>
      </c>
      <c r="J57">
        <f>'Participant reporting'!J284</f>
        <v>0</v>
      </c>
      <c r="K57">
        <f>'Participant reporting'!K284</f>
        <v>0</v>
      </c>
      <c r="L57">
        <f>'Participant reporting'!L284</f>
        <v>0</v>
      </c>
      <c r="M57">
        <f>'Participant reporting'!M284</f>
        <v>0</v>
      </c>
      <c r="N57">
        <f>'Participant reporting'!N284</f>
        <v>0</v>
      </c>
      <c r="O57">
        <f>'Participant reporting'!O284</f>
        <v>0</v>
      </c>
    </row>
    <row r="58" spans="1:15" x14ac:dyDescent="0.25">
      <c r="A58">
        <f>'Participant reporting'!A285</f>
        <v>0</v>
      </c>
      <c r="B58">
        <f>'Participant reporting'!B285</f>
        <v>0</v>
      </c>
      <c r="C58">
        <f>'Participant reporting'!C285</f>
        <v>0</v>
      </c>
      <c r="D58">
        <f>'Participant reporting'!D285</f>
        <v>0</v>
      </c>
      <c r="E58" s="15">
        <f>'Participant reporting'!E285</f>
        <v>0</v>
      </c>
      <c r="F58">
        <f>'Participant reporting'!F285</f>
        <v>0</v>
      </c>
      <c r="G58">
        <f>'Participant reporting'!G285</f>
        <v>0</v>
      </c>
      <c r="H58">
        <f>'Participant reporting'!H285</f>
        <v>0</v>
      </c>
      <c r="I58">
        <f>'Participant reporting'!I285</f>
        <v>0</v>
      </c>
      <c r="J58">
        <f>'Participant reporting'!J285</f>
        <v>0</v>
      </c>
      <c r="K58">
        <f>'Participant reporting'!K285</f>
        <v>0</v>
      </c>
      <c r="L58">
        <f>'Participant reporting'!L285</f>
        <v>0</v>
      </c>
      <c r="M58">
        <f>'Participant reporting'!M285</f>
        <v>0</v>
      </c>
      <c r="N58">
        <f>'Participant reporting'!N285</f>
        <v>0</v>
      </c>
      <c r="O58">
        <f>'Participant reporting'!O285</f>
        <v>0</v>
      </c>
    </row>
    <row r="59" spans="1:15" x14ac:dyDescent="0.25">
      <c r="A59">
        <f>'Participant reporting'!A286</f>
        <v>0</v>
      </c>
      <c r="B59">
        <f>'Participant reporting'!B286</f>
        <v>0</v>
      </c>
      <c r="C59">
        <f>'Participant reporting'!C286</f>
        <v>0</v>
      </c>
      <c r="D59">
        <f>'Participant reporting'!D286</f>
        <v>0</v>
      </c>
      <c r="E59" s="15">
        <f>'Participant reporting'!E286</f>
        <v>0</v>
      </c>
      <c r="F59">
        <f>'Participant reporting'!F286</f>
        <v>0</v>
      </c>
      <c r="G59">
        <f>'Participant reporting'!G286</f>
        <v>0</v>
      </c>
      <c r="H59">
        <f>'Participant reporting'!H286</f>
        <v>0</v>
      </c>
      <c r="I59">
        <f>'Participant reporting'!I286</f>
        <v>0</v>
      </c>
      <c r="J59">
        <f>'Participant reporting'!J286</f>
        <v>0</v>
      </c>
      <c r="K59">
        <f>'Participant reporting'!K286</f>
        <v>0</v>
      </c>
      <c r="L59">
        <f>'Participant reporting'!L286</f>
        <v>0</v>
      </c>
      <c r="M59">
        <f>'Participant reporting'!M286</f>
        <v>0</v>
      </c>
      <c r="N59">
        <f>'Participant reporting'!N286</f>
        <v>0</v>
      </c>
      <c r="O59">
        <f>'Participant reporting'!O286</f>
        <v>0</v>
      </c>
    </row>
    <row r="60" spans="1:15" x14ac:dyDescent="0.25">
      <c r="A60">
        <f>'Participant reporting'!A287</f>
        <v>0</v>
      </c>
      <c r="B60">
        <f>'Participant reporting'!B287</f>
        <v>0</v>
      </c>
      <c r="C60">
        <f>'Participant reporting'!C287</f>
        <v>0</v>
      </c>
      <c r="D60">
        <f>'Participant reporting'!D287</f>
        <v>0</v>
      </c>
      <c r="E60" s="15">
        <f>'Participant reporting'!E287</f>
        <v>0</v>
      </c>
      <c r="F60">
        <f>'Participant reporting'!F287</f>
        <v>0</v>
      </c>
      <c r="G60">
        <f>'Participant reporting'!G287</f>
        <v>0</v>
      </c>
      <c r="H60">
        <f>'Participant reporting'!H287</f>
        <v>0</v>
      </c>
      <c r="I60">
        <f>'Participant reporting'!I287</f>
        <v>0</v>
      </c>
      <c r="J60">
        <f>'Participant reporting'!J287</f>
        <v>0</v>
      </c>
      <c r="K60">
        <f>'Participant reporting'!K287</f>
        <v>0</v>
      </c>
      <c r="L60">
        <f>'Participant reporting'!L287</f>
        <v>0</v>
      </c>
      <c r="M60">
        <f>'Participant reporting'!M287</f>
        <v>0</v>
      </c>
      <c r="N60">
        <f>'Participant reporting'!N287</f>
        <v>0</v>
      </c>
      <c r="O60">
        <f>'Participant reporting'!O287</f>
        <v>0</v>
      </c>
    </row>
    <row r="61" spans="1:15" x14ac:dyDescent="0.25">
      <c r="A61">
        <f>'Participant reporting'!A288</f>
        <v>0</v>
      </c>
      <c r="B61">
        <f>'Participant reporting'!B288</f>
        <v>0</v>
      </c>
      <c r="C61">
        <f>'Participant reporting'!C288</f>
        <v>0</v>
      </c>
      <c r="D61">
        <f>'Participant reporting'!D288</f>
        <v>0</v>
      </c>
      <c r="E61" s="15">
        <f>'Participant reporting'!E288</f>
        <v>0</v>
      </c>
      <c r="F61">
        <f>'Participant reporting'!F288</f>
        <v>0</v>
      </c>
      <c r="G61">
        <f>'Participant reporting'!G288</f>
        <v>0</v>
      </c>
      <c r="H61">
        <f>'Participant reporting'!H288</f>
        <v>0</v>
      </c>
      <c r="I61">
        <f>'Participant reporting'!I288</f>
        <v>0</v>
      </c>
      <c r="J61">
        <f>'Participant reporting'!J288</f>
        <v>0</v>
      </c>
      <c r="K61">
        <f>'Participant reporting'!K288</f>
        <v>0</v>
      </c>
      <c r="L61">
        <f>'Participant reporting'!L288</f>
        <v>0</v>
      </c>
      <c r="M61">
        <f>'Participant reporting'!M288</f>
        <v>0</v>
      </c>
      <c r="N61">
        <f>'Participant reporting'!N288</f>
        <v>0</v>
      </c>
      <c r="O61">
        <f>'Participant reporting'!O288</f>
        <v>0</v>
      </c>
    </row>
    <row r="62" spans="1:15" x14ac:dyDescent="0.25">
      <c r="A62">
        <f>'Participant reporting'!A289</f>
        <v>0</v>
      </c>
      <c r="B62">
        <f>'Participant reporting'!B289</f>
        <v>0</v>
      </c>
      <c r="C62">
        <f>'Participant reporting'!C289</f>
        <v>0</v>
      </c>
      <c r="D62">
        <f>'Participant reporting'!D289</f>
        <v>0</v>
      </c>
      <c r="E62" s="15">
        <f>'Participant reporting'!E289</f>
        <v>0</v>
      </c>
      <c r="F62">
        <f>'Participant reporting'!F289</f>
        <v>0</v>
      </c>
      <c r="G62">
        <f>'Participant reporting'!G289</f>
        <v>0</v>
      </c>
      <c r="H62">
        <f>'Participant reporting'!H289</f>
        <v>0</v>
      </c>
      <c r="I62">
        <f>'Participant reporting'!I289</f>
        <v>0</v>
      </c>
      <c r="J62">
        <f>'Participant reporting'!J289</f>
        <v>0</v>
      </c>
      <c r="K62">
        <f>'Participant reporting'!K289</f>
        <v>0</v>
      </c>
      <c r="L62">
        <f>'Participant reporting'!L289</f>
        <v>0</v>
      </c>
      <c r="M62">
        <f>'Participant reporting'!M289</f>
        <v>0</v>
      </c>
      <c r="N62">
        <f>'Participant reporting'!N289</f>
        <v>0</v>
      </c>
      <c r="O62">
        <f>'Participant reporting'!O289</f>
        <v>0</v>
      </c>
    </row>
    <row r="63" spans="1:15" x14ac:dyDescent="0.25">
      <c r="A63">
        <f>'Participant reporting'!A290</f>
        <v>0</v>
      </c>
      <c r="B63">
        <f>'Participant reporting'!B290</f>
        <v>0</v>
      </c>
      <c r="C63">
        <f>'Participant reporting'!C290</f>
        <v>0</v>
      </c>
      <c r="D63">
        <f>'Participant reporting'!D290</f>
        <v>0</v>
      </c>
      <c r="E63" s="15">
        <f>'Participant reporting'!E290</f>
        <v>0</v>
      </c>
      <c r="F63">
        <f>'Participant reporting'!F290</f>
        <v>0</v>
      </c>
      <c r="G63">
        <f>'Participant reporting'!G290</f>
        <v>0</v>
      </c>
      <c r="H63">
        <f>'Participant reporting'!H290</f>
        <v>0</v>
      </c>
      <c r="I63">
        <f>'Participant reporting'!I290</f>
        <v>0</v>
      </c>
      <c r="J63">
        <f>'Participant reporting'!J290</f>
        <v>0</v>
      </c>
      <c r="K63">
        <f>'Participant reporting'!K290</f>
        <v>0</v>
      </c>
      <c r="L63">
        <f>'Participant reporting'!L290</f>
        <v>0</v>
      </c>
      <c r="M63">
        <f>'Participant reporting'!M290</f>
        <v>0</v>
      </c>
      <c r="N63">
        <f>'Participant reporting'!N290</f>
        <v>0</v>
      </c>
      <c r="O63">
        <f>'Participant reporting'!O290</f>
        <v>0</v>
      </c>
    </row>
    <row r="64" spans="1:15" x14ac:dyDescent="0.25">
      <c r="A64">
        <f>'Participant reporting'!A291</f>
        <v>0</v>
      </c>
      <c r="B64">
        <f>'Participant reporting'!B291</f>
        <v>0</v>
      </c>
      <c r="C64">
        <f>'Participant reporting'!C291</f>
        <v>0</v>
      </c>
      <c r="D64">
        <f>'Participant reporting'!D291</f>
        <v>0</v>
      </c>
      <c r="E64" s="15">
        <f>'Participant reporting'!E291</f>
        <v>0</v>
      </c>
      <c r="F64">
        <f>'Participant reporting'!F291</f>
        <v>0</v>
      </c>
      <c r="G64">
        <f>'Participant reporting'!G291</f>
        <v>0</v>
      </c>
      <c r="H64">
        <f>'Participant reporting'!H291</f>
        <v>0</v>
      </c>
      <c r="I64">
        <f>'Participant reporting'!I291</f>
        <v>0</v>
      </c>
      <c r="J64">
        <f>'Participant reporting'!J291</f>
        <v>0</v>
      </c>
      <c r="K64">
        <f>'Participant reporting'!K291</f>
        <v>0</v>
      </c>
      <c r="L64">
        <f>'Participant reporting'!L291</f>
        <v>0</v>
      </c>
      <c r="M64">
        <f>'Participant reporting'!M291</f>
        <v>0</v>
      </c>
      <c r="N64">
        <f>'Participant reporting'!N291</f>
        <v>0</v>
      </c>
      <c r="O64">
        <f>'Participant reporting'!O291</f>
        <v>0</v>
      </c>
    </row>
    <row r="65" spans="1:15" x14ac:dyDescent="0.25">
      <c r="A65">
        <f>'Participant reporting'!A292</f>
        <v>0</v>
      </c>
      <c r="B65">
        <f>'Participant reporting'!B292</f>
        <v>0</v>
      </c>
      <c r="C65">
        <f>'Participant reporting'!C292</f>
        <v>0</v>
      </c>
      <c r="D65">
        <f>'Participant reporting'!D292</f>
        <v>0</v>
      </c>
      <c r="E65" s="15">
        <f>'Participant reporting'!E292</f>
        <v>0</v>
      </c>
      <c r="F65">
        <f>'Participant reporting'!F292</f>
        <v>0</v>
      </c>
      <c r="G65">
        <f>'Participant reporting'!G292</f>
        <v>0</v>
      </c>
      <c r="H65">
        <f>'Participant reporting'!H292</f>
        <v>0</v>
      </c>
      <c r="I65">
        <f>'Participant reporting'!I292</f>
        <v>0</v>
      </c>
      <c r="J65">
        <f>'Participant reporting'!J292</f>
        <v>0</v>
      </c>
      <c r="K65">
        <f>'Participant reporting'!K292</f>
        <v>0</v>
      </c>
      <c r="L65">
        <f>'Participant reporting'!L292</f>
        <v>0</v>
      </c>
      <c r="M65">
        <f>'Participant reporting'!M292</f>
        <v>0</v>
      </c>
      <c r="N65">
        <f>'Participant reporting'!N292</f>
        <v>0</v>
      </c>
      <c r="O65">
        <f>'Participant reporting'!O292</f>
        <v>0</v>
      </c>
    </row>
    <row r="66" spans="1:15" x14ac:dyDescent="0.25">
      <c r="A66">
        <f>'Participant reporting'!A293</f>
        <v>0</v>
      </c>
      <c r="B66">
        <f>'Participant reporting'!B293</f>
        <v>0</v>
      </c>
      <c r="C66">
        <f>'Participant reporting'!C293</f>
        <v>0</v>
      </c>
      <c r="D66">
        <f>'Participant reporting'!D293</f>
        <v>0</v>
      </c>
      <c r="E66" s="15">
        <f>'Participant reporting'!E293</f>
        <v>0</v>
      </c>
      <c r="F66">
        <f>'Participant reporting'!F293</f>
        <v>0</v>
      </c>
      <c r="G66">
        <f>'Participant reporting'!G293</f>
        <v>0</v>
      </c>
      <c r="H66">
        <f>'Participant reporting'!H293</f>
        <v>0</v>
      </c>
      <c r="I66">
        <f>'Participant reporting'!I293</f>
        <v>0</v>
      </c>
      <c r="J66">
        <f>'Participant reporting'!J293</f>
        <v>0</v>
      </c>
      <c r="K66">
        <f>'Participant reporting'!K293</f>
        <v>0</v>
      </c>
      <c r="L66">
        <f>'Participant reporting'!L293</f>
        <v>0</v>
      </c>
      <c r="M66">
        <f>'Participant reporting'!M293</f>
        <v>0</v>
      </c>
      <c r="N66">
        <f>'Participant reporting'!N293</f>
        <v>0</v>
      </c>
      <c r="O66">
        <f>'Participant reporting'!O293</f>
        <v>0</v>
      </c>
    </row>
    <row r="67" spans="1:15" x14ac:dyDescent="0.25">
      <c r="A67">
        <f>'Participant reporting'!A294</f>
        <v>0</v>
      </c>
      <c r="B67">
        <f>'Participant reporting'!B294</f>
        <v>0</v>
      </c>
      <c r="C67">
        <f>'Participant reporting'!C294</f>
        <v>0</v>
      </c>
      <c r="D67">
        <f>'Participant reporting'!D294</f>
        <v>0</v>
      </c>
      <c r="E67" s="15">
        <f>'Participant reporting'!E294</f>
        <v>0</v>
      </c>
      <c r="F67">
        <f>'Participant reporting'!F294</f>
        <v>0</v>
      </c>
      <c r="G67">
        <f>'Participant reporting'!G294</f>
        <v>0</v>
      </c>
      <c r="H67">
        <f>'Participant reporting'!H294</f>
        <v>0</v>
      </c>
      <c r="I67">
        <f>'Participant reporting'!I294</f>
        <v>0</v>
      </c>
      <c r="J67">
        <f>'Participant reporting'!J294</f>
        <v>0</v>
      </c>
      <c r="K67">
        <f>'Participant reporting'!K294</f>
        <v>0</v>
      </c>
      <c r="L67">
        <f>'Participant reporting'!L294</f>
        <v>0</v>
      </c>
      <c r="M67">
        <f>'Participant reporting'!M294</f>
        <v>0</v>
      </c>
      <c r="N67">
        <f>'Participant reporting'!N294</f>
        <v>0</v>
      </c>
      <c r="O67">
        <f>'Participant reporting'!O294</f>
        <v>0</v>
      </c>
    </row>
    <row r="68" spans="1:15" x14ac:dyDescent="0.25">
      <c r="A68">
        <f>'Participant reporting'!A295</f>
        <v>0</v>
      </c>
      <c r="B68">
        <f>'Participant reporting'!B295</f>
        <v>0</v>
      </c>
      <c r="C68">
        <f>'Participant reporting'!C295</f>
        <v>0</v>
      </c>
      <c r="D68">
        <f>'Participant reporting'!D295</f>
        <v>0</v>
      </c>
      <c r="E68" s="15">
        <f>'Participant reporting'!E295</f>
        <v>0</v>
      </c>
      <c r="F68">
        <f>'Participant reporting'!F295</f>
        <v>0</v>
      </c>
      <c r="G68">
        <f>'Participant reporting'!G295</f>
        <v>0</v>
      </c>
      <c r="H68">
        <f>'Participant reporting'!H295</f>
        <v>0</v>
      </c>
      <c r="I68">
        <f>'Participant reporting'!I295</f>
        <v>0</v>
      </c>
      <c r="J68">
        <f>'Participant reporting'!J295</f>
        <v>0</v>
      </c>
      <c r="K68">
        <f>'Participant reporting'!K295</f>
        <v>0</v>
      </c>
      <c r="L68">
        <f>'Participant reporting'!L295</f>
        <v>0</v>
      </c>
      <c r="M68">
        <f>'Participant reporting'!M295</f>
        <v>0</v>
      </c>
      <c r="N68">
        <f>'Participant reporting'!N295</f>
        <v>0</v>
      </c>
      <c r="O68">
        <f>'Participant reporting'!O295</f>
        <v>0</v>
      </c>
    </row>
    <row r="69" spans="1:15" x14ac:dyDescent="0.25">
      <c r="A69">
        <f>'Participant reporting'!A296</f>
        <v>0</v>
      </c>
      <c r="B69">
        <f>'Participant reporting'!B296</f>
        <v>0</v>
      </c>
      <c r="C69">
        <f>'Participant reporting'!C296</f>
        <v>0</v>
      </c>
      <c r="D69">
        <f>'Participant reporting'!D296</f>
        <v>0</v>
      </c>
      <c r="E69" s="15">
        <f>'Participant reporting'!E296</f>
        <v>0</v>
      </c>
      <c r="F69">
        <f>'Participant reporting'!F296</f>
        <v>0</v>
      </c>
      <c r="G69">
        <f>'Participant reporting'!G296</f>
        <v>0</v>
      </c>
      <c r="H69">
        <f>'Participant reporting'!H296</f>
        <v>0</v>
      </c>
      <c r="I69">
        <f>'Participant reporting'!I296</f>
        <v>0</v>
      </c>
      <c r="J69">
        <f>'Participant reporting'!J296</f>
        <v>0</v>
      </c>
      <c r="K69">
        <f>'Participant reporting'!K296</f>
        <v>0</v>
      </c>
      <c r="L69">
        <f>'Participant reporting'!L296</f>
        <v>0</v>
      </c>
      <c r="M69">
        <f>'Participant reporting'!M296</f>
        <v>0</v>
      </c>
      <c r="N69">
        <f>'Participant reporting'!N296</f>
        <v>0</v>
      </c>
      <c r="O69">
        <f>'Participant reporting'!O296</f>
        <v>0</v>
      </c>
    </row>
    <row r="70" spans="1:15" x14ac:dyDescent="0.25">
      <c r="A70">
        <f>'Participant reporting'!A297</f>
        <v>0</v>
      </c>
      <c r="B70">
        <f>'Participant reporting'!B297</f>
        <v>0</v>
      </c>
      <c r="C70">
        <f>'Participant reporting'!C297</f>
        <v>0</v>
      </c>
      <c r="D70">
        <f>'Participant reporting'!D297</f>
        <v>0</v>
      </c>
      <c r="E70" s="15">
        <f>'Participant reporting'!E297</f>
        <v>0</v>
      </c>
      <c r="F70">
        <f>'Participant reporting'!F297</f>
        <v>0</v>
      </c>
      <c r="G70">
        <f>'Participant reporting'!G297</f>
        <v>0</v>
      </c>
      <c r="H70">
        <f>'Participant reporting'!H297</f>
        <v>0</v>
      </c>
      <c r="I70">
        <f>'Participant reporting'!I297</f>
        <v>0</v>
      </c>
      <c r="J70">
        <f>'Participant reporting'!J297</f>
        <v>0</v>
      </c>
      <c r="K70">
        <f>'Participant reporting'!K297</f>
        <v>0</v>
      </c>
      <c r="L70">
        <f>'Participant reporting'!L297</f>
        <v>0</v>
      </c>
      <c r="M70">
        <f>'Participant reporting'!M297</f>
        <v>0</v>
      </c>
      <c r="N70">
        <f>'Participant reporting'!N297</f>
        <v>0</v>
      </c>
      <c r="O70">
        <f>'Participant reporting'!O297</f>
        <v>0</v>
      </c>
    </row>
    <row r="71" spans="1:15" x14ac:dyDescent="0.25">
      <c r="A71">
        <f>'Participant reporting'!A298</f>
        <v>0</v>
      </c>
      <c r="B71">
        <f>'Participant reporting'!B298</f>
        <v>0</v>
      </c>
      <c r="C71">
        <f>'Participant reporting'!C298</f>
        <v>0</v>
      </c>
      <c r="D71">
        <f>'Participant reporting'!D298</f>
        <v>0</v>
      </c>
      <c r="E71" s="15">
        <f>'Participant reporting'!E298</f>
        <v>0</v>
      </c>
      <c r="F71">
        <f>'Participant reporting'!F298</f>
        <v>0</v>
      </c>
      <c r="G71">
        <f>'Participant reporting'!G298</f>
        <v>0</v>
      </c>
      <c r="H71">
        <f>'Participant reporting'!H298</f>
        <v>0</v>
      </c>
      <c r="I71">
        <f>'Participant reporting'!I298</f>
        <v>0</v>
      </c>
      <c r="J71">
        <f>'Participant reporting'!J298</f>
        <v>0</v>
      </c>
      <c r="K71">
        <f>'Participant reporting'!K298</f>
        <v>0</v>
      </c>
      <c r="L71">
        <f>'Participant reporting'!L298</f>
        <v>0</v>
      </c>
      <c r="M71">
        <f>'Participant reporting'!M298</f>
        <v>0</v>
      </c>
      <c r="N71">
        <f>'Participant reporting'!N298</f>
        <v>0</v>
      </c>
      <c r="O71">
        <f>'Participant reporting'!O298</f>
        <v>0</v>
      </c>
    </row>
    <row r="72" spans="1:15" x14ac:dyDescent="0.25">
      <c r="A72">
        <f>'Participant reporting'!A299</f>
        <v>0</v>
      </c>
      <c r="B72">
        <f>'Participant reporting'!B299</f>
        <v>0</v>
      </c>
      <c r="C72">
        <f>'Participant reporting'!C299</f>
        <v>0</v>
      </c>
      <c r="D72">
        <f>'Participant reporting'!D299</f>
        <v>0</v>
      </c>
      <c r="E72" s="15">
        <f>'Participant reporting'!E299</f>
        <v>0</v>
      </c>
      <c r="F72">
        <f>'Participant reporting'!F299</f>
        <v>0</v>
      </c>
      <c r="G72">
        <f>'Participant reporting'!G299</f>
        <v>0</v>
      </c>
      <c r="H72">
        <f>'Participant reporting'!H299</f>
        <v>0</v>
      </c>
      <c r="I72">
        <f>'Participant reporting'!I299</f>
        <v>0</v>
      </c>
      <c r="J72">
        <f>'Participant reporting'!J299</f>
        <v>0</v>
      </c>
      <c r="K72">
        <f>'Participant reporting'!K299</f>
        <v>0</v>
      </c>
      <c r="L72">
        <f>'Participant reporting'!L299</f>
        <v>0</v>
      </c>
      <c r="M72">
        <f>'Participant reporting'!M299</f>
        <v>0</v>
      </c>
      <c r="N72">
        <f>'Participant reporting'!N299</f>
        <v>0</v>
      </c>
      <c r="O72">
        <f>'Participant reporting'!O299</f>
        <v>0</v>
      </c>
    </row>
    <row r="73" spans="1:15" x14ac:dyDescent="0.25">
      <c r="A73">
        <f>'Participant reporting'!A300</f>
        <v>0</v>
      </c>
      <c r="B73">
        <f>'Participant reporting'!B300</f>
        <v>0</v>
      </c>
      <c r="C73">
        <f>'Participant reporting'!C300</f>
        <v>0</v>
      </c>
      <c r="D73">
        <f>'Participant reporting'!D300</f>
        <v>0</v>
      </c>
      <c r="E73" s="15">
        <f>'Participant reporting'!E300</f>
        <v>0</v>
      </c>
      <c r="F73">
        <f>'Participant reporting'!F300</f>
        <v>0</v>
      </c>
      <c r="G73">
        <f>'Participant reporting'!G300</f>
        <v>0</v>
      </c>
      <c r="H73">
        <f>'Participant reporting'!H300</f>
        <v>0</v>
      </c>
      <c r="I73">
        <f>'Participant reporting'!I300</f>
        <v>0</v>
      </c>
      <c r="J73">
        <f>'Participant reporting'!J300</f>
        <v>0</v>
      </c>
      <c r="K73">
        <f>'Participant reporting'!K300</f>
        <v>0</v>
      </c>
      <c r="L73">
        <f>'Participant reporting'!L300</f>
        <v>0</v>
      </c>
      <c r="M73">
        <f>'Participant reporting'!M300</f>
        <v>0</v>
      </c>
      <c r="N73">
        <f>'Participant reporting'!N300</f>
        <v>0</v>
      </c>
      <c r="O73">
        <f>'Participant reporting'!O300</f>
        <v>0</v>
      </c>
    </row>
    <row r="74" spans="1:15" x14ac:dyDescent="0.25">
      <c r="A74">
        <f>'Participant reporting'!A301</f>
        <v>0</v>
      </c>
      <c r="B74">
        <f>'Participant reporting'!B301</f>
        <v>0</v>
      </c>
      <c r="C74">
        <f>'Participant reporting'!C301</f>
        <v>0</v>
      </c>
      <c r="D74">
        <f>'Participant reporting'!D301</f>
        <v>0</v>
      </c>
      <c r="E74" s="15">
        <f>'Participant reporting'!E301</f>
        <v>0</v>
      </c>
      <c r="F74">
        <f>'Participant reporting'!F301</f>
        <v>0</v>
      </c>
      <c r="G74">
        <f>'Participant reporting'!G301</f>
        <v>0</v>
      </c>
      <c r="H74">
        <f>'Participant reporting'!H301</f>
        <v>0</v>
      </c>
      <c r="I74">
        <f>'Participant reporting'!I301</f>
        <v>0</v>
      </c>
      <c r="J74">
        <f>'Participant reporting'!J301</f>
        <v>0</v>
      </c>
      <c r="K74">
        <f>'Participant reporting'!K301</f>
        <v>0</v>
      </c>
      <c r="L74">
        <f>'Participant reporting'!L301</f>
        <v>0</v>
      </c>
      <c r="M74">
        <f>'Participant reporting'!M301</f>
        <v>0</v>
      </c>
      <c r="N74">
        <f>'Participant reporting'!N301</f>
        <v>0</v>
      </c>
      <c r="O74">
        <f>'Participant reporting'!O301</f>
        <v>0</v>
      </c>
    </row>
    <row r="75" spans="1:15" x14ac:dyDescent="0.25">
      <c r="A75">
        <f>'Participant reporting'!A302</f>
        <v>0</v>
      </c>
      <c r="B75">
        <f>'Participant reporting'!B302</f>
        <v>0</v>
      </c>
      <c r="C75">
        <f>'Participant reporting'!C302</f>
        <v>0</v>
      </c>
      <c r="D75">
        <f>'Participant reporting'!D302</f>
        <v>0</v>
      </c>
      <c r="E75" s="15">
        <f>'Participant reporting'!E302</f>
        <v>0</v>
      </c>
      <c r="F75">
        <f>'Participant reporting'!F302</f>
        <v>0</v>
      </c>
      <c r="G75">
        <f>'Participant reporting'!G302</f>
        <v>0</v>
      </c>
      <c r="H75">
        <f>'Participant reporting'!H302</f>
        <v>0</v>
      </c>
      <c r="I75">
        <f>'Participant reporting'!I302</f>
        <v>0</v>
      </c>
      <c r="J75">
        <f>'Participant reporting'!J302</f>
        <v>0</v>
      </c>
      <c r="K75">
        <f>'Participant reporting'!K302</f>
        <v>0</v>
      </c>
      <c r="L75">
        <f>'Participant reporting'!L302</f>
        <v>0</v>
      </c>
      <c r="M75">
        <f>'Participant reporting'!M302</f>
        <v>0</v>
      </c>
      <c r="N75">
        <f>'Participant reporting'!N302</f>
        <v>0</v>
      </c>
      <c r="O75">
        <f>'Participant reporting'!O302</f>
        <v>0</v>
      </c>
    </row>
    <row r="76" spans="1:15" x14ac:dyDescent="0.25">
      <c r="A76">
        <f>'Participant reporting'!A303</f>
        <v>0</v>
      </c>
      <c r="B76">
        <f>'Participant reporting'!B303</f>
        <v>0</v>
      </c>
      <c r="C76">
        <f>'Participant reporting'!C303</f>
        <v>0</v>
      </c>
      <c r="D76">
        <f>'Participant reporting'!D303</f>
        <v>0</v>
      </c>
      <c r="E76" s="15">
        <f>'Participant reporting'!E303</f>
        <v>0</v>
      </c>
      <c r="F76">
        <f>'Participant reporting'!F303</f>
        <v>0</v>
      </c>
      <c r="G76">
        <f>'Participant reporting'!G303</f>
        <v>0</v>
      </c>
      <c r="H76">
        <f>'Participant reporting'!H303</f>
        <v>0</v>
      </c>
      <c r="I76">
        <f>'Participant reporting'!I303</f>
        <v>0</v>
      </c>
      <c r="J76">
        <f>'Participant reporting'!J303</f>
        <v>0</v>
      </c>
      <c r="K76">
        <f>'Participant reporting'!K303</f>
        <v>0</v>
      </c>
      <c r="L76">
        <f>'Participant reporting'!L303</f>
        <v>0</v>
      </c>
      <c r="M76">
        <f>'Participant reporting'!M303</f>
        <v>0</v>
      </c>
      <c r="N76">
        <f>'Participant reporting'!N303</f>
        <v>0</v>
      </c>
      <c r="O76">
        <f>'Participant reporting'!O303</f>
        <v>0</v>
      </c>
    </row>
    <row r="77" spans="1:15" x14ac:dyDescent="0.25">
      <c r="A77">
        <f>'Participant reporting'!A304</f>
        <v>0</v>
      </c>
      <c r="B77">
        <f>'Participant reporting'!B304</f>
        <v>0</v>
      </c>
      <c r="C77">
        <f>'Participant reporting'!C304</f>
        <v>0</v>
      </c>
      <c r="D77">
        <f>'Participant reporting'!D304</f>
        <v>0</v>
      </c>
      <c r="E77" s="15">
        <f>'Participant reporting'!E304</f>
        <v>0</v>
      </c>
      <c r="F77">
        <f>'Participant reporting'!F304</f>
        <v>0</v>
      </c>
      <c r="G77">
        <f>'Participant reporting'!G304</f>
        <v>0</v>
      </c>
      <c r="H77">
        <f>'Participant reporting'!H304</f>
        <v>0</v>
      </c>
      <c r="I77">
        <f>'Participant reporting'!I304</f>
        <v>0</v>
      </c>
      <c r="J77">
        <f>'Participant reporting'!J304</f>
        <v>0</v>
      </c>
      <c r="K77">
        <f>'Participant reporting'!K304</f>
        <v>0</v>
      </c>
      <c r="L77">
        <f>'Participant reporting'!L304</f>
        <v>0</v>
      </c>
      <c r="M77">
        <f>'Participant reporting'!M304</f>
        <v>0</v>
      </c>
      <c r="N77">
        <f>'Participant reporting'!N304</f>
        <v>0</v>
      </c>
      <c r="O77">
        <f>'Participant reporting'!O304</f>
        <v>0</v>
      </c>
    </row>
    <row r="78" spans="1:15" x14ac:dyDescent="0.25">
      <c r="A78">
        <f>'Participant reporting'!A305</f>
        <v>0</v>
      </c>
      <c r="B78">
        <f>'Participant reporting'!B305</f>
        <v>0</v>
      </c>
      <c r="C78">
        <f>'Participant reporting'!C305</f>
        <v>0</v>
      </c>
      <c r="D78">
        <f>'Participant reporting'!D305</f>
        <v>0</v>
      </c>
      <c r="E78" s="15">
        <f>'Participant reporting'!E305</f>
        <v>0</v>
      </c>
      <c r="F78">
        <f>'Participant reporting'!F305</f>
        <v>0</v>
      </c>
      <c r="G78">
        <f>'Participant reporting'!G305</f>
        <v>0</v>
      </c>
      <c r="H78">
        <f>'Participant reporting'!H305</f>
        <v>0</v>
      </c>
      <c r="I78">
        <f>'Participant reporting'!I305</f>
        <v>0</v>
      </c>
      <c r="J78">
        <f>'Participant reporting'!J305</f>
        <v>0</v>
      </c>
      <c r="K78">
        <f>'Participant reporting'!K305</f>
        <v>0</v>
      </c>
      <c r="L78">
        <f>'Participant reporting'!L305</f>
        <v>0</v>
      </c>
      <c r="M78">
        <f>'Participant reporting'!M305</f>
        <v>0</v>
      </c>
      <c r="N78">
        <f>'Participant reporting'!N305</f>
        <v>0</v>
      </c>
      <c r="O78">
        <f>'Participant reporting'!O305</f>
        <v>0</v>
      </c>
    </row>
    <row r="79" spans="1:15" x14ac:dyDescent="0.25">
      <c r="A79">
        <f>'Participant reporting'!A306</f>
        <v>0</v>
      </c>
      <c r="B79">
        <f>'Participant reporting'!B306</f>
        <v>0</v>
      </c>
      <c r="C79">
        <f>'Participant reporting'!C306</f>
        <v>0</v>
      </c>
      <c r="D79">
        <f>'Participant reporting'!D306</f>
        <v>0</v>
      </c>
      <c r="E79" s="15">
        <f>'Participant reporting'!E306</f>
        <v>0</v>
      </c>
      <c r="F79">
        <f>'Participant reporting'!F306</f>
        <v>0</v>
      </c>
      <c r="G79">
        <f>'Participant reporting'!G306</f>
        <v>0</v>
      </c>
      <c r="H79">
        <f>'Participant reporting'!H306</f>
        <v>0</v>
      </c>
      <c r="I79">
        <f>'Participant reporting'!I306</f>
        <v>0</v>
      </c>
      <c r="J79">
        <f>'Participant reporting'!J306</f>
        <v>0</v>
      </c>
      <c r="K79">
        <f>'Participant reporting'!K306</f>
        <v>0</v>
      </c>
      <c r="L79">
        <f>'Participant reporting'!L306</f>
        <v>0</v>
      </c>
      <c r="M79">
        <f>'Participant reporting'!M306</f>
        <v>0</v>
      </c>
      <c r="N79">
        <f>'Participant reporting'!N306</f>
        <v>0</v>
      </c>
      <c r="O79">
        <f>'Participant reporting'!O306</f>
        <v>0</v>
      </c>
    </row>
    <row r="80" spans="1:15" x14ac:dyDescent="0.25">
      <c r="A80">
        <f>'Participant reporting'!A307</f>
        <v>0</v>
      </c>
      <c r="B80">
        <f>'Participant reporting'!B307</f>
        <v>0</v>
      </c>
      <c r="C80">
        <f>'Participant reporting'!C307</f>
        <v>0</v>
      </c>
      <c r="D80">
        <f>'Participant reporting'!D307</f>
        <v>0</v>
      </c>
      <c r="E80" s="15">
        <f>'Participant reporting'!E307</f>
        <v>0</v>
      </c>
      <c r="F80">
        <f>'Participant reporting'!F307</f>
        <v>0</v>
      </c>
      <c r="G80">
        <f>'Participant reporting'!G307</f>
        <v>0</v>
      </c>
      <c r="H80">
        <f>'Participant reporting'!H307</f>
        <v>0</v>
      </c>
      <c r="I80">
        <f>'Participant reporting'!I307</f>
        <v>0</v>
      </c>
      <c r="J80">
        <f>'Participant reporting'!J307</f>
        <v>0</v>
      </c>
      <c r="K80">
        <f>'Participant reporting'!K307</f>
        <v>0</v>
      </c>
      <c r="L80">
        <f>'Participant reporting'!L307</f>
        <v>0</v>
      </c>
      <c r="M80">
        <f>'Participant reporting'!M307</f>
        <v>0</v>
      </c>
      <c r="N80">
        <f>'Participant reporting'!N307</f>
        <v>0</v>
      </c>
      <c r="O80">
        <f>'Participant reporting'!O307</f>
        <v>0</v>
      </c>
    </row>
    <row r="81" spans="1:15" x14ac:dyDescent="0.25">
      <c r="A81">
        <f>'Participant reporting'!A308</f>
        <v>0</v>
      </c>
      <c r="B81">
        <f>'Participant reporting'!B308</f>
        <v>0</v>
      </c>
      <c r="C81">
        <f>'Participant reporting'!C308</f>
        <v>0</v>
      </c>
      <c r="D81">
        <f>'Participant reporting'!D308</f>
        <v>0</v>
      </c>
      <c r="E81" s="15">
        <f>'Participant reporting'!E308</f>
        <v>0</v>
      </c>
      <c r="F81">
        <f>'Participant reporting'!F308</f>
        <v>0</v>
      </c>
      <c r="G81">
        <f>'Participant reporting'!G308</f>
        <v>0</v>
      </c>
      <c r="H81">
        <f>'Participant reporting'!H308</f>
        <v>0</v>
      </c>
      <c r="I81">
        <f>'Participant reporting'!I308</f>
        <v>0</v>
      </c>
      <c r="J81">
        <f>'Participant reporting'!J308</f>
        <v>0</v>
      </c>
      <c r="K81">
        <f>'Participant reporting'!K308</f>
        <v>0</v>
      </c>
      <c r="L81">
        <f>'Participant reporting'!L308</f>
        <v>0</v>
      </c>
      <c r="M81">
        <f>'Participant reporting'!M308</f>
        <v>0</v>
      </c>
      <c r="N81">
        <f>'Participant reporting'!N308</f>
        <v>0</v>
      </c>
      <c r="O81">
        <f>'Participant reporting'!O308</f>
        <v>0</v>
      </c>
    </row>
    <row r="82" spans="1:15" x14ac:dyDescent="0.25">
      <c r="A82">
        <f>'Participant reporting'!A309</f>
        <v>0</v>
      </c>
      <c r="B82">
        <f>'Participant reporting'!B309</f>
        <v>0</v>
      </c>
      <c r="C82">
        <f>'Participant reporting'!C309</f>
        <v>0</v>
      </c>
      <c r="D82">
        <f>'Participant reporting'!D309</f>
        <v>0</v>
      </c>
      <c r="E82" s="15">
        <f>'Participant reporting'!E309</f>
        <v>0</v>
      </c>
      <c r="F82">
        <f>'Participant reporting'!F309</f>
        <v>0</v>
      </c>
      <c r="G82">
        <f>'Participant reporting'!G309</f>
        <v>0</v>
      </c>
      <c r="H82">
        <f>'Participant reporting'!H309</f>
        <v>0</v>
      </c>
      <c r="I82">
        <f>'Participant reporting'!I309</f>
        <v>0</v>
      </c>
      <c r="J82">
        <f>'Participant reporting'!J309</f>
        <v>0</v>
      </c>
      <c r="K82">
        <f>'Participant reporting'!K309</f>
        <v>0</v>
      </c>
      <c r="L82">
        <f>'Participant reporting'!L309</f>
        <v>0</v>
      </c>
      <c r="M82">
        <f>'Participant reporting'!M309</f>
        <v>0</v>
      </c>
      <c r="N82">
        <f>'Participant reporting'!N309</f>
        <v>0</v>
      </c>
      <c r="O82">
        <f>'Participant reporting'!O309</f>
        <v>0</v>
      </c>
    </row>
    <row r="83" spans="1:15" x14ac:dyDescent="0.25">
      <c r="A83">
        <f>'Participant reporting'!A310</f>
        <v>0</v>
      </c>
      <c r="B83">
        <f>'Participant reporting'!B310</f>
        <v>0</v>
      </c>
      <c r="C83">
        <f>'Participant reporting'!C310</f>
        <v>0</v>
      </c>
      <c r="D83">
        <f>'Participant reporting'!D310</f>
        <v>0</v>
      </c>
      <c r="E83" s="15">
        <f>'Participant reporting'!E310</f>
        <v>0</v>
      </c>
      <c r="F83">
        <f>'Participant reporting'!F310</f>
        <v>0</v>
      </c>
      <c r="G83">
        <f>'Participant reporting'!G310</f>
        <v>0</v>
      </c>
      <c r="H83">
        <f>'Participant reporting'!H310</f>
        <v>0</v>
      </c>
      <c r="I83">
        <f>'Participant reporting'!I310</f>
        <v>0</v>
      </c>
      <c r="J83">
        <f>'Participant reporting'!J310</f>
        <v>0</v>
      </c>
      <c r="K83">
        <f>'Participant reporting'!K310</f>
        <v>0</v>
      </c>
      <c r="L83">
        <f>'Participant reporting'!L310</f>
        <v>0</v>
      </c>
      <c r="M83">
        <f>'Participant reporting'!M310</f>
        <v>0</v>
      </c>
      <c r="N83">
        <f>'Participant reporting'!N310</f>
        <v>0</v>
      </c>
      <c r="O83">
        <f>'Participant reporting'!O310</f>
        <v>0</v>
      </c>
    </row>
    <row r="84" spans="1:15" x14ac:dyDescent="0.25">
      <c r="A84">
        <f>'Participant reporting'!A311</f>
        <v>0</v>
      </c>
      <c r="B84">
        <f>'Participant reporting'!B311</f>
        <v>0</v>
      </c>
      <c r="C84">
        <f>'Participant reporting'!C311</f>
        <v>0</v>
      </c>
      <c r="D84">
        <f>'Participant reporting'!D311</f>
        <v>0</v>
      </c>
      <c r="E84" s="15">
        <f>'Participant reporting'!E311</f>
        <v>0</v>
      </c>
      <c r="F84">
        <f>'Participant reporting'!F311</f>
        <v>0</v>
      </c>
      <c r="G84">
        <f>'Participant reporting'!G311</f>
        <v>0</v>
      </c>
      <c r="H84">
        <f>'Participant reporting'!H311</f>
        <v>0</v>
      </c>
      <c r="I84">
        <f>'Participant reporting'!I311</f>
        <v>0</v>
      </c>
      <c r="J84">
        <f>'Participant reporting'!J311</f>
        <v>0</v>
      </c>
      <c r="K84">
        <f>'Participant reporting'!K311</f>
        <v>0</v>
      </c>
      <c r="L84">
        <f>'Participant reporting'!L311</f>
        <v>0</v>
      </c>
      <c r="M84">
        <f>'Participant reporting'!M311</f>
        <v>0</v>
      </c>
      <c r="N84">
        <f>'Participant reporting'!N311</f>
        <v>0</v>
      </c>
      <c r="O84">
        <f>'Participant reporting'!O311</f>
        <v>0</v>
      </c>
    </row>
    <row r="85" spans="1:15" x14ac:dyDescent="0.25">
      <c r="A85">
        <f>'Participant reporting'!A312</f>
        <v>0</v>
      </c>
      <c r="B85">
        <f>'Participant reporting'!B312</f>
        <v>0</v>
      </c>
      <c r="C85">
        <f>'Participant reporting'!C312</f>
        <v>0</v>
      </c>
      <c r="D85">
        <f>'Participant reporting'!D312</f>
        <v>0</v>
      </c>
      <c r="E85" s="15">
        <f>'Participant reporting'!E312</f>
        <v>0</v>
      </c>
      <c r="F85">
        <f>'Participant reporting'!F312</f>
        <v>0</v>
      </c>
      <c r="G85">
        <f>'Participant reporting'!G312</f>
        <v>0</v>
      </c>
      <c r="H85">
        <f>'Participant reporting'!H312</f>
        <v>0</v>
      </c>
      <c r="I85">
        <f>'Participant reporting'!I312</f>
        <v>0</v>
      </c>
      <c r="J85">
        <f>'Participant reporting'!J312</f>
        <v>0</v>
      </c>
      <c r="K85">
        <f>'Participant reporting'!K312</f>
        <v>0</v>
      </c>
      <c r="L85">
        <f>'Participant reporting'!L312</f>
        <v>0</v>
      </c>
      <c r="M85">
        <f>'Participant reporting'!M312</f>
        <v>0</v>
      </c>
      <c r="N85">
        <f>'Participant reporting'!N312</f>
        <v>0</v>
      </c>
      <c r="O85">
        <f>'Participant reporting'!O312</f>
        <v>0</v>
      </c>
    </row>
    <row r="86" spans="1:15" x14ac:dyDescent="0.25">
      <c r="A86">
        <f>'Participant reporting'!A313</f>
        <v>0</v>
      </c>
      <c r="B86">
        <f>'Participant reporting'!B313</f>
        <v>0</v>
      </c>
      <c r="C86">
        <f>'Participant reporting'!C313</f>
        <v>0</v>
      </c>
      <c r="D86">
        <f>'Participant reporting'!D313</f>
        <v>0</v>
      </c>
      <c r="E86" s="15">
        <f>'Participant reporting'!E313</f>
        <v>0</v>
      </c>
      <c r="F86">
        <f>'Participant reporting'!F313</f>
        <v>0</v>
      </c>
      <c r="G86">
        <f>'Participant reporting'!G313</f>
        <v>0</v>
      </c>
      <c r="H86">
        <f>'Participant reporting'!H313</f>
        <v>0</v>
      </c>
      <c r="I86">
        <f>'Participant reporting'!I313</f>
        <v>0</v>
      </c>
      <c r="J86">
        <f>'Participant reporting'!J313</f>
        <v>0</v>
      </c>
      <c r="K86">
        <f>'Participant reporting'!K313</f>
        <v>0</v>
      </c>
      <c r="L86">
        <f>'Participant reporting'!L313</f>
        <v>0</v>
      </c>
      <c r="M86">
        <f>'Participant reporting'!M313</f>
        <v>0</v>
      </c>
      <c r="N86">
        <f>'Participant reporting'!N313</f>
        <v>0</v>
      </c>
      <c r="O86">
        <f>'Participant reporting'!O313</f>
        <v>0</v>
      </c>
    </row>
    <row r="87" spans="1:15" x14ac:dyDescent="0.25">
      <c r="A87">
        <f>'Participant reporting'!A314</f>
        <v>0</v>
      </c>
      <c r="B87">
        <f>'Participant reporting'!B314</f>
        <v>0</v>
      </c>
      <c r="C87">
        <f>'Participant reporting'!C314</f>
        <v>0</v>
      </c>
      <c r="D87">
        <f>'Participant reporting'!D314</f>
        <v>0</v>
      </c>
      <c r="E87" s="15">
        <f>'Participant reporting'!E314</f>
        <v>0</v>
      </c>
      <c r="F87">
        <f>'Participant reporting'!F314</f>
        <v>0</v>
      </c>
      <c r="G87">
        <f>'Participant reporting'!G314</f>
        <v>0</v>
      </c>
      <c r="H87">
        <f>'Participant reporting'!H314</f>
        <v>0</v>
      </c>
      <c r="I87">
        <f>'Participant reporting'!I314</f>
        <v>0</v>
      </c>
      <c r="J87">
        <f>'Participant reporting'!J314</f>
        <v>0</v>
      </c>
      <c r="K87">
        <f>'Participant reporting'!K314</f>
        <v>0</v>
      </c>
      <c r="L87">
        <f>'Participant reporting'!L314</f>
        <v>0</v>
      </c>
      <c r="M87">
        <f>'Participant reporting'!M314</f>
        <v>0</v>
      </c>
      <c r="N87">
        <f>'Participant reporting'!N314</f>
        <v>0</v>
      </c>
      <c r="O87">
        <f>'Participant reporting'!O314</f>
        <v>0</v>
      </c>
    </row>
    <row r="88" spans="1:15" x14ac:dyDescent="0.25">
      <c r="A88">
        <f>'Participant reporting'!A315</f>
        <v>0</v>
      </c>
      <c r="B88">
        <f>'Participant reporting'!B315</f>
        <v>0</v>
      </c>
      <c r="C88">
        <f>'Participant reporting'!C315</f>
        <v>0</v>
      </c>
      <c r="D88">
        <f>'Participant reporting'!D315</f>
        <v>0</v>
      </c>
      <c r="E88" s="15">
        <f>'Participant reporting'!E315</f>
        <v>0</v>
      </c>
      <c r="F88">
        <f>'Participant reporting'!F315</f>
        <v>0</v>
      </c>
      <c r="G88">
        <f>'Participant reporting'!G315</f>
        <v>0</v>
      </c>
      <c r="H88">
        <f>'Participant reporting'!H315</f>
        <v>0</v>
      </c>
      <c r="I88">
        <f>'Participant reporting'!I315</f>
        <v>0</v>
      </c>
      <c r="J88">
        <f>'Participant reporting'!J315</f>
        <v>0</v>
      </c>
      <c r="K88">
        <f>'Participant reporting'!K315</f>
        <v>0</v>
      </c>
      <c r="L88">
        <f>'Participant reporting'!L315</f>
        <v>0</v>
      </c>
      <c r="M88">
        <f>'Participant reporting'!M315</f>
        <v>0</v>
      </c>
      <c r="N88">
        <f>'Participant reporting'!N315</f>
        <v>0</v>
      </c>
      <c r="O88">
        <f>'Participant reporting'!O315</f>
        <v>0</v>
      </c>
    </row>
    <row r="89" spans="1:15" x14ac:dyDescent="0.25">
      <c r="A89">
        <f>'Participant reporting'!A316</f>
        <v>0</v>
      </c>
      <c r="B89">
        <f>'Participant reporting'!B316</f>
        <v>0</v>
      </c>
      <c r="C89">
        <f>'Participant reporting'!C316</f>
        <v>0</v>
      </c>
      <c r="D89">
        <f>'Participant reporting'!D316</f>
        <v>0</v>
      </c>
      <c r="E89" s="15">
        <f>'Participant reporting'!E316</f>
        <v>0</v>
      </c>
      <c r="F89">
        <f>'Participant reporting'!F316</f>
        <v>0</v>
      </c>
      <c r="G89">
        <f>'Participant reporting'!G316</f>
        <v>0</v>
      </c>
      <c r="H89">
        <f>'Participant reporting'!H316</f>
        <v>0</v>
      </c>
      <c r="I89">
        <f>'Participant reporting'!I316</f>
        <v>0</v>
      </c>
      <c r="J89">
        <f>'Participant reporting'!J316</f>
        <v>0</v>
      </c>
      <c r="K89">
        <f>'Participant reporting'!K316</f>
        <v>0</v>
      </c>
      <c r="L89">
        <f>'Participant reporting'!L316</f>
        <v>0</v>
      </c>
      <c r="M89">
        <f>'Participant reporting'!M316</f>
        <v>0</v>
      </c>
      <c r="N89">
        <f>'Participant reporting'!N316</f>
        <v>0</v>
      </c>
      <c r="O89">
        <f>'Participant reporting'!O316</f>
        <v>0</v>
      </c>
    </row>
    <row r="90" spans="1:15" x14ac:dyDescent="0.25">
      <c r="A90">
        <f>'Participant reporting'!A317</f>
        <v>0</v>
      </c>
      <c r="B90">
        <f>'Participant reporting'!B317</f>
        <v>0</v>
      </c>
      <c r="C90">
        <f>'Participant reporting'!C317</f>
        <v>0</v>
      </c>
      <c r="D90">
        <f>'Participant reporting'!D317</f>
        <v>0</v>
      </c>
      <c r="E90" s="15">
        <f>'Participant reporting'!E317</f>
        <v>0</v>
      </c>
      <c r="F90">
        <f>'Participant reporting'!F317</f>
        <v>0</v>
      </c>
      <c r="G90">
        <f>'Participant reporting'!G317</f>
        <v>0</v>
      </c>
      <c r="H90">
        <f>'Participant reporting'!H317</f>
        <v>0</v>
      </c>
      <c r="I90">
        <f>'Participant reporting'!I317</f>
        <v>0</v>
      </c>
      <c r="J90">
        <f>'Participant reporting'!J317</f>
        <v>0</v>
      </c>
      <c r="K90">
        <f>'Participant reporting'!K317</f>
        <v>0</v>
      </c>
      <c r="L90">
        <f>'Participant reporting'!L317</f>
        <v>0</v>
      </c>
      <c r="M90">
        <f>'Participant reporting'!M317</f>
        <v>0</v>
      </c>
      <c r="N90">
        <f>'Participant reporting'!N317</f>
        <v>0</v>
      </c>
      <c r="O90">
        <f>'Participant reporting'!O317</f>
        <v>0</v>
      </c>
    </row>
    <row r="91" spans="1:15" x14ac:dyDescent="0.25">
      <c r="A91">
        <f>'Participant reporting'!A318</f>
        <v>0</v>
      </c>
      <c r="B91">
        <f>'Participant reporting'!B318</f>
        <v>0</v>
      </c>
      <c r="C91">
        <f>'Participant reporting'!C318</f>
        <v>0</v>
      </c>
      <c r="D91">
        <f>'Participant reporting'!D318</f>
        <v>0</v>
      </c>
      <c r="E91" s="15">
        <f>'Participant reporting'!E318</f>
        <v>0</v>
      </c>
      <c r="F91">
        <f>'Participant reporting'!F318</f>
        <v>0</v>
      </c>
      <c r="G91">
        <f>'Participant reporting'!G318</f>
        <v>0</v>
      </c>
      <c r="H91">
        <f>'Participant reporting'!H318</f>
        <v>0</v>
      </c>
      <c r="I91">
        <f>'Participant reporting'!I318</f>
        <v>0</v>
      </c>
      <c r="J91">
        <f>'Participant reporting'!J318</f>
        <v>0</v>
      </c>
      <c r="K91">
        <f>'Participant reporting'!K318</f>
        <v>0</v>
      </c>
      <c r="L91">
        <f>'Participant reporting'!L318</f>
        <v>0</v>
      </c>
      <c r="M91">
        <f>'Participant reporting'!M318</f>
        <v>0</v>
      </c>
      <c r="N91">
        <f>'Participant reporting'!N318</f>
        <v>0</v>
      </c>
      <c r="O91">
        <f>'Participant reporting'!O318</f>
        <v>0</v>
      </c>
    </row>
    <row r="92" spans="1:15" x14ac:dyDescent="0.25">
      <c r="A92">
        <f>'Participant reporting'!A319</f>
        <v>0</v>
      </c>
      <c r="B92">
        <f>'Participant reporting'!B319</f>
        <v>0</v>
      </c>
      <c r="C92">
        <f>'Participant reporting'!C319</f>
        <v>0</v>
      </c>
      <c r="D92">
        <f>'Participant reporting'!D319</f>
        <v>0</v>
      </c>
      <c r="E92" s="15">
        <f>'Participant reporting'!E319</f>
        <v>0</v>
      </c>
      <c r="F92">
        <f>'Participant reporting'!F319</f>
        <v>0</v>
      </c>
      <c r="G92">
        <f>'Participant reporting'!G319</f>
        <v>0</v>
      </c>
      <c r="H92">
        <f>'Participant reporting'!H319</f>
        <v>0</v>
      </c>
      <c r="I92">
        <f>'Participant reporting'!I319</f>
        <v>0</v>
      </c>
      <c r="J92">
        <f>'Participant reporting'!J319</f>
        <v>0</v>
      </c>
      <c r="K92">
        <f>'Participant reporting'!K319</f>
        <v>0</v>
      </c>
      <c r="L92">
        <f>'Participant reporting'!L319</f>
        <v>0</v>
      </c>
      <c r="M92">
        <f>'Participant reporting'!M319</f>
        <v>0</v>
      </c>
      <c r="N92">
        <f>'Participant reporting'!N319</f>
        <v>0</v>
      </c>
      <c r="O92">
        <f>'Participant reporting'!O319</f>
        <v>0</v>
      </c>
    </row>
    <row r="93" spans="1:15" x14ac:dyDescent="0.25">
      <c r="A93">
        <f>'Participant reporting'!A320</f>
        <v>0</v>
      </c>
      <c r="B93">
        <f>'Participant reporting'!B320</f>
        <v>0</v>
      </c>
      <c r="C93">
        <f>'Participant reporting'!C320</f>
        <v>0</v>
      </c>
      <c r="D93">
        <f>'Participant reporting'!D320</f>
        <v>0</v>
      </c>
      <c r="E93" s="15">
        <f>'Participant reporting'!E320</f>
        <v>0</v>
      </c>
      <c r="F93">
        <f>'Participant reporting'!F320</f>
        <v>0</v>
      </c>
      <c r="G93">
        <f>'Participant reporting'!G320</f>
        <v>0</v>
      </c>
      <c r="H93">
        <f>'Participant reporting'!H320</f>
        <v>0</v>
      </c>
      <c r="I93">
        <f>'Participant reporting'!I320</f>
        <v>0</v>
      </c>
      <c r="J93">
        <f>'Participant reporting'!J320</f>
        <v>0</v>
      </c>
      <c r="K93">
        <f>'Participant reporting'!K320</f>
        <v>0</v>
      </c>
      <c r="L93">
        <f>'Participant reporting'!L320</f>
        <v>0</v>
      </c>
      <c r="M93">
        <f>'Participant reporting'!M320</f>
        <v>0</v>
      </c>
      <c r="N93">
        <f>'Participant reporting'!N320</f>
        <v>0</v>
      </c>
      <c r="O93">
        <f>'Participant reporting'!O320</f>
        <v>0</v>
      </c>
    </row>
    <row r="94" spans="1:15" x14ac:dyDescent="0.25">
      <c r="A94">
        <f>'Participant reporting'!A321</f>
        <v>0</v>
      </c>
      <c r="B94">
        <f>'Participant reporting'!B321</f>
        <v>0</v>
      </c>
      <c r="C94">
        <f>'Participant reporting'!C321</f>
        <v>0</v>
      </c>
      <c r="D94">
        <f>'Participant reporting'!D321</f>
        <v>0</v>
      </c>
      <c r="E94" s="15">
        <f>'Participant reporting'!E321</f>
        <v>0</v>
      </c>
      <c r="F94">
        <f>'Participant reporting'!F321</f>
        <v>0</v>
      </c>
      <c r="G94">
        <f>'Participant reporting'!G321</f>
        <v>0</v>
      </c>
      <c r="H94">
        <f>'Participant reporting'!H321</f>
        <v>0</v>
      </c>
      <c r="I94">
        <f>'Participant reporting'!I321</f>
        <v>0</v>
      </c>
      <c r="J94">
        <f>'Participant reporting'!J321</f>
        <v>0</v>
      </c>
      <c r="K94">
        <f>'Participant reporting'!K321</f>
        <v>0</v>
      </c>
      <c r="L94">
        <f>'Participant reporting'!L321</f>
        <v>0</v>
      </c>
      <c r="M94">
        <f>'Participant reporting'!M321</f>
        <v>0</v>
      </c>
      <c r="N94">
        <f>'Participant reporting'!N321</f>
        <v>0</v>
      </c>
      <c r="O94">
        <f>'Participant reporting'!O321</f>
        <v>0</v>
      </c>
    </row>
    <row r="95" spans="1:15" x14ac:dyDescent="0.25">
      <c r="A95">
        <f>'Participant reporting'!A322</f>
        <v>0</v>
      </c>
      <c r="B95">
        <f>'Participant reporting'!B322</f>
        <v>0</v>
      </c>
      <c r="C95">
        <f>'Participant reporting'!C322</f>
        <v>0</v>
      </c>
      <c r="D95">
        <f>'Participant reporting'!D322</f>
        <v>0</v>
      </c>
      <c r="E95" s="15">
        <f>'Participant reporting'!E322</f>
        <v>0</v>
      </c>
      <c r="F95">
        <f>'Participant reporting'!F322</f>
        <v>0</v>
      </c>
      <c r="G95">
        <f>'Participant reporting'!G322</f>
        <v>0</v>
      </c>
      <c r="H95">
        <f>'Participant reporting'!H322</f>
        <v>0</v>
      </c>
      <c r="I95">
        <f>'Participant reporting'!I322</f>
        <v>0</v>
      </c>
      <c r="J95">
        <f>'Participant reporting'!J322</f>
        <v>0</v>
      </c>
      <c r="K95">
        <f>'Participant reporting'!K322</f>
        <v>0</v>
      </c>
      <c r="L95">
        <f>'Participant reporting'!L322</f>
        <v>0</v>
      </c>
      <c r="M95">
        <f>'Participant reporting'!M322</f>
        <v>0</v>
      </c>
      <c r="N95">
        <f>'Participant reporting'!N322</f>
        <v>0</v>
      </c>
      <c r="O95">
        <f>'Participant reporting'!O322</f>
        <v>0</v>
      </c>
    </row>
    <row r="96" spans="1:15" x14ac:dyDescent="0.25">
      <c r="A96">
        <f>'Participant reporting'!A323</f>
        <v>0</v>
      </c>
      <c r="B96">
        <f>'Participant reporting'!B323</f>
        <v>0</v>
      </c>
      <c r="C96">
        <f>'Participant reporting'!C323</f>
        <v>0</v>
      </c>
      <c r="D96">
        <f>'Participant reporting'!D323</f>
        <v>0</v>
      </c>
      <c r="E96" s="15">
        <f>'Participant reporting'!E323</f>
        <v>0</v>
      </c>
      <c r="F96">
        <f>'Participant reporting'!F323</f>
        <v>0</v>
      </c>
      <c r="G96">
        <f>'Participant reporting'!G323</f>
        <v>0</v>
      </c>
      <c r="H96">
        <f>'Participant reporting'!H323</f>
        <v>0</v>
      </c>
      <c r="I96">
        <f>'Participant reporting'!I323</f>
        <v>0</v>
      </c>
      <c r="J96">
        <f>'Participant reporting'!J323</f>
        <v>0</v>
      </c>
      <c r="K96">
        <f>'Participant reporting'!K323</f>
        <v>0</v>
      </c>
      <c r="L96">
        <f>'Participant reporting'!L323</f>
        <v>0</v>
      </c>
      <c r="M96">
        <f>'Participant reporting'!M323</f>
        <v>0</v>
      </c>
      <c r="N96">
        <f>'Participant reporting'!N323</f>
        <v>0</v>
      </c>
      <c r="O96">
        <f>'Participant reporting'!O323</f>
        <v>0</v>
      </c>
    </row>
    <row r="97" spans="1:15" x14ac:dyDescent="0.25">
      <c r="A97">
        <f>'Participant reporting'!A324</f>
        <v>0</v>
      </c>
      <c r="B97">
        <f>'Participant reporting'!B324</f>
        <v>0</v>
      </c>
      <c r="C97">
        <f>'Participant reporting'!C324</f>
        <v>0</v>
      </c>
      <c r="D97">
        <f>'Participant reporting'!D324</f>
        <v>0</v>
      </c>
      <c r="E97" s="15">
        <f>'Participant reporting'!E324</f>
        <v>0</v>
      </c>
      <c r="F97">
        <f>'Participant reporting'!F324</f>
        <v>0</v>
      </c>
      <c r="G97">
        <f>'Participant reporting'!G324</f>
        <v>0</v>
      </c>
      <c r="H97">
        <f>'Participant reporting'!H324</f>
        <v>0</v>
      </c>
      <c r="I97">
        <f>'Participant reporting'!I324</f>
        <v>0</v>
      </c>
      <c r="J97">
        <f>'Participant reporting'!J324</f>
        <v>0</v>
      </c>
      <c r="K97">
        <f>'Participant reporting'!K324</f>
        <v>0</v>
      </c>
      <c r="L97">
        <f>'Participant reporting'!L324</f>
        <v>0</v>
      </c>
      <c r="M97">
        <f>'Participant reporting'!M324</f>
        <v>0</v>
      </c>
      <c r="N97">
        <f>'Participant reporting'!N324</f>
        <v>0</v>
      </c>
      <c r="O97">
        <f>'Participant reporting'!O324</f>
        <v>0</v>
      </c>
    </row>
    <row r="98" spans="1:15" x14ac:dyDescent="0.25">
      <c r="A98">
        <f>'Participant reporting'!A325</f>
        <v>0</v>
      </c>
      <c r="B98">
        <f>'Participant reporting'!B325</f>
        <v>0</v>
      </c>
      <c r="C98">
        <f>'Participant reporting'!C325</f>
        <v>0</v>
      </c>
      <c r="D98">
        <f>'Participant reporting'!D325</f>
        <v>0</v>
      </c>
      <c r="E98" s="15">
        <f>'Participant reporting'!E325</f>
        <v>0</v>
      </c>
      <c r="F98">
        <f>'Participant reporting'!F325</f>
        <v>0</v>
      </c>
      <c r="G98">
        <f>'Participant reporting'!G325</f>
        <v>0</v>
      </c>
      <c r="H98">
        <f>'Participant reporting'!H325</f>
        <v>0</v>
      </c>
      <c r="I98">
        <f>'Participant reporting'!I325</f>
        <v>0</v>
      </c>
      <c r="J98">
        <f>'Participant reporting'!J325</f>
        <v>0</v>
      </c>
      <c r="K98">
        <f>'Participant reporting'!K325</f>
        <v>0</v>
      </c>
      <c r="L98">
        <f>'Participant reporting'!L325</f>
        <v>0</v>
      </c>
      <c r="M98">
        <f>'Participant reporting'!M325</f>
        <v>0</v>
      </c>
      <c r="N98">
        <f>'Participant reporting'!N325</f>
        <v>0</v>
      </c>
      <c r="O98">
        <f>'Participant reporting'!O325</f>
        <v>0</v>
      </c>
    </row>
    <row r="99" spans="1:15" x14ac:dyDescent="0.25">
      <c r="A99">
        <f>'Participant reporting'!A326</f>
        <v>0</v>
      </c>
      <c r="B99">
        <f>'Participant reporting'!B326</f>
        <v>0</v>
      </c>
      <c r="C99">
        <f>'Participant reporting'!C326</f>
        <v>0</v>
      </c>
      <c r="D99">
        <f>'Participant reporting'!D326</f>
        <v>0</v>
      </c>
      <c r="E99" s="15">
        <f>'Participant reporting'!E326</f>
        <v>0</v>
      </c>
      <c r="F99">
        <f>'Participant reporting'!F326</f>
        <v>0</v>
      </c>
      <c r="G99">
        <f>'Participant reporting'!G326</f>
        <v>0</v>
      </c>
      <c r="H99">
        <f>'Participant reporting'!H326</f>
        <v>0</v>
      </c>
      <c r="I99">
        <f>'Participant reporting'!I326</f>
        <v>0</v>
      </c>
      <c r="J99">
        <f>'Participant reporting'!J326</f>
        <v>0</v>
      </c>
      <c r="K99">
        <f>'Participant reporting'!K326</f>
        <v>0</v>
      </c>
      <c r="L99">
        <f>'Participant reporting'!L326</f>
        <v>0</v>
      </c>
      <c r="M99">
        <f>'Participant reporting'!M326</f>
        <v>0</v>
      </c>
      <c r="N99">
        <f>'Participant reporting'!N326</f>
        <v>0</v>
      </c>
      <c r="O99">
        <f>'Participant reporting'!O326</f>
        <v>0</v>
      </c>
    </row>
    <row r="100" spans="1:15" x14ac:dyDescent="0.25">
      <c r="A100">
        <f>'Participant reporting'!A327</f>
        <v>0</v>
      </c>
      <c r="B100">
        <f>'Participant reporting'!B327</f>
        <v>0</v>
      </c>
      <c r="C100">
        <f>'Participant reporting'!C327</f>
        <v>0</v>
      </c>
      <c r="D100">
        <f>'Participant reporting'!D327</f>
        <v>0</v>
      </c>
      <c r="E100" s="15">
        <f>'Participant reporting'!E327</f>
        <v>0</v>
      </c>
      <c r="F100">
        <f>'Participant reporting'!F327</f>
        <v>0</v>
      </c>
      <c r="G100">
        <f>'Participant reporting'!G327</f>
        <v>0</v>
      </c>
      <c r="H100">
        <f>'Participant reporting'!H327</f>
        <v>0</v>
      </c>
      <c r="I100">
        <f>'Participant reporting'!I327</f>
        <v>0</v>
      </c>
      <c r="J100">
        <f>'Participant reporting'!J327</f>
        <v>0</v>
      </c>
      <c r="K100">
        <f>'Participant reporting'!K327</f>
        <v>0</v>
      </c>
      <c r="L100">
        <f>'Participant reporting'!L327</f>
        <v>0</v>
      </c>
      <c r="M100">
        <f>'Participant reporting'!M327</f>
        <v>0</v>
      </c>
      <c r="N100">
        <f>'Participant reporting'!N327</f>
        <v>0</v>
      </c>
      <c r="O100">
        <f>'Participant reporting'!O327</f>
        <v>0</v>
      </c>
    </row>
    <row r="101" spans="1:15" x14ac:dyDescent="0.25">
      <c r="A101">
        <f>'Participant reporting'!A328</f>
        <v>0</v>
      </c>
      <c r="B101">
        <f>'Participant reporting'!B328</f>
        <v>0</v>
      </c>
      <c r="C101">
        <f>'Participant reporting'!C328</f>
        <v>0</v>
      </c>
      <c r="D101">
        <f>'Participant reporting'!D328</f>
        <v>0</v>
      </c>
      <c r="E101" s="15">
        <f>'Participant reporting'!E328</f>
        <v>0</v>
      </c>
      <c r="F101">
        <f>'Participant reporting'!F328</f>
        <v>0</v>
      </c>
      <c r="G101">
        <f>'Participant reporting'!G328</f>
        <v>0</v>
      </c>
      <c r="H101">
        <f>'Participant reporting'!H328</f>
        <v>0</v>
      </c>
      <c r="I101">
        <f>'Participant reporting'!I328</f>
        <v>0</v>
      </c>
      <c r="J101">
        <f>'Participant reporting'!J328</f>
        <v>0</v>
      </c>
      <c r="K101">
        <f>'Participant reporting'!K328</f>
        <v>0</v>
      </c>
      <c r="L101">
        <f>'Participant reporting'!L328</f>
        <v>0</v>
      </c>
      <c r="M101">
        <f>'Participant reporting'!M328</f>
        <v>0</v>
      </c>
      <c r="N101">
        <f>'Participant reporting'!N328</f>
        <v>0</v>
      </c>
      <c r="O101">
        <f>'Participant reporting'!O328</f>
        <v>0</v>
      </c>
    </row>
    <row r="102" spans="1:15" x14ac:dyDescent="0.25">
      <c r="A102">
        <f>'Participant reporting'!A329</f>
        <v>0</v>
      </c>
      <c r="B102">
        <f>'Participant reporting'!B329</f>
        <v>0</v>
      </c>
      <c r="C102">
        <f>'Participant reporting'!C329</f>
        <v>0</v>
      </c>
      <c r="D102">
        <f>'Participant reporting'!D329</f>
        <v>0</v>
      </c>
      <c r="E102" s="15">
        <f>'Participant reporting'!E329</f>
        <v>0</v>
      </c>
      <c r="F102">
        <f>'Participant reporting'!F329</f>
        <v>0</v>
      </c>
      <c r="G102">
        <f>'Participant reporting'!G329</f>
        <v>0</v>
      </c>
      <c r="H102">
        <f>'Participant reporting'!H329</f>
        <v>0</v>
      </c>
      <c r="I102">
        <f>'Participant reporting'!I329</f>
        <v>0</v>
      </c>
      <c r="J102">
        <f>'Participant reporting'!J329</f>
        <v>0</v>
      </c>
      <c r="K102">
        <f>'Participant reporting'!K329</f>
        <v>0</v>
      </c>
      <c r="L102">
        <f>'Participant reporting'!L329</f>
        <v>0</v>
      </c>
      <c r="M102">
        <f>'Participant reporting'!M329</f>
        <v>0</v>
      </c>
      <c r="N102">
        <f>'Participant reporting'!N329</f>
        <v>0</v>
      </c>
      <c r="O102">
        <f>'Participant reporting'!O329</f>
        <v>0</v>
      </c>
    </row>
    <row r="103" spans="1:15" x14ac:dyDescent="0.25">
      <c r="A103">
        <f>'Participant reporting'!A330</f>
        <v>0</v>
      </c>
      <c r="B103">
        <f>'Participant reporting'!B330</f>
        <v>0</v>
      </c>
      <c r="C103">
        <f>'Participant reporting'!C330</f>
        <v>0</v>
      </c>
      <c r="D103">
        <f>'Participant reporting'!D330</f>
        <v>0</v>
      </c>
      <c r="E103" s="15">
        <f>'Participant reporting'!E330</f>
        <v>0</v>
      </c>
      <c r="F103">
        <f>'Participant reporting'!F330</f>
        <v>0</v>
      </c>
      <c r="G103">
        <f>'Participant reporting'!G330</f>
        <v>0</v>
      </c>
      <c r="H103">
        <f>'Participant reporting'!H330</f>
        <v>0</v>
      </c>
      <c r="I103">
        <f>'Participant reporting'!I330</f>
        <v>0</v>
      </c>
      <c r="J103">
        <f>'Participant reporting'!J330</f>
        <v>0</v>
      </c>
      <c r="K103">
        <f>'Participant reporting'!K330</f>
        <v>0</v>
      </c>
      <c r="L103">
        <f>'Participant reporting'!L330</f>
        <v>0</v>
      </c>
      <c r="M103">
        <f>'Participant reporting'!M330</f>
        <v>0</v>
      </c>
      <c r="N103">
        <f>'Participant reporting'!N330</f>
        <v>0</v>
      </c>
      <c r="O103">
        <f>'Participant reporting'!O330</f>
        <v>0</v>
      </c>
    </row>
    <row r="104" spans="1:15" x14ac:dyDescent="0.25">
      <c r="A104">
        <f>'Participant reporting'!A331</f>
        <v>0</v>
      </c>
      <c r="B104">
        <f>'Participant reporting'!B331</f>
        <v>0</v>
      </c>
      <c r="C104">
        <f>'Participant reporting'!C331</f>
        <v>0</v>
      </c>
      <c r="D104">
        <f>'Participant reporting'!D331</f>
        <v>0</v>
      </c>
      <c r="E104" s="15">
        <f>'Participant reporting'!E331</f>
        <v>0</v>
      </c>
      <c r="F104">
        <f>'Participant reporting'!F331</f>
        <v>0</v>
      </c>
      <c r="G104">
        <f>'Participant reporting'!G331</f>
        <v>0</v>
      </c>
      <c r="H104">
        <f>'Participant reporting'!H331</f>
        <v>0</v>
      </c>
      <c r="I104">
        <f>'Participant reporting'!I331</f>
        <v>0</v>
      </c>
      <c r="J104">
        <f>'Participant reporting'!J331</f>
        <v>0</v>
      </c>
      <c r="K104">
        <f>'Participant reporting'!K331</f>
        <v>0</v>
      </c>
      <c r="L104">
        <f>'Participant reporting'!L331</f>
        <v>0</v>
      </c>
      <c r="M104">
        <f>'Participant reporting'!M331</f>
        <v>0</v>
      </c>
      <c r="N104">
        <f>'Participant reporting'!N331</f>
        <v>0</v>
      </c>
      <c r="O104">
        <f>'Participant reporting'!O331</f>
        <v>0</v>
      </c>
    </row>
    <row r="105" spans="1:15" x14ac:dyDescent="0.25">
      <c r="A105">
        <f>'Participant reporting'!A332</f>
        <v>0</v>
      </c>
      <c r="B105">
        <f>'Participant reporting'!B332</f>
        <v>0</v>
      </c>
      <c r="C105">
        <f>'Participant reporting'!C332</f>
        <v>0</v>
      </c>
      <c r="D105">
        <f>'Participant reporting'!D332</f>
        <v>0</v>
      </c>
      <c r="E105" s="15">
        <f>'Participant reporting'!E332</f>
        <v>0</v>
      </c>
      <c r="F105">
        <f>'Participant reporting'!F332</f>
        <v>0</v>
      </c>
      <c r="G105">
        <f>'Participant reporting'!G332</f>
        <v>0</v>
      </c>
      <c r="H105">
        <f>'Participant reporting'!H332</f>
        <v>0</v>
      </c>
      <c r="I105">
        <f>'Participant reporting'!I332</f>
        <v>0</v>
      </c>
      <c r="J105">
        <f>'Participant reporting'!J332</f>
        <v>0</v>
      </c>
      <c r="K105">
        <f>'Participant reporting'!K332</f>
        <v>0</v>
      </c>
      <c r="L105">
        <f>'Participant reporting'!L332</f>
        <v>0</v>
      </c>
      <c r="M105">
        <f>'Participant reporting'!M332</f>
        <v>0</v>
      </c>
      <c r="N105">
        <f>'Participant reporting'!N332</f>
        <v>0</v>
      </c>
      <c r="O105">
        <f>'Participant reporting'!O332</f>
        <v>0</v>
      </c>
    </row>
    <row r="106" spans="1:15" x14ac:dyDescent="0.25">
      <c r="A106">
        <f>'Participant reporting'!A333</f>
        <v>0</v>
      </c>
      <c r="B106">
        <f>'Participant reporting'!B333</f>
        <v>0</v>
      </c>
      <c r="C106">
        <f>'Participant reporting'!C333</f>
        <v>0</v>
      </c>
      <c r="D106">
        <f>'Participant reporting'!D333</f>
        <v>0</v>
      </c>
      <c r="E106" s="15">
        <f>'Participant reporting'!E333</f>
        <v>0</v>
      </c>
      <c r="F106">
        <f>'Participant reporting'!F333</f>
        <v>0</v>
      </c>
      <c r="G106">
        <f>'Participant reporting'!G333</f>
        <v>0</v>
      </c>
      <c r="H106">
        <f>'Participant reporting'!H333</f>
        <v>0</v>
      </c>
      <c r="I106">
        <f>'Participant reporting'!I333</f>
        <v>0</v>
      </c>
      <c r="J106">
        <f>'Participant reporting'!J333</f>
        <v>0</v>
      </c>
      <c r="K106">
        <f>'Participant reporting'!K333</f>
        <v>0</v>
      </c>
      <c r="L106">
        <f>'Participant reporting'!L333</f>
        <v>0</v>
      </c>
      <c r="M106">
        <f>'Participant reporting'!M333</f>
        <v>0</v>
      </c>
      <c r="N106">
        <f>'Participant reporting'!N333</f>
        <v>0</v>
      </c>
      <c r="O106">
        <f>'Participant reporting'!O333</f>
        <v>0</v>
      </c>
    </row>
    <row r="107" spans="1:15" x14ac:dyDescent="0.25">
      <c r="A107">
        <f>'Participant reporting'!A334</f>
        <v>0</v>
      </c>
      <c r="B107">
        <f>'Participant reporting'!B334</f>
        <v>0</v>
      </c>
      <c r="C107">
        <f>'Participant reporting'!C334</f>
        <v>0</v>
      </c>
      <c r="D107">
        <f>'Participant reporting'!D334</f>
        <v>0</v>
      </c>
      <c r="E107" s="15">
        <f>'Participant reporting'!E334</f>
        <v>0</v>
      </c>
      <c r="F107">
        <f>'Participant reporting'!F334</f>
        <v>0</v>
      </c>
      <c r="G107">
        <f>'Participant reporting'!G334</f>
        <v>0</v>
      </c>
      <c r="H107">
        <f>'Participant reporting'!H334</f>
        <v>0</v>
      </c>
      <c r="I107">
        <f>'Participant reporting'!I334</f>
        <v>0</v>
      </c>
      <c r="J107">
        <f>'Participant reporting'!J334</f>
        <v>0</v>
      </c>
      <c r="K107">
        <f>'Participant reporting'!K334</f>
        <v>0</v>
      </c>
      <c r="L107">
        <f>'Participant reporting'!L334</f>
        <v>0</v>
      </c>
      <c r="M107">
        <f>'Participant reporting'!M334</f>
        <v>0</v>
      </c>
      <c r="N107">
        <f>'Participant reporting'!N334</f>
        <v>0</v>
      </c>
      <c r="O107">
        <f>'Participant reporting'!O334</f>
        <v>0</v>
      </c>
    </row>
    <row r="108" spans="1:15" x14ac:dyDescent="0.25">
      <c r="A108">
        <f>'Participant reporting'!A335</f>
        <v>0</v>
      </c>
      <c r="B108">
        <f>'Participant reporting'!B335</f>
        <v>0</v>
      </c>
      <c r="C108">
        <f>'Participant reporting'!C335</f>
        <v>0</v>
      </c>
      <c r="D108">
        <f>'Participant reporting'!D335</f>
        <v>0</v>
      </c>
      <c r="E108" s="15">
        <f>'Participant reporting'!E335</f>
        <v>0</v>
      </c>
      <c r="F108">
        <f>'Participant reporting'!F335</f>
        <v>0</v>
      </c>
      <c r="G108">
        <f>'Participant reporting'!G335</f>
        <v>0</v>
      </c>
      <c r="H108">
        <f>'Participant reporting'!H335</f>
        <v>0</v>
      </c>
      <c r="I108">
        <f>'Participant reporting'!I335</f>
        <v>0</v>
      </c>
      <c r="J108">
        <f>'Participant reporting'!J335</f>
        <v>0</v>
      </c>
      <c r="K108">
        <f>'Participant reporting'!K335</f>
        <v>0</v>
      </c>
      <c r="L108">
        <f>'Participant reporting'!L335</f>
        <v>0</v>
      </c>
      <c r="M108">
        <f>'Participant reporting'!M335</f>
        <v>0</v>
      </c>
      <c r="N108">
        <f>'Participant reporting'!N335</f>
        <v>0</v>
      </c>
      <c r="O108">
        <f>'Participant reporting'!O335</f>
        <v>0</v>
      </c>
    </row>
    <row r="109" spans="1:15" x14ac:dyDescent="0.25">
      <c r="A109">
        <f>'Participant reporting'!A336</f>
        <v>0</v>
      </c>
      <c r="B109">
        <f>'Participant reporting'!B336</f>
        <v>0</v>
      </c>
      <c r="C109">
        <f>'Participant reporting'!C336</f>
        <v>0</v>
      </c>
      <c r="D109">
        <f>'Participant reporting'!D336</f>
        <v>0</v>
      </c>
      <c r="E109" s="15">
        <f>'Participant reporting'!E336</f>
        <v>0</v>
      </c>
      <c r="F109">
        <f>'Participant reporting'!F336</f>
        <v>0</v>
      </c>
      <c r="G109">
        <f>'Participant reporting'!G336</f>
        <v>0</v>
      </c>
      <c r="H109">
        <f>'Participant reporting'!H336</f>
        <v>0</v>
      </c>
      <c r="I109">
        <f>'Participant reporting'!I336</f>
        <v>0</v>
      </c>
      <c r="J109">
        <f>'Participant reporting'!J336</f>
        <v>0</v>
      </c>
      <c r="K109">
        <f>'Participant reporting'!K336</f>
        <v>0</v>
      </c>
      <c r="L109">
        <f>'Participant reporting'!L336</f>
        <v>0</v>
      </c>
      <c r="M109">
        <f>'Participant reporting'!M336</f>
        <v>0</v>
      </c>
      <c r="N109">
        <f>'Participant reporting'!N336</f>
        <v>0</v>
      </c>
      <c r="O109">
        <f>'Participant reporting'!O336</f>
        <v>0</v>
      </c>
    </row>
    <row r="110" spans="1:15" x14ac:dyDescent="0.25">
      <c r="A110">
        <f>'Participant reporting'!A337</f>
        <v>0</v>
      </c>
      <c r="B110">
        <f>'Participant reporting'!B337</f>
        <v>0</v>
      </c>
      <c r="C110">
        <f>'Participant reporting'!C337</f>
        <v>0</v>
      </c>
      <c r="D110">
        <f>'Participant reporting'!D337</f>
        <v>0</v>
      </c>
      <c r="E110" s="15">
        <f>'Participant reporting'!E337</f>
        <v>0</v>
      </c>
      <c r="F110">
        <f>'Participant reporting'!F337</f>
        <v>0</v>
      </c>
      <c r="G110">
        <f>'Participant reporting'!G337</f>
        <v>0</v>
      </c>
      <c r="H110">
        <f>'Participant reporting'!H337</f>
        <v>0</v>
      </c>
      <c r="I110">
        <f>'Participant reporting'!I337</f>
        <v>0</v>
      </c>
      <c r="J110">
        <f>'Participant reporting'!J337</f>
        <v>0</v>
      </c>
      <c r="K110">
        <f>'Participant reporting'!K337</f>
        <v>0</v>
      </c>
      <c r="L110">
        <f>'Participant reporting'!L337</f>
        <v>0</v>
      </c>
      <c r="M110">
        <f>'Participant reporting'!M337</f>
        <v>0</v>
      </c>
      <c r="N110">
        <f>'Participant reporting'!N337</f>
        <v>0</v>
      </c>
      <c r="O110">
        <f>'Participant reporting'!O337</f>
        <v>0</v>
      </c>
    </row>
    <row r="111" spans="1:15" x14ac:dyDescent="0.25">
      <c r="A111">
        <f>'Participant reporting'!A338</f>
        <v>0</v>
      </c>
      <c r="B111">
        <f>'Participant reporting'!B338</f>
        <v>0</v>
      </c>
      <c r="C111">
        <f>'Participant reporting'!C338</f>
        <v>0</v>
      </c>
      <c r="D111">
        <f>'Participant reporting'!D338</f>
        <v>0</v>
      </c>
      <c r="E111" s="15">
        <f>'Participant reporting'!E338</f>
        <v>0</v>
      </c>
      <c r="F111">
        <f>'Participant reporting'!F338</f>
        <v>0</v>
      </c>
      <c r="G111">
        <f>'Participant reporting'!G338</f>
        <v>0</v>
      </c>
      <c r="H111">
        <f>'Participant reporting'!H338</f>
        <v>0</v>
      </c>
      <c r="I111">
        <f>'Participant reporting'!I338</f>
        <v>0</v>
      </c>
      <c r="J111">
        <f>'Participant reporting'!J338</f>
        <v>0</v>
      </c>
      <c r="K111">
        <f>'Participant reporting'!K338</f>
        <v>0</v>
      </c>
      <c r="L111">
        <f>'Participant reporting'!L338</f>
        <v>0</v>
      </c>
      <c r="M111">
        <f>'Participant reporting'!M338</f>
        <v>0</v>
      </c>
      <c r="N111">
        <f>'Participant reporting'!N338</f>
        <v>0</v>
      </c>
      <c r="O111">
        <f>'Participant reporting'!O338</f>
        <v>0</v>
      </c>
    </row>
    <row r="112" spans="1:15" x14ac:dyDescent="0.25">
      <c r="A112">
        <f>'Participant reporting'!A339</f>
        <v>0</v>
      </c>
      <c r="B112">
        <f>'Participant reporting'!B339</f>
        <v>0</v>
      </c>
      <c r="C112">
        <f>'Participant reporting'!C339</f>
        <v>0</v>
      </c>
      <c r="D112">
        <f>'Participant reporting'!D339</f>
        <v>0</v>
      </c>
      <c r="E112" s="15">
        <f>'Participant reporting'!E339</f>
        <v>0</v>
      </c>
      <c r="F112">
        <f>'Participant reporting'!F339</f>
        <v>0</v>
      </c>
      <c r="G112">
        <f>'Participant reporting'!G339</f>
        <v>0</v>
      </c>
      <c r="H112">
        <f>'Participant reporting'!H339</f>
        <v>0</v>
      </c>
      <c r="I112">
        <f>'Participant reporting'!I339</f>
        <v>0</v>
      </c>
      <c r="J112">
        <f>'Participant reporting'!J339</f>
        <v>0</v>
      </c>
      <c r="K112">
        <f>'Participant reporting'!K339</f>
        <v>0</v>
      </c>
      <c r="L112">
        <f>'Participant reporting'!L339</f>
        <v>0</v>
      </c>
      <c r="M112">
        <f>'Participant reporting'!M339</f>
        <v>0</v>
      </c>
      <c r="N112">
        <f>'Participant reporting'!N339</f>
        <v>0</v>
      </c>
      <c r="O112">
        <f>'Participant reporting'!O339</f>
        <v>0</v>
      </c>
    </row>
    <row r="113" spans="1:15" x14ac:dyDescent="0.25">
      <c r="A113">
        <f>'Participant reporting'!A340</f>
        <v>0</v>
      </c>
      <c r="B113">
        <f>'Participant reporting'!B340</f>
        <v>0</v>
      </c>
      <c r="C113">
        <f>'Participant reporting'!C340</f>
        <v>0</v>
      </c>
      <c r="D113">
        <f>'Participant reporting'!D340</f>
        <v>0</v>
      </c>
      <c r="E113" s="15">
        <f>'Participant reporting'!E340</f>
        <v>0</v>
      </c>
      <c r="F113">
        <f>'Participant reporting'!F340</f>
        <v>0</v>
      </c>
      <c r="G113">
        <f>'Participant reporting'!G340</f>
        <v>0</v>
      </c>
      <c r="H113">
        <f>'Participant reporting'!H340</f>
        <v>0</v>
      </c>
      <c r="I113">
        <f>'Participant reporting'!I340</f>
        <v>0</v>
      </c>
      <c r="J113">
        <f>'Participant reporting'!J340</f>
        <v>0</v>
      </c>
      <c r="K113">
        <f>'Participant reporting'!K340</f>
        <v>0</v>
      </c>
      <c r="L113">
        <f>'Participant reporting'!L340</f>
        <v>0</v>
      </c>
      <c r="M113">
        <f>'Participant reporting'!M340</f>
        <v>0</v>
      </c>
      <c r="N113">
        <f>'Participant reporting'!N340</f>
        <v>0</v>
      </c>
      <c r="O113">
        <f>'Participant reporting'!O340</f>
        <v>0</v>
      </c>
    </row>
    <row r="114" spans="1:15" x14ac:dyDescent="0.25">
      <c r="A114">
        <f>'Participant reporting'!A341</f>
        <v>0</v>
      </c>
      <c r="B114">
        <f>'Participant reporting'!B341</f>
        <v>0</v>
      </c>
      <c r="C114">
        <f>'Participant reporting'!C341</f>
        <v>0</v>
      </c>
      <c r="D114">
        <f>'Participant reporting'!D341</f>
        <v>0</v>
      </c>
      <c r="E114" s="15">
        <f>'Participant reporting'!E341</f>
        <v>0</v>
      </c>
      <c r="F114">
        <f>'Participant reporting'!F341</f>
        <v>0</v>
      </c>
      <c r="G114">
        <f>'Participant reporting'!G341</f>
        <v>0</v>
      </c>
      <c r="H114">
        <f>'Participant reporting'!H341</f>
        <v>0</v>
      </c>
      <c r="I114">
        <f>'Participant reporting'!I341</f>
        <v>0</v>
      </c>
      <c r="J114">
        <f>'Participant reporting'!J341</f>
        <v>0</v>
      </c>
      <c r="K114">
        <f>'Participant reporting'!K341</f>
        <v>0</v>
      </c>
      <c r="L114">
        <f>'Participant reporting'!L341</f>
        <v>0</v>
      </c>
      <c r="M114">
        <f>'Participant reporting'!M341</f>
        <v>0</v>
      </c>
      <c r="N114">
        <f>'Participant reporting'!N341</f>
        <v>0</v>
      </c>
      <c r="O114">
        <f>'Participant reporting'!O341</f>
        <v>0</v>
      </c>
    </row>
    <row r="115" spans="1:15" x14ac:dyDescent="0.25">
      <c r="A115">
        <f>'Participant reporting'!A342</f>
        <v>0</v>
      </c>
      <c r="B115">
        <f>'Participant reporting'!B342</f>
        <v>0</v>
      </c>
      <c r="C115">
        <f>'Participant reporting'!C342</f>
        <v>0</v>
      </c>
      <c r="D115">
        <f>'Participant reporting'!D342</f>
        <v>0</v>
      </c>
      <c r="E115" s="15">
        <f>'Participant reporting'!E342</f>
        <v>0</v>
      </c>
      <c r="F115">
        <f>'Participant reporting'!F342</f>
        <v>0</v>
      </c>
      <c r="G115">
        <f>'Participant reporting'!G342</f>
        <v>0</v>
      </c>
      <c r="H115">
        <f>'Participant reporting'!H342</f>
        <v>0</v>
      </c>
      <c r="I115">
        <f>'Participant reporting'!I342</f>
        <v>0</v>
      </c>
      <c r="J115">
        <f>'Participant reporting'!J342</f>
        <v>0</v>
      </c>
      <c r="K115">
        <f>'Participant reporting'!K342</f>
        <v>0</v>
      </c>
      <c r="L115">
        <f>'Participant reporting'!L342</f>
        <v>0</v>
      </c>
      <c r="M115">
        <f>'Participant reporting'!M342</f>
        <v>0</v>
      </c>
      <c r="N115">
        <f>'Participant reporting'!N342</f>
        <v>0</v>
      </c>
      <c r="O115">
        <f>'Participant reporting'!O342</f>
        <v>0</v>
      </c>
    </row>
    <row r="116" spans="1:15" x14ac:dyDescent="0.25">
      <c r="A116">
        <f>'Participant reporting'!A343</f>
        <v>0</v>
      </c>
      <c r="B116">
        <f>'Participant reporting'!B343</f>
        <v>0</v>
      </c>
      <c r="C116">
        <f>'Participant reporting'!C343</f>
        <v>0</v>
      </c>
      <c r="D116">
        <f>'Participant reporting'!D343</f>
        <v>0</v>
      </c>
      <c r="E116" s="15">
        <f>'Participant reporting'!E343</f>
        <v>0</v>
      </c>
      <c r="F116">
        <f>'Participant reporting'!F343</f>
        <v>0</v>
      </c>
      <c r="G116">
        <f>'Participant reporting'!G343</f>
        <v>0</v>
      </c>
      <c r="H116">
        <f>'Participant reporting'!H343</f>
        <v>0</v>
      </c>
      <c r="I116">
        <f>'Participant reporting'!I343</f>
        <v>0</v>
      </c>
      <c r="J116">
        <f>'Participant reporting'!J343</f>
        <v>0</v>
      </c>
      <c r="K116">
        <f>'Participant reporting'!K343</f>
        <v>0</v>
      </c>
      <c r="L116">
        <f>'Participant reporting'!L343</f>
        <v>0</v>
      </c>
      <c r="M116">
        <f>'Participant reporting'!M343</f>
        <v>0</v>
      </c>
      <c r="N116">
        <f>'Participant reporting'!N343</f>
        <v>0</v>
      </c>
      <c r="O116">
        <f>'Participant reporting'!O343</f>
        <v>0</v>
      </c>
    </row>
    <row r="117" spans="1:15" x14ac:dyDescent="0.25">
      <c r="A117">
        <f>'Participant reporting'!A344</f>
        <v>0</v>
      </c>
      <c r="B117">
        <f>'Participant reporting'!B344</f>
        <v>0</v>
      </c>
      <c r="C117">
        <f>'Participant reporting'!C344</f>
        <v>0</v>
      </c>
      <c r="D117">
        <f>'Participant reporting'!D344</f>
        <v>0</v>
      </c>
      <c r="E117" s="15">
        <f>'Participant reporting'!E344</f>
        <v>0</v>
      </c>
      <c r="F117">
        <f>'Participant reporting'!F344</f>
        <v>0</v>
      </c>
      <c r="G117">
        <f>'Participant reporting'!G344</f>
        <v>0</v>
      </c>
      <c r="H117">
        <f>'Participant reporting'!H344</f>
        <v>0</v>
      </c>
      <c r="I117">
        <f>'Participant reporting'!I344</f>
        <v>0</v>
      </c>
      <c r="J117">
        <f>'Participant reporting'!J344</f>
        <v>0</v>
      </c>
      <c r="K117">
        <f>'Participant reporting'!K344</f>
        <v>0</v>
      </c>
      <c r="L117">
        <f>'Participant reporting'!L344</f>
        <v>0</v>
      </c>
      <c r="M117">
        <f>'Participant reporting'!M344</f>
        <v>0</v>
      </c>
      <c r="N117">
        <f>'Participant reporting'!N344</f>
        <v>0</v>
      </c>
      <c r="O117">
        <f>'Participant reporting'!O344</f>
        <v>0</v>
      </c>
    </row>
    <row r="118" spans="1:15" x14ac:dyDescent="0.25">
      <c r="A118">
        <f>'Participant reporting'!A345</f>
        <v>0</v>
      </c>
      <c r="B118">
        <f>'Participant reporting'!B345</f>
        <v>0</v>
      </c>
      <c r="C118">
        <f>'Participant reporting'!C345</f>
        <v>0</v>
      </c>
      <c r="D118">
        <f>'Participant reporting'!D345</f>
        <v>0</v>
      </c>
      <c r="E118" s="15">
        <f>'Participant reporting'!E345</f>
        <v>0</v>
      </c>
      <c r="F118">
        <f>'Participant reporting'!F345</f>
        <v>0</v>
      </c>
      <c r="G118">
        <f>'Participant reporting'!G345</f>
        <v>0</v>
      </c>
      <c r="H118">
        <f>'Participant reporting'!H345</f>
        <v>0</v>
      </c>
      <c r="I118">
        <f>'Participant reporting'!I345</f>
        <v>0</v>
      </c>
      <c r="J118">
        <f>'Participant reporting'!J345</f>
        <v>0</v>
      </c>
      <c r="K118">
        <f>'Participant reporting'!K345</f>
        <v>0</v>
      </c>
      <c r="L118">
        <f>'Participant reporting'!L345</f>
        <v>0</v>
      </c>
      <c r="M118">
        <f>'Participant reporting'!M345</f>
        <v>0</v>
      </c>
      <c r="N118">
        <f>'Participant reporting'!N345</f>
        <v>0</v>
      </c>
      <c r="O118">
        <f>'Participant reporting'!O345</f>
        <v>0</v>
      </c>
    </row>
    <row r="119" spans="1:15" x14ac:dyDescent="0.25">
      <c r="A119">
        <f>'Participant reporting'!A346</f>
        <v>0</v>
      </c>
      <c r="B119">
        <f>'Participant reporting'!B346</f>
        <v>0</v>
      </c>
      <c r="C119">
        <f>'Participant reporting'!C346</f>
        <v>0</v>
      </c>
      <c r="D119">
        <f>'Participant reporting'!D346</f>
        <v>0</v>
      </c>
      <c r="E119" s="15">
        <f>'Participant reporting'!E346</f>
        <v>0</v>
      </c>
      <c r="F119">
        <f>'Participant reporting'!F346</f>
        <v>0</v>
      </c>
      <c r="G119">
        <f>'Participant reporting'!G346</f>
        <v>0</v>
      </c>
      <c r="H119">
        <f>'Participant reporting'!H346</f>
        <v>0</v>
      </c>
      <c r="I119">
        <f>'Participant reporting'!I346</f>
        <v>0</v>
      </c>
      <c r="J119">
        <f>'Participant reporting'!J346</f>
        <v>0</v>
      </c>
      <c r="K119">
        <f>'Participant reporting'!K346</f>
        <v>0</v>
      </c>
      <c r="L119">
        <f>'Participant reporting'!L346</f>
        <v>0</v>
      </c>
      <c r="M119">
        <f>'Participant reporting'!M346</f>
        <v>0</v>
      </c>
      <c r="N119">
        <f>'Participant reporting'!N346</f>
        <v>0</v>
      </c>
      <c r="O119">
        <f>'Participant reporting'!O346</f>
        <v>0</v>
      </c>
    </row>
    <row r="120" spans="1:15" x14ac:dyDescent="0.25">
      <c r="A120">
        <f>'Participant reporting'!A347</f>
        <v>0</v>
      </c>
      <c r="B120">
        <f>'Participant reporting'!B347</f>
        <v>0</v>
      </c>
      <c r="C120">
        <f>'Participant reporting'!C347</f>
        <v>0</v>
      </c>
      <c r="D120">
        <f>'Participant reporting'!D347</f>
        <v>0</v>
      </c>
      <c r="E120" s="15">
        <f>'Participant reporting'!E347</f>
        <v>0</v>
      </c>
      <c r="F120">
        <f>'Participant reporting'!F347</f>
        <v>0</v>
      </c>
      <c r="G120">
        <f>'Participant reporting'!G347</f>
        <v>0</v>
      </c>
      <c r="H120">
        <f>'Participant reporting'!H347</f>
        <v>0</v>
      </c>
      <c r="I120">
        <f>'Participant reporting'!I347</f>
        <v>0</v>
      </c>
      <c r="J120">
        <f>'Participant reporting'!J347</f>
        <v>0</v>
      </c>
      <c r="K120">
        <f>'Participant reporting'!K347</f>
        <v>0</v>
      </c>
      <c r="L120">
        <f>'Participant reporting'!L347</f>
        <v>0</v>
      </c>
      <c r="M120">
        <f>'Participant reporting'!M347</f>
        <v>0</v>
      </c>
      <c r="N120">
        <f>'Participant reporting'!N347</f>
        <v>0</v>
      </c>
      <c r="O120">
        <f>'Participant reporting'!O347</f>
        <v>0</v>
      </c>
    </row>
    <row r="121" spans="1:15" x14ac:dyDescent="0.25">
      <c r="A121">
        <f>'Participant reporting'!A348</f>
        <v>0</v>
      </c>
      <c r="B121">
        <f>'Participant reporting'!B348</f>
        <v>0</v>
      </c>
      <c r="C121">
        <f>'Participant reporting'!C348</f>
        <v>0</v>
      </c>
      <c r="D121">
        <f>'Participant reporting'!D348</f>
        <v>0</v>
      </c>
      <c r="E121" s="15">
        <f>'Participant reporting'!E348</f>
        <v>0</v>
      </c>
      <c r="F121">
        <f>'Participant reporting'!F348</f>
        <v>0</v>
      </c>
      <c r="G121">
        <f>'Participant reporting'!G348</f>
        <v>0</v>
      </c>
      <c r="H121">
        <f>'Participant reporting'!H348</f>
        <v>0</v>
      </c>
      <c r="I121">
        <f>'Participant reporting'!I348</f>
        <v>0</v>
      </c>
      <c r="J121">
        <f>'Participant reporting'!J348</f>
        <v>0</v>
      </c>
      <c r="K121">
        <f>'Participant reporting'!K348</f>
        <v>0</v>
      </c>
      <c r="L121">
        <f>'Participant reporting'!L348</f>
        <v>0</v>
      </c>
      <c r="M121">
        <f>'Participant reporting'!M348</f>
        <v>0</v>
      </c>
      <c r="N121">
        <f>'Participant reporting'!N348</f>
        <v>0</v>
      </c>
      <c r="O121">
        <f>'Participant reporting'!O348</f>
        <v>0</v>
      </c>
    </row>
    <row r="122" spans="1:15" x14ac:dyDescent="0.25">
      <c r="A122">
        <f>'Participant reporting'!A349</f>
        <v>0</v>
      </c>
      <c r="B122">
        <f>'Participant reporting'!B349</f>
        <v>0</v>
      </c>
      <c r="C122">
        <f>'Participant reporting'!C349</f>
        <v>0</v>
      </c>
      <c r="D122">
        <f>'Participant reporting'!D349</f>
        <v>0</v>
      </c>
      <c r="E122" s="15">
        <f>'Participant reporting'!E349</f>
        <v>0</v>
      </c>
      <c r="F122">
        <f>'Participant reporting'!F349</f>
        <v>0</v>
      </c>
      <c r="G122">
        <f>'Participant reporting'!G349</f>
        <v>0</v>
      </c>
      <c r="H122">
        <f>'Participant reporting'!H349</f>
        <v>0</v>
      </c>
      <c r="I122">
        <f>'Participant reporting'!I349</f>
        <v>0</v>
      </c>
      <c r="J122">
        <f>'Participant reporting'!J349</f>
        <v>0</v>
      </c>
      <c r="K122">
        <f>'Participant reporting'!K349</f>
        <v>0</v>
      </c>
      <c r="L122">
        <f>'Participant reporting'!L349</f>
        <v>0</v>
      </c>
      <c r="M122">
        <f>'Participant reporting'!M349</f>
        <v>0</v>
      </c>
      <c r="N122">
        <f>'Participant reporting'!N349</f>
        <v>0</v>
      </c>
      <c r="O122">
        <f>'Participant reporting'!O349</f>
        <v>0</v>
      </c>
    </row>
    <row r="123" spans="1:15" x14ac:dyDescent="0.25">
      <c r="A123">
        <f>'Participant reporting'!A350</f>
        <v>0</v>
      </c>
      <c r="B123">
        <f>'Participant reporting'!B350</f>
        <v>0</v>
      </c>
      <c r="C123">
        <f>'Participant reporting'!C350</f>
        <v>0</v>
      </c>
      <c r="D123">
        <f>'Participant reporting'!D350</f>
        <v>0</v>
      </c>
      <c r="E123" s="15">
        <f>'Participant reporting'!E350</f>
        <v>0</v>
      </c>
      <c r="F123">
        <f>'Participant reporting'!F350</f>
        <v>0</v>
      </c>
      <c r="G123">
        <f>'Participant reporting'!G350</f>
        <v>0</v>
      </c>
      <c r="H123">
        <f>'Participant reporting'!H350</f>
        <v>0</v>
      </c>
      <c r="I123">
        <f>'Participant reporting'!I350</f>
        <v>0</v>
      </c>
      <c r="J123">
        <f>'Participant reporting'!J350</f>
        <v>0</v>
      </c>
      <c r="K123">
        <f>'Participant reporting'!K350</f>
        <v>0</v>
      </c>
      <c r="L123">
        <f>'Participant reporting'!L350</f>
        <v>0</v>
      </c>
      <c r="M123">
        <f>'Participant reporting'!M350</f>
        <v>0</v>
      </c>
      <c r="N123">
        <f>'Participant reporting'!N350</f>
        <v>0</v>
      </c>
      <c r="O123">
        <f>'Participant reporting'!O350</f>
        <v>0</v>
      </c>
    </row>
    <row r="124" spans="1:15" x14ac:dyDescent="0.25">
      <c r="A124">
        <f>'Participant reporting'!A351</f>
        <v>0</v>
      </c>
      <c r="B124">
        <f>'Participant reporting'!B351</f>
        <v>0</v>
      </c>
      <c r="C124">
        <f>'Participant reporting'!C351</f>
        <v>0</v>
      </c>
      <c r="D124">
        <f>'Participant reporting'!D351</f>
        <v>0</v>
      </c>
      <c r="E124" s="15">
        <f>'Participant reporting'!E351</f>
        <v>0</v>
      </c>
      <c r="F124">
        <f>'Participant reporting'!F351</f>
        <v>0</v>
      </c>
      <c r="G124">
        <f>'Participant reporting'!G351</f>
        <v>0</v>
      </c>
      <c r="H124">
        <f>'Participant reporting'!H351</f>
        <v>0</v>
      </c>
      <c r="I124">
        <f>'Participant reporting'!I351</f>
        <v>0</v>
      </c>
      <c r="J124">
        <f>'Participant reporting'!J351</f>
        <v>0</v>
      </c>
      <c r="K124">
        <f>'Participant reporting'!K351</f>
        <v>0</v>
      </c>
      <c r="L124">
        <f>'Participant reporting'!L351</f>
        <v>0</v>
      </c>
      <c r="M124">
        <f>'Participant reporting'!M351</f>
        <v>0</v>
      </c>
      <c r="N124">
        <f>'Participant reporting'!N351</f>
        <v>0</v>
      </c>
      <c r="O124">
        <f>'Participant reporting'!O351</f>
        <v>0</v>
      </c>
    </row>
    <row r="125" spans="1:15" x14ac:dyDescent="0.25">
      <c r="A125">
        <f>'Participant reporting'!A352</f>
        <v>0</v>
      </c>
      <c r="B125">
        <f>'Participant reporting'!B352</f>
        <v>0</v>
      </c>
      <c r="C125">
        <f>'Participant reporting'!C352</f>
        <v>0</v>
      </c>
      <c r="D125">
        <f>'Participant reporting'!D352</f>
        <v>0</v>
      </c>
      <c r="E125" s="15">
        <f>'Participant reporting'!E352</f>
        <v>0</v>
      </c>
      <c r="F125">
        <f>'Participant reporting'!F352</f>
        <v>0</v>
      </c>
      <c r="G125">
        <f>'Participant reporting'!G352</f>
        <v>0</v>
      </c>
      <c r="H125">
        <f>'Participant reporting'!H352</f>
        <v>0</v>
      </c>
      <c r="I125">
        <f>'Participant reporting'!I352</f>
        <v>0</v>
      </c>
      <c r="J125">
        <f>'Participant reporting'!J352</f>
        <v>0</v>
      </c>
      <c r="K125">
        <f>'Participant reporting'!K352</f>
        <v>0</v>
      </c>
      <c r="L125">
        <f>'Participant reporting'!L352</f>
        <v>0</v>
      </c>
      <c r="M125">
        <f>'Participant reporting'!M352</f>
        <v>0</v>
      </c>
      <c r="N125">
        <f>'Participant reporting'!N352</f>
        <v>0</v>
      </c>
      <c r="O125">
        <f>'Participant reporting'!O352</f>
        <v>0</v>
      </c>
    </row>
    <row r="126" spans="1:15" x14ac:dyDescent="0.25">
      <c r="A126">
        <f>'Participant reporting'!A353</f>
        <v>0</v>
      </c>
      <c r="B126">
        <f>'Participant reporting'!B353</f>
        <v>0</v>
      </c>
      <c r="C126">
        <f>'Participant reporting'!C353</f>
        <v>0</v>
      </c>
      <c r="D126">
        <f>'Participant reporting'!D353</f>
        <v>0</v>
      </c>
      <c r="E126" s="15">
        <f>'Participant reporting'!E353</f>
        <v>0</v>
      </c>
      <c r="F126">
        <f>'Participant reporting'!F353</f>
        <v>0</v>
      </c>
      <c r="G126">
        <f>'Participant reporting'!G353</f>
        <v>0</v>
      </c>
      <c r="H126">
        <f>'Participant reporting'!H353</f>
        <v>0</v>
      </c>
      <c r="I126">
        <f>'Participant reporting'!I353</f>
        <v>0</v>
      </c>
      <c r="J126">
        <f>'Participant reporting'!J353</f>
        <v>0</v>
      </c>
      <c r="K126">
        <f>'Participant reporting'!K353</f>
        <v>0</v>
      </c>
      <c r="L126">
        <f>'Participant reporting'!L353</f>
        <v>0</v>
      </c>
      <c r="M126">
        <f>'Participant reporting'!M353</f>
        <v>0</v>
      </c>
      <c r="N126">
        <f>'Participant reporting'!N353</f>
        <v>0</v>
      </c>
      <c r="O126">
        <f>'Participant reporting'!O353</f>
        <v>0</v>
      </c>
    </row>
    <row r="127" spans="1:15" x14ac:dyDescent="0.25">
      <c r="A127">
        <f>'Participant reporting'!A354</f>
        <v>0</v>
      </c>
      <c r="B127">
        <f>'Participant reporting'!B354</f>
        <v>0</v>
      </c>
      <c r="C127">
        <f>'Participant reporting'!C354</f>
        <v>0</v>
      </c>
      <c r="D127">
        <f>'Participant reporting'!D354</f>
        <v>0</v>
      </c>
      <c r="E127" s="15">
        <f>'Participant reporting'!E354</f>
        <v>0</v>
      </c>
      <c r="F127">
        <f>'Participant reporting'!F354</f>
        <v>0</v>
      </c>
      <c r="G127">
        <f>'Participant reporting'!G354</f>
        <v>0</v>
      </c>
      <c r="H127">
        <f>'Participant reporting'!H354</f>
        <v>0</v>
      </c>
      <c r="I127">
        <f>'Participant reporting'!I354</f>
        <v>0</v>
      </c>
      <c r="J127">
        <f>'Participant reporting'!J354</f>
        <v>0</v>
      </c>
      <c r="K127">
        <f>'Participant reporting'!K354</f>
        <v>0</v>
      </c>
      <c r="L127">
        <f>'Participant reporting'!L354</f>
        <v>0</v>
      </c>
      <c r="M127">
        <f>'Participant reporting'!M354</f>
        <v>0</v>
      </c>
      <c r="N127">
        <f>'Participant reporting'!N354</f>
        <v>0</v>
      </c>
      <c r="O127">
        <f>'Participant reporting'!O354</f>
        <v>0</v>
      </c>
    </row>
    <row r="128" spans="1:15" x14ac:dyDescent="0.25">
      <c r="A128">
        <f>'Participant reporting'!A355</f>
        <v>0</v>
      </c>
      <c r="B128">
        <f>'Participant reporting'!B355</f>
        <v>0</v>
      </c>
      <c r="C128">
        <f>'Participant reporting'!C355</f>
        <v>0</v>
      </c>
      <c r="D128">
        <f>'Participant reporting'!D355</f>
        <v>0</v>
      </c>
      <c r="E128" s="15">
        <f>'Participant reporting'!E355</f>
        <v>0</v>
      </c>
      <c r="F128">
        <f>'Participant reporting'!F355</f>
        <v>0</v>
      </c>
      <c r="G128">
        <f>'Participant reporting'!G355</f>
        <v>0</v>
      </c>
      <c r="H128">
        <f>'Participant reporting'!H355</f>
        <v>0</v>
      </c>
      <c r="I128">
        <f>'Participant reporting'!I355</f>
        <v>0</v>
      </c>
      <c r="J128">
        <f>'Participant reporting'!J355</f>
        <v>0</v>
      </c>
      <c r="K128">
        <f>'Participant reporting'!K355</f>
        <v>0</v>
      </c>
      <c r="L128">
        <f>'Participant reporting'!L355</f>
        <v>0</v>
      </c>
      <c r="M128">
        <f>'Participant reporting'!M355</f>
        <v>0</v>
      </c>
      <c r="N128">
        <f>'Participant reporting'!N355</f>
        <v>0</v>
      </c>
      <c r="O128">
        <f>'Participant reporting'!O355</f>
        <v>0</v>
      </c>
    </row>
    <row r="129" spans="1:15" x14ac:dyDescent="0.25">
      <c r="A129">
        <f>'Participant reporting'!A356</f>
        <v>0</v>
      </c>
      <c r="B129">
        <f>'Participant reporting'!B356</f>
        <v>0</v>
      </c>
      <c r="C129">
        <f>'Participant reporting'!C356</f>
        <v>0</v>
      </c>
      <c r="D129">
        <f>'Participant reporting'!D356</f>
        <v>0</v>
      </c>
      <c r="E129" s="15">
        <f>'Participant reporting'!E356</f>
        <v>0</v>
      </c>
      <c r="F129">
        <f>'Participant reporting'!F356</f>
        <v>0</v>
      </c>
      <c r="G129">
        <f>'Participant reporting'!G356</f>
        <v>0</v>
      </c>
      <c r="H129">
        <f>'Participant reporting'!H356</f>
        <v>0</v>
      </c>
      <c r="I129">
        <f>'Participant reporting'!I356</f>
        <v>0</v>
      </c>
      <c r="J129">
        <f>'Participant reporting'!J356</f>
        <v>0</v>
      </c>
      <c r="K129">
        <f>'Participant reporting'!K356</f>
        <v>0</v>
      </c>
      <c r="L129">
        <f>'Participant reporting'!L356</f>
        <v>0</v>
      </c>
      <c r="M129">
        <f>'Participant reporting'!M356</f>
        <v>0</v>
      </c>
      <c r="N129">
        <f>'Participant reporting'!N356</f>
        <v>0</v>
      </c>
      <c r="O129">
        <f>'Participant reporting'!O356</f>
        <v>0</v>
      </c>
    </row>
    <row r="130" spans="1:15" x14ac:dyDescent="0.25">
      <c r="A130">
        <f>'Participant reporting'!A357</f>
        <v>0</v>
      </c>
      <c r="B130">
        <f>'Participant reporting'!B357</f>
        <v>0</v>
      </c>
      <c r="C130">
        <f>'Participant reporting'!C357</f>
        <v>0</v>
      </c>
      <c r="D130">
        <f>'Participant reporting'!D357</f>
        <v>0</v>
      </c>
      <c r="E130" s="15">
        <f>'Participant reporting'!E357</f>
        <v>0</v>
      </c>
      <c r="F130">
        <f>'Participant reporting'!F357</f>
        <v>0</v>
      </c>
      <c r="G130">
        <f>'Participant reporting'!G357</f>
        <v>0</v>
      </c>
      <c r="H130">
        <f>'Participant reporting'!H357</f>
        <v>0</v>
      </c>
      <c r="I130">
        <f>'Participant reporting'!I357</f>
        <v>0</v>
      </c>
      <c r="J130">
        <f>'Participant reporting'!J357</f>
        <v>0</v>
      </c>
      <c r="K130">
        <f>'Participant reporting'!K357</f>
        <v>0</v>
      </c>
      <c r="L130">
        <f>'Participant reporting'!L357</f>
        <v>0</v>
      </c>
      <c r="M130">
        <f>'Participant reporting'!M357</f>
        <v>0</v>
      </c>
      <c r="N130">
        <f>'Participant reporting'!N357</f>
        <v>0</v>
      </c>
      <c r="O130">
        <f>'Participant reporting'!O357</f>
        <v>0</v>
      </c>
    </row>
    <row r="131" spans="1:15" x14ac:dyDescent="0.25">
      <c r="A131">
        <f>'Participant reporting'!A358</f>
        <v>0</v>
      </c>
      <c r="B131">
        <f>'Participant reporting'!B358</f>
        <v>0</v>
      </c>
      <c r="C131">
        <f>'Participant reporting'!C358</f>
        <v>0</v>
      </c>
      <c r="D131">
        <f>'Participant reporting'!D358</f>
        <v>0</v>
      </c>
      <c r="E131" s="15">
        <f>'Participant reporting'!E358</f>
        <v>0</v>
      </c>
      <c r="F131">
        <f>'Participant reporting'!F358</f>
        <v>0</v>
      </c>
      <c r="G131">
        <f>'Participant reporting'!G358</f>
        <v>0</v>
      </c>
      <c r="H131">
        <f>'Participant reporting'!H358</f>
        <v>0</v>
      </c>
      <c r="I131">
        <f>'Participant reporting'!I358</f>
        <v>0</v>
      </c>
      <c r="J131">
        <f>'Participant reporting'!J358</f>
        <v>0</v>
      </c>
      <c r="K131">
        <f>'Participant reporting'!K358</f>
        <v>0</v>
      </c>
      <c r="L131">
        <f>'Participant reporting'!L358</f>
        <v>0</v>
      </c>
      <c r="M131">
        <f>'Participant reporting'!M358</f>
        <v>0</v>
      </c>
      <c r="N131">
        <f>'Participant reporting'!N358</f>
        <v>0</v>
      </c>
      <c r="O131">
        <f>'Participant reporting'!O358</f>
        <v>0</v>
      </c>
    </row>
    <row r="132" spans="1:15" x14ac:dyDescent="0.25">
      <c r="A132">
        <f>'Participant reporting'!A359</f>
        <v>0</v>
      </c>
      <c r="B132">
        <f>'Participant reporting'!B359</f>
        <v>0</v>
      </c>
      <c r="C132">
        <f>'Participant reporting'!C359</f>
        <v>0</v>
      </c>
      <c r="D132">
        <f>'Participant reporting'!D359</f>
        <v>0</v>
      </c>
      <c r="E132" s="15">
        <f>'Participant reporting'!E359</f>
        <v>0</v>
      </c>
      <c r="F132">
        <f>'Participant reporting'!F359</f>
        <v>0</v>
      </c>
      <c r="G132">
        <f>'Participant reporting'!G359</f>
        <v>0</v>
      </c>
      <c r="H132">
        <f>'Participant reporting'!H359</f>
        <v>0</v>
      </c>
      <c r="I132">
        <f>'Participant reporting'!I359</f>
        <v>0</v>
      </c>
      <c r="J132">
        <f>'Participant reporting'!J359</f>
        <v>0</v>
      </c>
      <c r="K132">
        <f>'Participant reporting'!K359</f>
        <v>0</v>
      </c>
      <c r="L132">
        <f>'Participant reporting'!L359</f>
        <v>0</v>
      </c>
      <c r="M132">
        <f>'Participant reporting'!M359</f>
        <v>0</v>
      </c>
      <c r="N132">
        <f>'Participant reporting'!N359</f>
        <v>0</v>
      </c>
      <c r="O132">
        <f>'Participant reporting'!O359</f>
        <v>0</v>
      </c>
    </row>
    <row r="133" spans="1:15" x14ac:dyDescent="0.25">
      <c r="A133">
        <f>'Participant reporting'!A360</f>
        <v>0</v>
      </c>
      <c r="B133">
        <f>'Participant reporting'!B360</f>
        <v>0</v>
      </c>
      <c r="C133">
        <f>'Participant reporting'!C360</f>
        <v>0</v>
      </c>
      <c r="D133">
        <f>'Participant reporting'!D360</f>
        <v>0</v>
      </c>
      <c r="E133" s="15">
        <f>'Participant reporting'!E360</f>
        <v>0</v>
      </c>
      <c r="F133">
        <f>'Participant reporting'!F360</f>
        <v>0</v>
      </c>
      <c r="G133">
        <f>'Participant reporting'!G360</f>
        <v>0</v>
      </c>
      <c r="H133">
        <f>'Participant reporting'!H360</f>
        <v>0</v>
      </c>
      <c r="I133">
        <f>'Participant reporting'!I360</f>
        <v>0</v>
      </c>
      <c r="J133">
        <f>'Participant reporting'!J360</f>
        <v>0</v>
      </c>
      <c r="K133">
        <f>'Participant reporting'!K360</f>
        <v>0</v>
      </c>
      <c r="L133">
        <f>'Participant reporting'!L360</f>
        <v>0</v>
      </c>
      <c r="M133">
        <f>'Participant reporting'!M360</f>
        <v>0</v>
      </c>
      <c r="N133">
        <f>'Participant reporting'!N360</f>
        <v>0</v>
      </c>
      <c r="O133">
        <f>'Participant reporting'!O360</f>
        <v>0</v>
      </c>
    </row>
    <row r="134" spans="1:15" x14ac:dyDescent="0.25">
      <c r="A134">
        <f>'Participant reporting'!A361</f>
        <v>0</v>
      </c>
      <c r="B134">
        <f>'Participant reporting'!B361</f>
        <v>0</v>
      </c>
      <c r="C134">
        <f>'Participant reporting'!C361</f>
        <v>0</v>
      </c>
      <c r="D134">
        <f>'Participant reporting'!D361</f>
        <v>0</v>
      </c>
      <c r="E134" s="15">
        <f>'Participant reporting'!E361</f>
        <v>0</v>
      </c>
      <c r="F134">
        <f>'Participant reporting'!F361</f>
        <v>0</v>
      </c>
      <c r="G134">
        <f>'Participant reporting'!G361</f>
        <v>0</v>
      </c>
      <c r="H134">
        <f>'Participant reporting'!H361</f>
        <v>0</v>
      </c>
      <c r="I134">
        <f>'Participant reporting'!I361</f>
        <v>0</v>
      </c>
      <c r="J134">
        <f>'Participant reporting'!J361</f>
        <v>0</v>
      </c>
      <c r="K134">
        <f>'Participant reporting'!K361</f>
        <v>0</v>
      </c>
      <c r="L134">
        <f>'Participant reporting'!L361</f>
        <v>0</v>
      </c>
      <c r="M134">
        <f>'Participant reporting'!M361</f>
        <v>0</v>
      </c>
      <c r="N134">
        <f>'Participant reporting'!N361</f>
        <v>0</v>
      </c>
      <c r="O134">
        <f>'Participant reporting'!O361</f>
        <v>0</v>
      </c>
    </row>
    <row r="135" spans="1:15" x14ac:dyDescent="0.25">
      <c r="A135">
        <f>'Participant reporting'!A362</f>
        <v>0</v>
      </c>
      <c r="B135">
        <f>'Participant reporting'!B362</f>
        <v>0</v>
      </c>
      <c r="C135">
        <f>'Participant reporting'!C362</f>
        <v>0</v>
      </c>
      <c r="D135">
        <f>'Participant reporting'!D362</f>
        <v>0</v>
      </c>
      <c r="E135" s="15">
        <f>'Participant reporting'!E362</f>
        <v>0</v>
      </c>
      <c r="F135">
        <f>'Participant reporting'!F362</f>
        <v>0</v>
      </c>
      <c r="G135">
        <f>'Participant reporting'!G362</f>
        <v>0</v>
      </c>
      <c r="H135">
        <f>'Participant reporting'!H362</f>
        <v>0</v>
      </c>
      <c r="I135">
        <f>'Participant reporting'!I362</f>
        <v>0</v>
      </c>
      <c r="J135">
        <f>'Participant reporting'!J362</f>
        <v>0</v>
      </c>
      <c r="K135">
        <f>'Participant reporting'!K362</f>
        <v>0</v>
      </c>
      <c r="L135">
        <f>'Participant reporting'!L362</f>
        <v>0</v>
      </c>
      <c r="M135">
        <f>'Participant reporting'!M362</f>
        <v>0</v>
      </c>
      <c r="N135">
        <f>'Participant reporting'!N362</f>
        <v>0</v>
      </c>
      <c r="O135">
        <f>'Participant reporting'!O362</f>
        <v>0</v>
      </c>
    </row>
    <row r="136" spans="1:15" x14ac:dyDescent="0.25">
      <c r="A136">
        <f>'Participant reporting'!A363</f>
        <v>0</v>
      </c>
      <c r="B136">
        <f>'Participant reporting'!B363</f>
        <v>0</v>
      </c>
      <c r="C136">
        <f>'Participant reporting'!C363</f>
        <v>0</v>
      </c>
      <c r="D136">
        <f>'Participant reporting'!D363</f>
        <v>0</v>
      </c>
      <c r="E136" s="15">
        <f>'Participant reporting'!E363</f>
        <v>0</v>
      </c>
      <c r="F136">
        <f>'Participant reporting'!F363</f>
        <v>0</v>
      </c>
      <c r="G136">
        <f>'Participant reporting'!G363</f>
        <v>0</v>
      </c>
      <c r="H136">
        <f>'Participant reporting'!H363</f>
        <v>0</v>
      </c>
      <c r="I136">
        <f>'Participant reporting'!I363</f>
        <v>0</v>
      </c>
      <c r="J136">
        <f>'Participant reporting'!J363</f>
        <v>0</v>
      </c>
      <c r="K136">
        <f>'Participant reporting'!K363</f>
        <v>0</v>
      </c>
      <c r="L136">
        <f>'Participant reporting'!L363</f>
        <v>0</v>
      </c>
      <c r="M136">
        <f>'Participant reporting'!M363</f>
        <v>0</v>
      </c>
      <c r="N136">
        <f>'Participant reporting'!N363</f>
        <v>0</v>
      </c>
      <c r="O136">
        <f>'Participant reporting'!O363</f>
        <v>0</v>
      </c>
    </row>
    <row r="137" spans="1:15" x14ac:dyDescent="0.25">
      <c r="A137">
        <f>'Participant reporting'!A364</f>
        <v>0</v>
      </c>
      <c r="B137">
        <f>'Participant reporting'!B364</f>
        <v>0</v>
      </c>
      <c r="C137">
        <f>'Participant reporting'!C364</f>
        <v>0</v>
      </c>
      <c r="D137">
        <f>'Participant reporting'!D364</f>
        <v>0</v>
      </c>
      <c r="E137" s="15">
        <f>'Participant reporting'!E364</f>
        <v>0</v>
      </c>
      <c r="F137">
        <f>'Participant reporting'!F364</f>
        <v>0</v>
      </c>
      <c r="G137">
        <f>'Participant reporting'!G364</f>
        <v>0</v>
      </c>
      <c r="H137">
        <f>'Participant reporting'!H364</f>
        <v>0</v>
      </c>
      <c r="I137">
        <f>'Participant reporting'!I364</f>
        <v>0</v>
      </c>
      <c r="J137">
        <f>'Participant reporting'!J364</f>
        <v>0</v>
      </c>
      <c r="K137">
        <f>'Participant reporting'!K364</f>
        <v>0</v>
      </c>
      <c r="L137">
        <f>'Participant reporting'!L364</f>
        <v>0</v>
      </c>
      <c r="M137">
        <f>'Participant reporting'!M364</f>
        <v>0</v>
      </c>
      <c r="N137">
        <f>'Participant reporting'!N364</f>
        <v>0</v>
      </c>
      <c r="O137">
        <f>'Participant reporting'!O364</f>
        <v>0</v>
      </c>
    </row>
    <row r="138" spans="1:15" x14ac:dyDescent="0.25">
      <c r="A138">
        <f>'Participant reporting'!A365</f>
        <v>0</v>
      </c>
      <c r="B138">
        <f>'Participant reporting'!B365</f>
        <v>0</v>
      </c>
      <c r="C138">
        <f>'Participant reporting'!C365</f>
        <v>0</v>
      </c>
      <c r="D138">
        <f>'Participant reporting'!D365</f>
        <v>0</v>
      </c>
      <c r="E138" s="15">
        <f>'Participant reporting'!E365</f>
        <v>0</v>
      </c>
      <c r="F138">
        <f>'Participant reporting'!F365</f>
        <v>0</v>
      </c>
      <c r="G138">
        <f>'Participant reporting'!G365</f>
        <v>0</v>
      </c>
      <c r="H138">
        <f>'Participant reporting'!H365</f>
        <v>0</v>
      </c>
      <c r="I138">
        <f>'Participant reporting'!I365</f>
        <v>0</v>
      </c>
      <c r="J138">
        <f>'Participant reporting'!J365</f>
        <v>0</v>
      </c>
      <c r="K138">
        <f>'Participant reporting'!K365</f>
        <v>0</v>
      </c>
      <c r="L138">
        <f>'Participant reporting'!L365</f>
        <v>0</v>
      </c>
      <c r="M138">
        <f>'Participant reporting'!M365</f>
        <v>0</v>
      </c>
      <c r="N138">
        <f>'Participant reporting'!N365</f>
        <v>0</v>
      </c>
      <c r="O138">
        <f>'Participant reporting'!O365</f>
        <v>0</v>
      </c>
    </row>
    <row r="139" spans="1:15" x14ac:dyDescent="0.25">
      <c r="A139">
        <f>'Participant reporting'!A366</f>
        <v>0</v>
      </c>
      <c r="B139">
        <f>'Participant reporting'!B366</f>
        <v>0</v>
      </c>
      <c r="C139">
        <f>'Participant reporting'!C366</f>
        <v>0</v>
      </c>
      <c r="D139">
        <f>'Participant reporting'!D366</f>
        <v>0</v>
      </c>
      <c r="E139" s="15">
        <f>'Participant reporting'!E366</f>
        <v>0</v>
      </c>
      <c r="F139">
        <f>'Participant reporting'!F366</f>
        <v>0</v>
      </c>
      <c r="G139">
        <f>'Participant reporting'!G366</f>
        <v>0</v>
      </c>
      <c r="H139">
        <f>'Participant reporting'!H366</f>
        <v>0</v>
      </c>
      <c r="I139">
        <f>'Participant reporting'!I366</f>
        <v>0</v>
      </c>
      <c r="J139">
        <f>'Participant reporting'!J366</f>
        <v>0</v>
      </c>
      <c r="K139">
        <f>'Participant reporting'!K366</f>
        <v>0</v>
      </c>
      <c r="L139">
        <f>'Participant reporting'!L366</f>
        <v>0</v>
      </c>
      <c r="M139">
        <f>'Participant reporting'!M366</f>
        <v>0</v>
      </c>
      <c r="N139">
        <f>'Participant reporting'!N366</f>
        <v>0</v>
      </c>
      <c r="O139">
        <f>'Participant reporting'!O366</f>
        <v>0</v>
      </c>
    </row>
    <row r="140" spans="1:15" x14ac:dyDescent="0.25">
      <c r="A140">
        <f>'Participant reporting'!A367</f>
        <v>0</v>
      </c>
      <c r="B140">
        <f>'Participant reporting'!B367</f>
        <v>0</v>
      </c>
      <c r="C140">
        <f>'Participant reporting'!C367</f>
        <v>0</v>
      </c>
      <c r="D140">
        <f>'Participant reporting'!D367</f>
        <v>0</v>
      </c>
      <c r="E140" s="15">
        <f>'Participant reporting'!E367</f>
        <v>0</v>
      </c>
      <c r="F140">
        <f>'Participant reporting'!F367</f>
        <v>0</v>
      </c>
      <c r="G140">
        <f>'Participant reporting'!G367</f>
        <v>0</v>
      </c>
      <c r="H140">
        <f>'Participant reporting'!H367</f>
        <v>0</v>
      </c>
      <c r="I140">
        <f>'Participant reporting'!I367</f>
        <v>0</v>
      </c>
      <c r="J140">
        <f>'Participant reporting'!J367</f>
        <v>0</v>
      </c>
      <c r="K140">
        <f>'Participant reporting'!K367</f>
        <v>0</v>
      </c>
      <c r="L140">
        <f>'Participant reporting'!L367</f>
        <v>0</v>
      </c>
      <c r="M140">
        <f>'Participant reporting'!M367</f>
        <v>0</v>
      </c>
      <c r="N140">
        <f>'Participant reporting'!N367</f>
        <v>0</v>
      </c>
      <c r="O140">
        <f>'Participant reporting'!O367</f>
        <v>0</v>
      </c>
    </row>
    <row r="141" spans="1:15" x14ac:dyDescent="0.25">
      <c r="A141">
        <f>'Participant reporting'!A368</f>
        <v>0</v>
      </c>
      <c r="B141">
        <f>'Participant reporting'!B368</f>
        <v>0</v>
      </c>
      <c r="C141">
        <f>'Participant reporting'!C368</f>
        <v>0</v>
      </c>
      <c r="D141">
        <f>'Participant reporting'!D368</f>
        <v>0</v>
      </c>
      <c r="E141" s="15">
        <f>'Participant reporting'!E368</f>
        <v>0</v>
      </c>
      <c r="F141">
        <f>'Participant reporting'!F368</f>
        <v>0</v>
      </c>
      <c r="G141">
        <f>'Participant reporting'!G368</f>
        <v>0</v>
      </c>
      <c r="H141">
        <f>'Participant reporting'!H368</f>
        <v>0</v>
      </c>
      <c r="I141">
        <f>'Participant reporting'!I368</f>
        <v>0</v>
      </c>
      <c r="J141">
        <f>'Participant reporting'!J368</f>
        <v>0</v>
      </c>
      <c r="K141">
        <f>'Participant reporting'!K368</f>
        <v>0</v>
      </c>
      <c r="L141">
        <f>'Participant reporting'!L368</f>
        <v>0</v>
      </c>
      <c r="M141">
        <f>'Participant reporting'!M368</f>
        <v>0</v>
      </c>
      <c r="N141">
        <f>'Participant reporting'!N368</f>
        <v>0</v>
      </c>
      <c r="O141">
        <f>'Participant reporting'!O368</f>
        <v>0</v>
      </c>
    </row>
    <row r="142" spans="1:15" x14ac:dyDescent="0.25">
      <c r="A142">
        <f>'Participant reporting'!A369</f>
        <v>0</v>
      </c>
      <c r="B142">
        <f>'Participant reporting'!B369</f>
        <v>0</v>
      </c>
      <c r="C142">
        <f>'Participant reporting'!C369</f>
        <v>0</v>
      </c>
      <c r="D142">
        <f>'Participant reporting'!D369</f>
        <v>0</v>
      </c>
      <c r="E142" s="15">
        <f>'Participant reporting'!E369</f>
        <v>0</v>
      </c>
      <c r="F142">
        <f>'Participant reporting'!F369</f>
        <v>0</v>
      </c>
      <c r="G142">
        <f>'Participant reporting'!G369</f>
        <v>0</v>
      </c>
      <c r="H142">
        <f>'Participant reporting'!H369</f>
        <v>0</v>
      </c>
      <c r="I142">
        <f>'Participant reporting'!I369</f>
        <v>0</v>
      </c>
      <c r="J142">
        <f>'Participant reporting'!J369</f>
        <v>0</v>
      </c>
      <c r="K142">
        <f>'Participant reporting'!K369</f>
        <v>0</v>
      </c>
      <c r="L142">
        <f>'Participant reporting'!L369</f>
        <v>0</v>
      </c>
      <c r="M142">
        <f>'Participant reporting'!M369</f>
        <v>0</v>
      </c>
      <c r="N142">
        <f>'Participant reporting'!N369</f>
        <v>0</v>
      </c>
      <c r="O142">
        <f>'Participant reporting'!O369</f>
        <v>0</v>
      </c>
    </row>
    <row r="143" spans="1:15" x14ac:dyDescent="0.25">
      <c r="A143">
        <f>'Participant reporting'!A370</f>
        <v>0</v>
      </c>
      <c r="B143">
        <f>'Participant reporting'!B370</f>
        <v>0</v>
      </c>
      <c r="C143">
        <f>'Participant reporting'!C370</f>
        <v>0</v>
      </c>
      <c r="D143">
        <f>'Participant reporting'!D370</f>
        <v>0</v>
      </c>
      <c r="E143" s="15">
        <f>'Participant reporting'!E370</f>
        <v>0</v>
      </c>
      <c r="F143">
        <f>'Participant reporting'!F370</f>
        <v>0</v>
      </c>
      <c r="G143">
        <f>'Participant reporting'!G370</f>
        <v>0</v>
      </c>
      <c r="H143">
        <f>'Participant reporting'!H370</f>
        <v>0</v>
      </c>
      <c r="I143">
        <f>'Participant reporting'!I370</f>
        <v>0</v>
      </c>
      <c r="J143">
        <f>'Participant reporting'!J370</f>
        <v>0</v>
      </c>
      <c r="K143">
        <f>'Participant reporting'!K370</f>
        <v>0</v>
      </c>
      <c r="L143">
        <f>'Participant reporting'!L370</f>
        <v>0</v>
      </c>
      <c r="M143">
        <f>'Participant reporting'!M370</f>
        <v>0</v>
      </c>
      <c r="N143">
        <f>'Participant reporting'!N370</f>
        <v>0</v>
      </c>
      <c r="O143">
        <f>'Participant reporting'!O370</f>
        <v>0</v>
      </c>
    </row>
    <row r="144" spans="1:15" x14ac:dyDescent="0.25">
      <c r="A144">
        <f>'Participant reporting'!A371</f>
        <v>0</v>
      </c>
      <c r="B144">
        <f>'Participant reporting'!B371</f>
        <v>0</v>
      </c>
      <c r="C144">
        <f>'Participant reporting'!C371</f>
        <v>0</v>
      </c>
      <c r="D144">
        <f>'Participant reporting'!D371</f>
        <v>0</v>
      </c>
      <c r="E144" s="15">
        <f>'Participant reporting'!E371</f>
        <v>0</v>
      </c>
      <c r="F144">
        <f>'Participant reporting'!F371</f>
        <v>0</v>
      </c>
      <c r="G144">
        <f>'Participant reporting'!G371</f>
        <v>0</v>
      </c>
      <c r="H144">
        <f>'Participant reporting'!H371</f>
        <v>0</v>
      </c>
      <c r="I144">
        <f>'Participant reporting'!I371</f>
        <v>0</v>
      </c>
      <c r="J144">
        <f>'Participant reporting'!J371</f>
        <v>0</v>
      </c>
      <c r="K144">
        <f>'Participant reporting'!K371</f>
        <v>0</v>
      </c>
      <c r="L144">
        <f>'Participant reporting'!L371</f>
        <v>0</v>
      </c>
      <c r="M144">
        <f>'Participant reporting'!M371</f>
        <v>0</v>
      </c>
      <c r="N144">
        <f>'Participant reporting'!N371</f>
        <v>0</v>
      </c>
      <c r="O144">
        <f>'Participant reporting'!O371</f>
        <v>0</v>
      </c>
    </row>
    <row r="145" spans="1:15" x14ac:dyDescent="0.25">
      <c r="A145">
        <f>'Participant reporting'!A372</f>
        <v>0</v>
      </c>
      <c r="B145">
        <f>'Participant reporting'!B372</f>
        <v>0</v>
      </c>
      <c r="C145">
        <f>'Participant reporting'!C372</f>
        <v>0</v>
      </c>
      <c r="D145">
        <f>'Participant reporting'!D372</f>
        <v>0</v>
      </c>
      <c r="E145" s="15">
        <f>'Participant reporting'!E372</f>
        <v>0</v>
      </c>
      <c r="F145">
        <f>'Participant reporting'!F372</f>
        <v>0</v>
      </c>
      <c r="G145">
        <f>'Participant reporting'!G372</f>
        <v>0</v>
      </c>
      <c r="H145">
        <f>'Participant reporting'!H372</f>
        <v>0</v>
      </c>
      <c r="I145">
        <f>'Participant reporting'!I372</f>
        <v>0</v>
      </c>
      <c r="J145">
        <f>'Participant reporting'!J372</f>
        <v>0</v>
      </c>
      <c r="K145">
        <f>'Participant reporting'!K372</f>
        <v>0</v>
      </c>
      <c r="L145">
        <f>'Participant reporting'!L372</f>
        <v>0</v>
      </c>
      <c r="M145">
        <f>'Participant reporting'!M372</f>
        <v>0</v>
      </c>
      <c r="N145">
        <f>'Participant reporting'!N372</f>
        <v>0</v>
      </c>
      <c r="O145">
        <f>'Participant reporting'!O372</f>
        <v>0</v>
      </c>
    </row>
    <row r="146" spans="1:15" x14ac:dyDescent="0.25">
      <c r="A146">
        <f>'Participant reporting'!A373</f>
        <v>0</v>
      </c>
      <c r="B146">
        <f>'Participant reporting'!B373</f>
        <v>0</v>
      </c>
      <c r="C146">
        <f>'Participant reporting'!C373</f>
        <v>0</v>
      </c>
      <c r="D146">
        <f>'Participant reporting'!D373</f>
        <v>0</v>
      </c>
      <c r="E146" s="15">
        <f>'Participant reporting'!E373</f>
        <v>0</v>
      </c>
      <c r="F146">
        <f>'Participant reporting'!F373</f>
        <v>0</v>
      </c>
      <c r="G146">
        <f>'Participant reporting'!G373</f>
        <v>0</v>
      </c>
      <c r="H146">
        <f>'Participant reporting'!H373</f>
        <v>0</v>
      </c>
      <c r="I146">
        <f>'Participant reporting'!I373</f>
        <v>0</v>
      </c>
      <c r="J146">
        <f>'Participant reporting'!J373</f>
        <v>0</v>
      </c>
      <c r="K146">
        <f>'Participant reporting'!K373</f>
        <v>0</v>
      </c>
      <c r="L146">
        <f>'Participant reporting'!L373</f>
        <v>0</v>
      </c>
      <c r="M146">
        <f>'Participant reporting'!M373</f>
        <v>0</v>
      </c>
      <c r="N146">
        <f>'Participant reporting'!N373</f>
        <v>0</v>
      </c>
      <c r="O146">
        <f>'Participant reporting'!O373</f>
        <v>0</v>
      </c>
    </row>
    <row r="147" spans="1:15" x14ac:dyDescent="0.25">
      <c r="A147">
        <f>'Participant reporting'!A374</f>
        <v>0</v>
      </c>
      <c r="B147">
        <f>'Participant reporting'!B374</f>
        <v>0</v>
      </c>
      <c r="C147">
        <f>'Participant reporting'!C374</f>
        <v>0</v>
      </c>
      <c r="D147">
        <f>'Participant reporting'!D374</f>
        <v>0</v>
      </c>
      <c r="E147" s="15">
        <f>'Participant reporting'!E374</f>
        <v>0</v>
      </c>
      <c r="F147">
        <f>'Participant reporting'!F374</f>
        <v>0</v>
      </c>
      <c r="G147">
        <f>'Participant reporting'!G374</f>
        <v>0</v>
      </c>
      <c r="H147">
        <f>'Participant reporting'!H374</f>
        <v>0</v>
      </c>
      <c r="I147">
        <f>'Participant reporting'!I374</f>
        <v>0</v>
      </c>
      <c r="J147">
        <f>'Participant reporting'!J374</f>
        <v>0</v>
      </c>
      <c r="K147">
        <f>'Participant reporting'!K374</f>
        <v>0</v>
      </c>
      <c r="L147">
        <f>'Participant reporting'!L374</f>
        <v>0</v>
      </c>
      <c r="M147">
        <f>'Participant reporting'!M374</f>
        <v>0</v>
      </c>
      <c r="N147">
        <f>'Participant reporting'!N374</f>
        <v>0</v>
      </c>
      <c r="O147">
        <f>'Participant reporting'!O374</f>
        <v>0</v>
      </c>
    </row>
    <row r="148" spans="1:15" x14ac:dyDescent="0.25">
      <c r="A148">
        <f>'Participant reporting'!A375</f>
        <v>0</v>
      </c>
      <c r="B148">
        <f>'Participant reporting'!B375</f>
        <v>0</v>
      </c>
      <c r="C148">
        <f>'Participant reporting'!C375</f>
        <v>0</v>
      </c>
      <c r="D148">
        <f>'Participant reporting'!D375</f>
        <v>0</v>
      </c>
      <c r="E148" s="15">
        <f>'Participant reporting'!E375</f>
        <v>0</v>
      </c>
      <c r="F148">
        <f>'Participant reporting'!F375</f>
        <v>0</v>
      </c>
      <c r="G148">
        <f>'Participant reporting'!G375</f>
        <v>0</v>
      </c>
      <c r="H148">
        <f>'Participant reporting'!H375</f>
        <v>0</v>
      </c>
      <c r="I148">
        <f>'Participant reporting'!I375</f>
        <v>0</v>
      </c>
      <c r="J148">
        <f>'Participant reporting'!J375</f>
        <v>0</v>
      </c>
      <c r="K148">
        <f>'Participant reporting'!K375</f>
        <v>0</v>
      </c>
      <c r="L148">
        <f>'Participant reporting'!L375</f>
        <v>0</v>
      </c>
      <c r="M148">
        <f>'Participant reporting'!M375</f>
        <v>0</v>
      </c>
      <c r="N148">
        <f>'Participant reporting'!N375</f>
        <v>0</v>
      </c>
      <c r="O148">
        <f>'Participant reporting'!O375</f>
        <v>0</v>
      </c>
    </row>
    <row r="149" spans="1:15" x14ac:dyDescent="0.25">
      <c r="A149">
        <f>'Participant reporting'!A376</f>
        <v>0</v>
      </c>
      <c r="B149">
        <f>'Participant reporting'!B376</f>
        <v>0</v>
      </c>
      <c r="C149">
        <f>'Participant reporting'!C376</f>
        <v>0</v>
      </c>
      <c r="D149">
        <f>'Participant reporting'!D376</f>
        <v>0</v>
      </c>
      <c r="E149" s="15">
        <f>'Participant reporting'!E376</f>
        <v>0</v>
      </c>
      <c r="F149">
        <f>'Participant reporting'!F376</f>
        <v>0</v>
      </c>
      <c r="G149">
        <f>'Participant reporting'!G376</f>
        <v>0</v>
      </c>
      <c r="H149">
        <f>'Participant reporting'!H376</f>
        <v>0</v>
      </c>
      <c r="I149">
        <f>'Participant reporting'!I376</f>
        <v>0</v>
      </c>
      <c r="J149">
        <f>'Participant reporting'!J376</f>
        <v>0</v>
      </c>
      <c r="K149">
        <f>'Participant reporting'!K376</f>
        <v>0</v>
      </c>
      <c r="L149">
        <f>'Participant reporting'!L376</f>
        <v>0</v>
      </c>
      <c r="M149">
        <f>'Participant reporting'!M376</f>
        <v>0</v>
      </c>
      <c r="N149">
        <f>'Participant reporting'!N376</f>
        <v>0</v>
      </c>
      <c r="O149">
        <f>'Participant reporting'!O376</f>
        <v>0</v>
      </c>
    </row>
    <row r="150" spans="1:15" x14ac:dyDescent="0.25">
      <c r="A150">
        <f>'Participant reporting'!A377</f>
        <v>0</v>
      </c>
      <c r="B150">
        <f>'Participant reporting'!B377</f>
        <v>0</v>
      </c>
      <c r="C150">
        <f>'Participant reporting'!C377</f>
        <v>0</v>
      </c>
      <c r="D150">
        <f>'Participant reporting'!D377</f>
        <v>0</v>
      </c>
      <c r="E150" s="15">
        <f>'Participant reporting'!E377</f>
        <v>0</v>
      </c>
      <c r="F150">
        <f>'Participant reporting'!F377</f>
        <v>0</v>
      </c>
      <c r="G150">
        <f>'Participant reporting'!G377</f>
        <v>0</v>
      </c>
      <c r="H150">
        <f>'Participant reporting'!H377</f>
        <v>0</v>
      </c>
      <c r="I150">
        <f>'Participant reporting'!I377</f>
        <v>0</v>
      </c>
      <c r="J150">
        <f>'Participant reporting'!J377</f>
        <v>0</v>
      </c>
      <c r="K150">
        <f>'Participant reporting'!K377</f>
        <v>0</v>
      </c>
      <c r="L150">
        <f>'Participant reporting'!L377</f>
        <v>0</v>
      </c>
      <c r="M150">
        <f>'Participant reporting'!M377</f>
        <v>0</v>
      </c>
      <c r="N150">
        <f>'Participant reporting'!N377</f>
        <v>0</v>
      </c>
      <c r="O150">
        <f>'Participant reporting'!O377</f>
        <v>0</v>
      </c>
    </row>
    <row r="151" spans="1:15" x14ac:dyDescent="0.25">
      <c r="A151">
        <f>'Participant reporting'!A378</f>
        <v>0</v>
      </c>
      <c r="B151">
        <f>'Participant reporting'!B378</f>
        <v>0</v>
      </c>
      <c r="C151">
        <f>'Participant reporting'!C378</f>
        <v>0</v>
      </c>
      <c r="D151">
        <f>'Participant reporting'!D378</f>
        <v>0</v>
      </c>
      <c r="E151" s="15">
        <f>'Participant reporting'!E378</f>
        <v>0</v>
      </c>
      <c r="F151">
        <f>'Participant reporting'!F378</f>
        <v>0</v>
      </c>
      <c r="G151">
        <f>'Participant reporting'!G378</f>
        <v>0</v>
      </c>
      <c r="H151">
        <f>'Participant reporting'!H378</f>
        <v>0</v>
      </c>
      <c r="I151">
        <f>'Participant reporting'!I378</f>
        <v>0</v>
      </c>
      <c r="J151">
        <f>'Participant reporting'!J378</f>
        <v>0</v>
      </c>
      <c r="K151">
        <f>'Participant reporting'!K378</f>
        <v>0</v>
      </c>
      <c r="L151">
        <f>'Participant reporting'!L378</f>
        <v>0</v>
      </c>
      <c r="M151">
        <f>'Participant reporting'!M378</f>
        <v>0</v>
      </c>
      <c r="N151">
        <f>'Participant reporting'!N378</f>
        <v>0</v>
      </c>
      <c r="O151">
        <f>'Participant reporting'!O378</f>
        <v>0</v>
      </c>
    </row>
    <row r="152" spans="1:15" x14ac:dyDescent="0.25">
      <c r="A152">
        <f>'Participant reporting'!A379</f>
        <v>0</v>
      </c>
      <c r="B152">
        <f>'Participant reporting'!B379</f>
        <v>0</v>
      </c>
      <c r="C152">
        <f>'Participant reporting'!C379</f>
        <v>0</v>
      </c>
      <c r="D152">
        <f>'Participant reporting'!D379</f>
        <v>0</v>
      </c>
      <c r="E152" s="15">
        <f>'Participant reporting'!E379</f>
        <v>0</v>
      </c>
      <c r="F152">
        <f>'Participant reporting'!F379</f>
        <v>0</v>
      </c>
      <c r="G152">
        <f>'Participant reporting'!G379</f>
        <v>0</v>
      </c>
      <c r="H152">
        <f>'Participant reporting'!H379</f>
        <v>0</v>
      </c>
      <c r="I152">
        <f>'Participant reporting'!I379</f>
        <v>0</v>
      </c>
      <c r="J152">
        <f>'Participant reporting'!J379</f>
        <v>0</v>
      </c>
      <c r="K152">
        <f>'Participant reporting'!K379</f>
        <v>0</v>
      </c>
      <c r="L152">
        <f>'Participant reporting'!L379</f>
        <v>0</v>
      </c>
      <c r="M152">
        <f>'Participant reporting'!M379</f>
        <v>0</v>
      </c>
      <c r="N152">
        <f>'Participant reporting'!N379</f>
        <v>0</v>
      </c>
      <c r="O152">
        <f>'Participant reporting'!O379</f>
        <v>0</v>
      </c>
    </row>
    <row r="153" spans="1:15" x14ac:dyDescent="0.25">
      <c r="A153">
        <f>'Participant reporting'!A380</f>
        <v>0</v>
      </c>
      <c r="B153">
        <f>'Participant reporting'!B380</f>
        <v>0</v>
      </c>
      <c r="C153">
        <f>'Participant reporting'!C380</f>
        <v>0</v>
      </c>
      <c r="D153">
        <f>'Participant reporting'!D380</f>
        <v>0</v>
      </c>
      <c r="E153" s="15">
        <f>'Participant reporting'!E380</f>
        <v>0</v>
      </c>
      <c r="F153">
        <f>'Participant reporting'!F380</f>
        <v>0</v>
      </c>
      <c r="G153">
        <f>'Participant reporting'!G380</f>
        <v>0</v>
      </c>
      <c r="H153">
        <f>'Participant reporting'!H380</f>
        <v>0</v>
      </c>
      <c r="I153">
        <f>'Participant reporting'!I380</f>
        <v>0</v>
      </c>
      <c r="J153">
        <f>'Participant reporting'!J380</f>
        <v>0</v>
      </c>
      <c r="K153">
        <f>'Participant reporting'!K380</f>
        <v>0</v>
      </c>
      <c r="L153">
        <f>'Participant reporting'!L380</f>
        <v>0</v>
      </c>
      <c r="M153">
        <f>'Participant reporting'!M380</f>
        <v>0</v>
      </c>
      <c r="N153">
        <f>'Participant reporting'!N380</f>
        <v>0</v>
      </c>
      <c r="O153">
        <f>'Participant reporting'!O380</f>
        <v>0</v>
      </c>
    </row>
    <row r="154" spans="1:15" x14ac:dyDescent="0.25">
      <c r="A154">
        <f>'Participant reporting'!A381</f>
        <v>0</v>
      </c>
      <c r="B154">
        <f>'Participant reporting'!B381</f>
        <v>0</v>
      </c>
      <c r="C154">
        <f>'Participant reporting'!C381</f>
        <v>0</v>
      </c>
      <c r="D154">
        <f>'Participant reporting'!D381</f>
        <v>0</v>
      </c>
      <c r="E154" s="15">
        <f>'Participant reporting'!E381</f>
        <v>0</v>
      </c>
      <c r="F154">
        <f>'Participant reporting'!F381</f>
        <v>0</v>
      </c>
      <c r="G154">
        <f>'Participant reporting'!G381</f>
        <v>0</v>
      </c>
      <c r="H154">
        <f>'Participant reporting'!H381</f>
        <v>0</v>
      </c>
      <c r="I154">
        <f>'Participant reporting'!I381</f>
        <v>0</v>
      </c>
      <c r="J154">
        <f>'Participant reporting'!J381</f>
        <v>0</v>
      </c>
      <c r="K154">
        <f>'Participant reporting'!K381</f>
        <v>0</v>
      </c>
      <c r="L154">
        <f>'Participant reporting'!L381</f>
        <v>0</v>
      </c>
      <c r="M154">
        <f>'Participant reporting'!M381</f>
        <v>0</v>
      </c>
      <c r="N154">
        <f>'Participant reporting'!N381</f>
        <v>0</v>
      </c>
      <c r="O154">
        <f>'Participant reporting'!O381</f>
        <v>0</v>
      </c>
    </row>
    <row r="155" spans="1:15" x14ac:dyDescent="0.25">
      <c r="A155">
        <f>'Participant reporting'!A382</f>
        <v>0</v>
      </c>
      <c r="B155">
        <f>'Participant reporting'!B382</f>
        <v>0</v>
      </c>
      <c r="C155">
        <f>'Participant reporting'!C382</f>
        <v>0</v>
      </c>
      <c r="D155">
        <f>'Participant reporting'!D382</f>
        <v>0</v>
      </c>
      <c r="E155" s="15">
        <f>'Participant reporting'!E382</f>
        <v>0</v>
      </c>
      <c r="F155">
        <f>'Participant reporting'!F382</f>
        <v>0</v>
      </c>
      <c r="G155">
        <f>'Participant reporting'!G382</f>
        <v>0</v>
      </c>
      <c r="H155">
        <f>'Participant reporting'!H382</f>
        <v>0</v>
      </c>
      <c r="I155">
        <f>'Participant reporting'!I382</f>
        <v>0</v>
      </c>
      <c r="J155">
        <f>'Participant reporting'!J382</f>
        <v>0</v>
      </c>
      <c r="K155">
        <f>'Participant reporting'!K382</f>
        <v>0</v>
      </c>
      <c r="L155">
        <f>'Participant reporting'!L382</f>
        <v>0</v>
      </c>
      <c r="M155">
        <f>'Participant reporting'!M382</f>
        <v>0</v>
      </c>
      <c r="N155">
        <f>'Participant reporting'!N382</f>
        <v>0</v>
      </c>
      <c r="O155">
        <f>'Participant reporting'!O382</f>
        <v>0</v>
      </c>
    </row>
    <row r="156" spans="1:15" x14ac:dyDescent="0.25">
      <c r="A156">
        <f>'Participant reporting'!A383</f>
        <v>0</v>
      </c>
      <c r="B156">
        <f>'Participant reporting'!B383</f>
        <v>0</v>
      </c>
      <c r="C156">
        <f>'Participant reporting'!C383</f>
        <v>0</v>
      </c>
      <c r="D156">
        <f>'Participant reporting'!D383</f>
        <v>0</v>
      </c>
      <c r="E156" s="15">
        <f>'Participant reporting'!E383</f>
        <v>0</v>
      </c>
      <c r="F156">
        <f>'Participant reporting'!F383</f>
        <v>0</v>
      </c>
      <c r="G156">
        <f>'Participant reporting'!G383</f>
        <v>0</v>
      </c>
      <c r="H156">
        <f>'Participant reporting'!H383</f>
        <v>0</v>
      </c>
      <c r="I156">
        <f>'Participant reporting'!I383</f>
        <v>0</v>
      </c>
      <c r="J156">
        <f>'Participant reporting'!J383</f>
        <v>0</v>
      </c>
      <c r="K156">
        <f>'Participant reporting'!K383</f>
        <v>0</v>
      </c>
      <c r="L156">
        <f>'Participant reporting'!L383</f>
        <v>0</v>
      </c>
      <c r="M156">
        <f>'Participant reporting'!M383</f>
        <v>0</v>
      </c>
      <c r="N156">
        <f>'Participant reporting'!N383</f>
        <v>0</v>
      </c>
      <c r="O156">
        <f>'Participant reporting'!O383</f>
        <v>0</v>
      </c>
    </row>
    <row r="157" spans="1:15" x14ac:dyDescent="0.25">
      <c r="A157">
        <f>'Participant reporting'!A384</f>
        <v>0</v>
      </c>
      <c r="B157">
        <f>'Participant reporting'!B384</f>
        <v>0</v>
      </c>
      <c r="C157">
        <f>'Participant reporting'!C384</f>
        <v>0</v>
      </c>
      <c r="D157">
        <f>'Participant reporting'!D384</f>
        <v>0</v>
      </c>
      <c r="E157" s="15">
        <f>'Participant reporting'!E384</f>
        <v>0</v>
      </c>
      <c r="F157">
        <f>'Participant reporting'!F384</f>
        <v>0</v>
      </c>
      <c r="G157">
        <f>'Participant reporting'!G384</f>
        <v>0</v>
      </c>
      <c r="H157">
        <f>'Participant reporting'!H384</f>
        <v>0</v>
      </c>
      <c r="I157">
        <f>'Participant reporting'!I384</f>
        <v>0</v>
      </c>
      <c r="J157">
        <f>'Participant reporting'!J384</f>
        <v>0</v>
      </c>
      <c r="K157">
        <f>'Participant reporting'!K384</f>
        <v>0</v>
      </c>
      <c r="L157">
        <f>'Participant reporting'!L384</f>
        <v>0</v>
      </c>
      <c r="M157">
        <f>'Participant reporting'!M384</f>
        <v>0</v>
      </c>
      <c r="N157">
        <f>'Participant reporting'!N384</f>
        <v>0</v>
      </c>
      <c r="O157">
        <f>'Participant reporting'!O384</f>
        <v>0</v>
      </c>
    </row>
    <row r="158" spans="1:15" x14ac:dyDescent="0.25">
      <c r="A158">
        <f>'Participant reporting'!A385</f>
        <v>0</v>
      </c>
      <c r="B158">
        <f>'Participant reporting'!B385</f>
        <v>0</v>
      </c>
      <c r="C158">
        <f>'Participant reporting'!C385</f>
        <v>0</v>
      </c>
      <c r="D158">
        <f>'Participant reporting'!D385</f>
        <v>0</v>
      </c>
      <c r="E158" s="15">
        <f>'Participant reporting'!E385</f>
        <v>0</v>
      </c>
      <c r="F158">
        <f>'Participant reporting'!F385</f>
        <v>0</v>
      </c>
      <c r="G158">
        <f>'Participant reporting'!G385</f>
        <v>0</v>
      </c>
      <c r="H158">
        <f>'Participant reporting'!H385</f>
        <v>0</v>
      </c>
      <c r="I158">
        <f>'Participant reporting'!I385</f>
        <v>0</v>
      </c>
      <c r="J158">
        <f>'Participant reporting'!J385</f>
        <v>0</v>
      </c>
      <c r="K158">
        <f>'Participant reporting'!K385</f>
        <v>0</v>
      </c>
      <c r="L158">
        <f>'Participant reporting'!L385</f>
        <v>0</v>
      </c>
      <c r="M158">
        <f>'Participant reporting'!M385</f>
        <v>0</v>
      </c>
      <c r="N158">
        <f>'Participant reporting'!N385</f>
        <v>0</v>
      </c>
      <c r="O158">
        <f>'Participant reporting'!O385</f>
        <v>0</v>
      </c>
    </row>
    <row r="159" spans="1:15" x14ac:dyDescent="0.25">
      <c r="A159">
        <f>'Participant reporting'!A386</f>
        <v>0</v>
      </c>
      <c r="B159">
        <f>'Participant reporting'!B386</f>
        <v>0</v>
      </c>
      <c r="C159">
        <f>'Participant reporting'!C386</f>
        <v>0</v>
      </c>
      <c r="D159">
        <f>'Participant reporting'!D386</f>
        <v>0</v>
      </c>
      <c r="E159" s="15">
        <f>'Participant reporting'!E386</f>
        <v>0</v>
      </c>
      <c r="F159">
        <f>'Participant reporting'!F386</f>
        <v>0</v>
      </c>
      <c r="G159">
        <f>'Participant reporting'!G386</f>
        <v>0</v>
      </c>
      <c r="H159">
        <f>'Participant reporting'!H386</f>
        <v>0</v>
      </c>
      <c r="I159">
        <f>'Participant reporting'!I386</f>
        <v>0</v>
      </c>
      <c r="J159">
        <f>'Participant reporting'!J386</f>
        <v>0</v>
      </c>
      <c r="K159">
        <f>'Participant reporting'!K386</f>
        <v>0</v>
      </c>
      <c r="L159">
        <f>'Participant reporting'!L386</f>
        <v>0</v>
      </c>
      <c r="M159">
        <f>'Participant reporting'!M386</f>
        <v>0</v>
      </c>
      <c r="N159">
        <f>'Participant reporting'!N386</f>
        <v>0</v>
      </c>
      <c r="O159">
        <f>'Participant reporting'!O386</f>
        <v>0</v>
      </c>
    </row>
    <row r="160" spans="1:15" x14ac:dyDescent="0.25">
      <c r="A160">
        <f>'Participant reporting'!A387</f>
        <v>0</v>
      </c>
      <c r="B160">
        <f>'Participant reporting'!B387</f>
        <v>0</v>
      </c>
      <c r="C160">
        <f>'Participant reporting'!C387</f>
        <v>0</v>
      </c>
      <c r="D160">
        <f>'Participant reporting'!D387</f>
        <v>0</v>
      </c>
      <c r="E160" s="15">
        <f>'Participant reporting'!E387</f>
        <v>0</v>
      </c>
      <c r="F160">
        <f>'Participant reporting'!F387</f>
        <v>0</v>
      </c>
      <c r="G160">
        <f>'Participant reporting'!G387</f>
        <v>0</v>
      </c>
      <c r="H160">
        <f>'Participant reporting'!H387</f>
        <v>0</v>
      </c>
      <c r="I160">
        <f>'Participant reporting'!I387</f>
        <v>0</v>
      </c>
      <c r="J160">
        <f>'Participant reporting'!J387</f>
        <v>0</v>
      </c>
      <c r="K160">
        <f>'Participant reporting'!K387</f>
        <v>0</v>
      </c>
      <c r="L160">
        <f>'Participant reporting'!L387</f>
        <v>0</v>
      </c>
      <c r="M160">
        <f>'Participant reporting'!M387</f>
        <v>0</v>
      </c>
      <c r="N160">
        <f>'Participant reporting'!N387</f>
        <v>0</v>
      </c>
      <c r="O160">
        <f>'Participant reporting'!O387</f>
        <v>0</v>
      </c>
    </row>
    <row r="161" spans="1:15" x14ac:dyDescent="0.25">
      <c r="A161">
        <f>'Participant reporting'!A388</f>
        <v>0</v>
      </c>
      <c r="B161">
        <f>'Participant reporting'!B388</f>
        <v>0</v>
      </c>
      <c r="C161">
        <f>'Participant reporting'!C388</f>
        <v>0</v>
      </c>
      <c r="D161">
        <f>'Participant reporting'!D388</f>
        <v>0</v>
      </c>
      <c r="E161" s="15">
        <f>'Participant reporting'!E388</f>
        <v>0</v>
      </c>
      <c r="F161">
        <f>'Participant reporting'!F388</f>
        <v>0</v>
      </c>
      <c r="G161">
        <f>'Participant reporting'!G388</f>
        <v>0</v>
      </c>
      <c r="H161">
        <f>'Participant reporting'!H388</f>
        <v>0</v>
      </c>
      <c r="I161">
        <f>'Participant reporting'!I388</f>
        <v>0</v>
      </c>
      <c r="J161">
        <f>'Participant reporting'!J388</f>
        <v>0</v>
      </c>
      <c r="K161">
        <f>'Participant reporting'!K388</f>
        <v>0</v>
      </c>
      <c r="L161">
        <f>'Participant reporting'!L388</f>
        <v>0</v>
      </c>
      <c r="M161">
        <f>'Participant reporting'!M388</f>
        <v>0</v>
      </c>
      <c r="N161">
        <f>'Participant reporting'!N388</f>
        <v>0</v>
      </c>
      <c r="O161">
        <f>'Participant reporting'!O388</f>
        <v>0</v>
      </c>
    </row>
    <row r="162" spans="1:15" x14ac:dyDescent="0.25">
      <c r="A162">
        <f>'Participant reporting'!A389</f>
        <v>0</v>
      </c>
      <c r="B162">
        <f>'Participant reporting'!B389</f>
        <v>0</v>
      </c>
      <c r="C162">
        <f>'Participant reporting'!C389</f>
        <v>0</v>
      </c>
      <c r="D162">
        <f>'Participant reporting'!D389</f>
        <v>0</v>
      </c>
      <c r="E162" s="15">
        <f>'Participant reporting'!E389</f>
        <v>0</v>
      </c>
      <c r="F162">
        <f>'Participant reporting'!F389</f>
        <v>0</v>
      </c>
      <c r="G162">
        <f>'Participant reporting'!G389</f>
        <v>0</v>
      </c>
      <c r="H162">
        <f>'Participant reporting'!H389</f>
        <v>0</v>
      </c>
      <c r="I162">
        <f>'Participant reporting'!I389</f>
        <v>0</v>
      </c>
      <c r="J162">
        <f>'Participant reporting'!J389</f>
        <v>0</v>
      </c>
      <c r="K162">
        <f>'Participant reporting'!K389</f>
        <v>0</v>
      </c>
      <c r="L162">
        <f>'Participant reporting'!L389</f>
        <v>0</v>
      </c>
      <c r="M162">
        <f>'Participant reporting'!M389</f>
        <v>0</v>
      </c>
      <c r="N162">
        <f>'Participant reporting'!N389</f>
        <v>0</v>
      </c>
      <c r="O162">
        <f>'Participant reporting'!O389</f>
        <v>0</v>
      </c>
    </row>
    <row r="163" spans="1:15" x14ac:dyDescent="0.25">
      <c r="A163">
        <f>'Participant reporting'!A390</f>
        <v>0</v>
      </c>
      <c r="B163">
        <f>'Participant reporting'!B390</f>
        <v>0</v>
      </c>
      <c r="C163">
        <f>'Participant reporting'!C390</f>
        <v>0</v>
      </c>
      <c r="D163">
        <f>'Participant reporting'!D390</f>
        <v>0</v>
      </c>
      <c r="E163" s="15">
        <f>'Participant reporting'!E390</f>
        <v>0</v>
      </c>
      <c r="F163">
        <f>'Participant reporting'!F390</f>
        <v>0</v>
      </c>
      <c r="G163">
        <f>'Participant reporting'!G390</f>
        <v>0</v>
      </c>
      <c r="H163">
        <f>'Participant reporting'!H390</f>
        <v>0</v>
      </c>
      <c r="I163">
        <f>'Participant reporting'!I390</f>
        <v>0</v>
      </c>
      <c r="J163">
        <f>'Participant reporting'!J390</f>
        <v>0</v>
      </c>
      <c r="K163">
        <f>'Participant reporting'!K390</f>
        <v>0</v>
      </c>
      <c r="L163">
        <f>'Participant reporting'!L390</f>
        <v>0</v>
      </c>
      <c r="M163">
        <f>'Participant reporting'!M390</f>
        <v>0</v>
      </c>
      <c r="N163">
        <f>'Participant reporting'!N390</f>
        <v>0</v>
      </c>
      <c r="O163">
        <f>'Participant reporting'!O390</f>
        <v>0</v>
      </c>
    </row>
    <row r="164" spans="1:15" x14ac:dyDescent="0.25">
      <c r="A164">
        <f>'Participant reporting'!A391</f>
        <v>0</v>
      </c>
      <c r="B164">
        <f>'Participant reporting'!B391</f>
        <v>0</v>
      </c>
      <c r="C164">
        <f>'Participant reporting'!C391</f>
        <v>0</v>
      </c>
      <c r="D164">
        <f>'Participant reporting'!D391</f>
        <v>0</v>
      </c>
      <c r="E164" s="15">
        <f>'Participant reporting'!E391</f>
        <v>0</v>
      </c>
      <c r="F164">
        <f>'Participant reporting'!F391</f>
        <v>0</v>
      </c>
      <c r="G164">
        <f>'Participant reporting'!G391</f>
        <v>0</v>
      </c>
      <c r="H164">
        <f>'Participant reporting'!H391</f>
        <v>0</v>
      </c>
      <c r="I164">
        <f>'Participant reporting'!I391</f>
        <v>0</v>
      </c>
      <c r="J164">
        <f>'Participant reporting'!J391</f>
        <v>0</v>
      </c>
      <c r="K164">
        <f>'Participant reporting'!K391</f>
        <v>0</v>
      </c>
      <c r="L164">
        <f>'Participant reporting'!L391</f>
        <v>0</v>
      </c>
      <c r="M164">
        <f>'Participant reporting'!M391</f>
        <v>0</v>
      </c>
      <c r="N164">
        <f>'Participant reporting'!N391</f>
        <v>0</v>
      </c>
      <c r="O164">
        <f>'Participant reporting'!O391</f>
        <v>0</v>
      </c>
    </row>
    <row r="165" spans="1:15" x14ac:dyDescent="0.25">
      <c r="A165">
        <f>'Participant reporting'!A392</f>
        <v>0</v>
      </c>
      <c r="B165">
        <f>'Participant reporting'!B392</f>
        <v>0</v>
      </c>
      <c r="C165">
        <f>'Participant reporting'!C392</f>
        <v>0</v>
      </c>
      <c r="D165">
        <f>'Participant reporting'!D392</f>
        <v>0</v>
      </c>
      <c r="E165" s="15">
        <f>'Participant reporting'!E392</f>
        <v>0</v>
      </c>
      <c r="F165">
        <f>'Participant reporting'!F392</f>
        <v>0</v>
      </c>
      <c r="G165">
        <f>'Participant reporting'!G392</f>
        <v>0</v>
      </c>
      <c r="H165">
        <f>'Participant reporting'!H392</f>
        <v>0</v>
      </c>
      <c r="I165">
        <f>'Participant reporting'!I392</f>
        <v>0</v>
      </c>
      <c r="J165">
        <f>'Participant reporting'!J392</f>
        <v>0</v>
      </c>
      <c r="K165">
        <f>'Participant reporting'!K392</f>
        <v>0</v>
      </c>
      <c r="L165">
        <f>'Participant reporting'!L392</f>
        <v>0</v>
      </c>
      <c r="M165">
        <f>'Participant reporting'!M392</f>
        <v>0</v>
      </c>
      <c r="N165">
        <f>'Participant reporting'!N392</f>
        <v>0</v>
      </c>
      <c r="O165">
        <f>'Participant reporting'!O392</f>
        <v>0</v>
      </c>
    </row>
    <row r="166" spans="1:15" x14ac:dyDescent="0.25">
      <c r="A166">
        <f>'Participant reporting'!A393</f>
        <v>0</v>
      </c>
      <c r="B166">
        <f>'Participant reporting'!B393</f>
        <v>0</v>
      </c>
      <c r="C166">
        <f>'Participant reporting'!C393</f>
        <v>0</v>
      </c>
      <c r="D166">
        <f>'Participant reporting'!D393</f>
        <v>0</v>
      </c>
      <c r="E166" s="15">
        <f>'Participant reporting'!E393</f>
        <v>0</v>
      </c>
      <c r="F166">
        <f>'Participant reporting'!F393</f>
        <v>0</v>
      </c>
      <c r="G166">
        <f>'Participant reporting'!G393</f>
        <v>0</v>
      </c>
      <c r="H166">
        <f>'Participant reporting'!H393</f>
        <v>0</v>
      </c>
      <c r="I166">
        <f>'Participant reporting'!I393</f>
        <v>0</v>
      </c>
      <c r="J166">
        <f>'Participant reporting'!J393</f>
        <v>0</v>
      </c>
      <c r="K166">
        <f>'Participant reporting'!K393</f>
        <v>0</v>
      </c>
      <c r="L166">
        <f>'Participant reporting'!L393</f>
        <v>0</v>
      </c>
      <c r="M166">
        <f>'Participant reporting'!M393</f>
        <v>0</v>
      </c>
      <c r="N166">
        <f>'Participant reporting'!N393</f>
        <v>0</v>
      </c>
      <c r="O166">
        <f>'Participant reporting'!O393</f>
        <v>0</v>
      </c>
    </row>
    <row r="167" spans="1:15" x14ac:dyDescent="0.25">
      <c r="A167">
        <f>'Participant reporting'!A394</f>
        <v>0</v>
      </c>
      <c r="B167">
        <f>'Participant reporting'!B394</f>
        <v>0</v>
      </c>
      <c r="C167">
        <f>'Participant reporting'!C394</f>
        <v>0</v>
      </c>
      <c r="D167">
        <f>'Participant reporting'!D394</f>
        <v>0</v>
      </c>
      <c r="E167" s="15">
        <f>'Participant reporting'!E394</f>
        <v>0</v>
      </c>
      <c r="F167">
        <f>'Participant reporting'!F394</f>
        <v>0</v>
      </c>
      <c r="G167">
        <f>'Participant reporting'!G394</f>
        <v>0</v>
      </c>
      <c r="H167">
        <f>'Participant reporting'!H394</f>
        <v>0</v>
      </c>
      <c r="I167">
        <f>'Participant reporting'!I394</f>
        <v>0</v>
      </c>
      <c r="J167">
        <f>'Participant reporting'!J394</f>
        <v>0</v>
      </c>
      <c r="K167">
        <f>'Participant reporting'!K394</f>
        <v>0</v>
      </c>
      <c r="L167">
        <f>'Participant reporting'!L394</f>
        <v>0</v>
      </c>
      <c r="M167">
        <f>'Participant reporting'!M394</f>
        <v>0</v>
      </c>
      <c r="N167">
        <f>'Participant reporting'!N394</f>
        <v>0</v>
      </c>
      <c r="O167">
        <f>'Participant reporting'!O394</f>
        <v>0</v>
      </c>
    </row>
    <row r="168" spans="1:15" x14ac:dyDescent="0.25">
      <c r="A168">
        <f>'Participant reporting'!A395</f>
        <v>0</v>
      </c>
      <c r="B168">
        <f>'Participant reporting'!B395</f>
        <v>0</v>
      </c>
      <c r="C168">
        <f>'Participant reporting'!C395</f>
        <v>0</v>
      </c>
      <c r="D168">
        <f>'Participant reporting'!D395</f>
        <v>0</v>
      </c>
      <c r="E168" s="15">
        <f>'Participant reporting'!E395</f>
        <v>0</v>
      </c>
      <c r="F168">
        <f>'Participant reporting'!F395</f>
        <v>0</v>
      </c>
      <c r="G168">
        <f>'Participant reporting'!G395</f>
        <v>0</v>
      </c>
      <c r="H168">
        <f>'Participant reporting'!H395</f>
        <v>0</v>
      </c>
      <c r="I168">
        <f>'Participant reporting'!I395</f>
        <v>0</v>
      </c>
      <c r="J168">
        <f>'Participant reporting'!J395</f>
        <v>0</v>
      </c>
      <c r="K168">
        <f>'Participant reporting'!K395</f>
        <v>0</v>
      </c>
      <c r="L168">
        <f>'Participant reporting'!L395</f>
        <v>0</v>
      </c>
      <c r="M168">
        <f>'Participant reporting'!M395</f>
        <v>0</v>
      </c>
      <c r="N168">
        <f>'Participant reporting'!N395</f>
        <v>0</v>
      </c>
      <c r="O168">
        <f>'Participant reporting'!O395</f>
        <v>0</v>
      </c>
    </row>
    <row r="169" spans="1:15" x14ac:dyDescent="0.25">
      <c r="A169">
        <f>'Participant reporting'!A396</f>
        <v>0</v>
      </c>
      <c r="B169">
        <f>'Participant reporting'!B396</f>
        <v>0</v>
      </c>
      <c r="C169">
        <f>'Participant reporting'!C396</f>
        <v>0</v>
      </c>
      <c r="D169">
        <f>'Participant reporting'!D396</f>
        <v>0</v>
      </c>
      <c r="E169" s="15">
        <f>'Participant reporting'!E396</f>
        <v>0</v>
      </c>
      <c r="F169">
        <f>'Participant reporting'!F396</f>
        <v>0</v>
      </c>
      <c r="G169">
        <f>'Participant reporting'!G396</f>
        <v>0</v>
      </c>
      <c r="H169">
        <f>'Participant reporting'!H396</f>
        <v>0</v>
      </c>
      <c r="I169">
        <f>'Participant reporting'!I396</f>
        <v>0</v>
      </c>
      <c r="J169">
        <f>'Participant reporting'!J396</f>
        <v>0</v>
      </c>
      <c r="K169">
        <f>'Participant reporting'!K396</f>
        <v>0</v>
      </c>
      <c r="L169">
        <f>'Participant reporting'!L396</f>
        <v>0</v>
      </c>
      <c r="M169">
        <f>'Participant reporting'!M396</f>
        <v>0</v>
      </c>
      <c r="N169">
        <f>'Participant reporting'!N396</f>
        <v>0</v>
      </c>
      <c r="O169">
        <f>'Participant reporting'!O396</f>
        <v>0</v>
      </c>
    </row>
    <row r="170" spans="1:15" x14ac:dyDescent="0.25">
      <c r="A170">
        <f>'Participant reporting'!A397</f>
        <v>0</v>
      </c>
      <c r="B170">
        <f>'Participant reporting'!B397</f>
        <v>0</v>
      </c>
      <c r="C170">
        <f>'Participant reporting'!C397</f>
        <v>0</v>
      </c>
      <c r="D170">
        <f>'Participant reporting'!D397</f>
        <v>0</v>
      </c>
      <c r="E170" s="15">
        <f>'Participant reporting'!E397</f>
        <v>0</v>
      </c>
      <c r="F170">
        <f>'Participant reporting'!F397</f>
        <v>0</v>
      </c>
      <c r="G170">
        <f>'Participant reporting'!G397</f>
        <v>0</v>
      </c>
      <c r="H170">
        <f>'Participant reporting'!H397</f>
        <v>0</v>
      </c>
      <c r="I170">
        <f>'Participant reporting'!I397</f>
        <v>0</v>
      </c>
      <c r="J170">
        <f>'Participant reporting'!J397</f>
        <v>0</v>
      </c>
      <c r="K170">
        <f>'Participant reporting'!K397</f>
        <v>0</v>
      </c>
      <c r="L170">
        <f>'Participant reporting'!L397</f>
        <v>0</v>
      </c>
      <c r="M170">
        <f>'Participant reporting'!M397</f>
        <v>0</v>
      </c>
      <c r="N170">
        <f>'Participant reporting'!N397</f>
        <v>0</v>
      </c>
      <c r="O170">
        <f>'Participant reporting'!O397</f>
        <v>0</v>
      </c>
    </row>
    <row r="171" spans="1:15" x14ac:dyDescent="0.25">
      <c r="A171">
        <f>'Participant reporting'!A398</f>
        <v>0</v>
      </c>
      <c r="B171">
        <f>'Participant reporting'!B398</f>
        <v>0</v>
      </c>
      <c r="C171">
        <f>'Participant reporting'!C398</f>
        <v>0</v>
      </c>
      <c r="D171">
        <f>'Participant reporting'!D398</f>
        <v>0</v>
      </c>
      <c r="E171" s="15">
        <f>'Participant reporting'!E398</f>
        <v>0</v>
      </c>
      <c r="F171">
        <f>'Participant reporting'!F398</f>
        <v>0</v>
      </c>
      <c r="G171">
        <f>'Participant reporting'!G398</f>
        <v>0</v>
      </c>
      <c r="H171">
        <f>'Participant reporting'!H398</f>
        <v>0</v>
      </c>
      <c r="I171">
        <f>'Participant reporting'!I398</f>
        <v>0</v>
      </c>
      <c r="J171">
        <f>'Participant reporting'!J398</f>
        <v>0</v>
      </c>
      <c r="K171">
        <f>'Participant reporting'!K398</f>
        <v>0</v>
      </c>
      <c r="L171">
        <f>'Participant reporting'!L398</f>
        <v>0</v>
      </c>
      <c r="M171">
        <f>'Participant reporting'!M398</f>
        <v>0</v>
      </c>
      <c r="N171">
        <f>'Participant reporting'!N398</f>
        <v>0</v>
      </c>
      <c r="O171">
        <f>'Participant reporting'!O398</f>
        <v>0</v>
      </c>
    </row>
    <row r="172" spans="1:15" x14ac:dyDescent="0.25">
      <c r="A172">
        <f>'Participant reporting'!A399</f>
        <v>0</v>
      </c>
      <c r="B172">
        <f>'Participant reporting'!B399</f>
        <v>0</v>
      </c>
      <c r="C172">
        <f>'Participant reporting'!C399</f>
        <v>0</v>
      </c>
      <c r="D172">
        <f>'Participant reporting'!D399</f>
        <v>0</v>
      </c>
      <c r="E172" s="15">
        <f>'Participant reporting'!E399</f>
        <v>0</v>
      </c>
      <c r="F172">
        <f>'Participant reporting'!F399</f>
        <v>0</v>
      </c>
      <c r="G172">
        <f>'Participant reporting'!G399</f>
        <v>0</v>
      </c>
      <c r="H172">
        <f>'Participant reporting'!H399</f>
        <v>0</v>
      </c>
      <c r="I172">
        <f>'Participant reporting'!I399</f>
        <v>0</v>
      </c>
      <c r="J172">
        <f>'Participant reporting'!J399</f>
        <v>0</v>
      </c>
      <c r="K172">
        <f>'Participant reporting'!K399</f>
        <v>0</v>
      </c>
      <c r="L172">
        <f>'Participant reporting'!L399</f>
        <v>0</v>
      </c>
      <c r="M172">
        <f>'Participant reporting'!M399</f>
        <v>0</v>
      </c>
      <c r="N172">
        <f>'Participant reporting'!N399</f>
        <v>0</v>
      </c>
      <c r="O172">
        <f>'Participant reporting'!O399</f>
        <v>0</v>
      </c>
    </row>
    <row r="173" spans="1:15" x14ac:dyDescent="0.25">
      <c r="A173">
        <f>'Participant reporting'!A400</f>
        <v>0</v>
      </c>
      <c r="B173">
        <f>'Participant reporting'!B400</f>
        <v>0</v>
      </c>
      <c r="C173">
        <f>'Participant reporting'!C400</f>
        <v>0</v>
      </c>
      <c r="D173">
        <f>'Participant reporting'!D400</f>
        <v>0</v>
      </c>
      <c r="E173" s="15">
        <f>'Participant reporting'!E400</f>
        <v>0</v>
      </c>
      <c r="F173">
        <f>'Participant reporting'!F400</f>
        <v>0</v>
      </c>
      <c r="G173">
        <f>'Participant reporting'!G400</f>
        <v>0</v>
      </c>
      <c r="H173">
        <f>'Participant reporting'!H400</f>
        <v>0</v>
      </c>
      <c r="I173">
        <f>'Participant reporting'!I400</f>
        <v>0</v>
      </c>
      <c r="J173">
        <f>'Participant reporting'!J400</f>
        <v>0</v>
      </c>
      <c r="K173">
        <f>'Participant reporting'!K400</f>
        <v>0</v>
      </c>
      <c r="L173">
        <f>'Participant reporting'!L400</f>
        <v>0</v>
      </c>
      <c r="M173">
        <f>'Participant reporting'!M400</f>
        <v>0</v>
      </c>
      <c r="N173">
        <f>'Participant reporting'!N400</f>
        <v>0</v>
      </c>
      <c r="O173">
        <f>'Participant reporting'!O400</f>
        <v>0</v>
      </c>
    </row>
    <row r="174" spans="1:15" x14ac:dyDescent="0.25">
      <c r="A174">
        <f>'Participant reporting'!A401</f>
        <v>0</v>
      </c>
      <c r="B174">
        <f>'Participant reporting'!B401</f>
        <v>0</v>
      </c>
      <c r="C174">
        <f>'Participant reporting'!C401</f>
        <v>0</v>
      </c>
      <c r="D174">
        <f>'Participant reporting'!D401</f>
        <v>0</v>
      </c>
      <c r="E174" s="15">
        <f>'Participant reporting'!E401</f>
        <v>0</v>
      </c>
      <c r="F174">
        <f>'Participant reporting'!F401</f>
        <v>0</v>
      </c>
      <c r="G174">
        <f>'Participant reporting'!G401</f>
        <v>0</v>
      </c>
      <c r="H174">
        <f>'Participant reporting'!H401</f>
        <v>0</v>
      </c>
      <c r="I174">
        <f>'Participant reporting'!I401</f>
        <v>0</v>
      </c>
      <c r="J174">
        <f>'Participant reporting'!J401</f>
        <v>0</v>
      </c>
      <c r="K174">
        <f>'Participant reporting'!K401</f>
        <v>0</v>
      </c>
      <c r="L174">
        <f>'Participant reporting'!L401</f>
        <v>0</v>
      </c>
      <c r="M174">
        <f>'Participant reporting'!M401</f>
        <v>0</v>
      </c>
      <c r="N174">
        <f>'Participant reporting'!N401</f>
        <v>0</v>
      </c>
      <c r="O174">
        <f>'Participant reporting'!O401</f>
        <v>0</v>
      </c>
    </row>
    <row r="175" spans="1:15" x14ac:dyDescent="0.25">
      <c r="A175">
        <f>'Participant reporting'!A402</f>
        <v>0</v>
      </c>
      <c r="B175">
        <f>'Participant reporting'!B402</f>
        <v>0</v>
      </c>
      <c r="C175">
        <f>'Participant reporting'!C402</f>
        <v>0</v>
      </c>
      <c r="D175">
        <f>'Participant reporting'!D402</f>
        <v>0</v>
      </c>
      <c r="E175" s="15">
        <f>'Participant reporting'!E402</f>
        <v>0</v>
      </c>
      <c r="F175">
        <f>'Participant reporting'!F402</f>
        <v>0</v>
      </c>
      <c r="G175">
        <f>'Participant reporting'!G402</f>
        <v>0</v>
      </c>
      <c r="H175">
        <f>'Participant reporting'!H402</f>
        <v>0</v>
      </c>
      <c r="I175">
        <f>'Participant reporting'!I402</f>
        <v>0</v>
      </c>
      <c r="J175">
        <f>'Participant reporting'!J402</f>
        <v>0</v>
      </c>
      <c r="K175">
        <f>'Participant reporting'!K402</f>
        <v>0</v>
      </c>
      <c r="L175">
        <f>'Participant reporting'!L402</f>
        <v>0</v>
      </c>
      <c r="M175">
        <f>'Participant reporting'!M402</f>
        <v>0</v>
      </c>
      <c r="N175">
        <f>'Participant reporting'!N402</f>
        <v>0</v>
      </c>
      <c r="O175">
        <f>'Participant reporting'!O402</f>
        <v>0</v>
      </c>
    </row>
    <row r="176" spans="1:15" x14ac:dyDescent="0.25">
      <c r="A176">
        <f>'Participant reporting'!A403</f>
        <v>0</v>
      </c>
      <c r="B176">
        <f>'Participant reporting'!B403</f>
        <v>0</v>
      </c>
      <c r="C176">
        <f>'Participant reporting'!C403</f>
        <v>0</v>
      </c>
      <c r="D176">
        <f>'Participant reporting'!D403</f>
        <v>0</v>
      </c>
      <c r="E176" s="15">
        <f>'Participant reporting'!E403</f>
        <v>0</v>
      </c>
      <c r="F176">
        <f>'Participant reporting'!F403</f>
        <v>0</v>
      </c>
      <c r="G176">
        <f>'Participant reporting'!G403</f>
        <v>0</v>
      </c>
      <c r="H176">
        <f>'Participant reporting'!H403</f>
        <v>0</v>
      </c>
      <c r="I176">
        <f>'Participant reporting'!I403</f>
        <v>0</v>
      </c>
      <c r="J176">
        <f>'Participant reporting'!J403</f>
        <v>0</v>
      </c>
      <c r="K176">
        <f>'Participant reporting'!K403</f>
        <v>0</v>
      </c>
      <c r="L176">
        <f>'Participant reporting'!L403</f>
        <v>0</v>
      </c>
      <c r="M176">
        <f>'Participant reporting'!M403</f>
        <v>0</v>
      </c>
      <c r="N176">
        <f>'Participant reporting'!N403</f>
        <v>0</v>
      </c>
      <c r="O176">
        <f>'Participant reporting'!O403</f>
        <v>0</v>
      </c>
    </row>
    <row r="177" spans="1:15" x14ac:dyDescent="0.25">
      <c r="A177">
        <f>'Participant reporting'!A404</f>
        <v>0</v>
      </c>
      <c r="B177">
        <f>'Participant reporting'!B404</f>
        <v>0</v>
      </c>
      <c r="C177">
        <f>'Participant reporting'!C404</f>
        <v>0</v>
      </c>
      <c r="D177">
        <f>'Participant reporting'!D404</f>
        <v>0</v>
      </c>
      <c r="E177" s="15">
        <f>'Participant reporting'!E404</f>
        <v>0</v>
      </c>
      <c r="F177">
        <f>'Participant reporting'!F404</f>
        <v>0</v>
      </c>
      <c r="G177">
        <f>'Participant reporting'!G404</f>
        <v>0</v>
      </c>
      <c r="H177">
        <f>'Participant reporting'!H404</f>
        <v>0</v>
      </c>
      <c r="I177">
        <f>'Participant reporting'!I404</f>
        <v>0</v>
      </c>
      <c r="J177">
        <f>'Participant reporting'!J404</f>
        <v>0</v>
      </c>
      <c r="K177">
        <f>'Participant reporting'!K404</f>
        <v>0</v>
      </c>
      <c r="L177">
        <f>'Participant reporting'!L404</f>
        <v>0</v>
      </c>
      <c r="M177">
        <f>'Participant reporting'!M404</f>
        <v>0</v>
      </c>
      <c r="N177">
        <f>'Participant reporting'!N404</f>
        <v>0</v>
      </c>
      <c r="O177">
        <f>'Participant reporting'!O404</f>
        <v>0</v>
      </c>
    </row>
    <row r="178" spans="1:15" x14ac:dyDescent="0.25">
      <c r="A178">
        <f>'Participant reporting'!A405</f>
        <v>0</v>
      </c>
      <c r="B178">
        <f>'Participant reporting'!B405</f>
        <v>0</v>
      </c>
      <c r="C178">
        <f>'Participant reporting'!C405</f>
        <v>0</v>
      </c>
      <c r="D178">
        <f>'Participant reporting'!D405</f>
        <v>0</v>
      </c>
      <c r="E178" s="15">
        <f>'Participant reporting'!E405</f>
        <v>0</v>
      </c>
      <c r="F178">
        <f>'Participant reporting'!F405</f>
        <v>0</v>
      </c>
      <c r="G178">
        <f>'Participant reporting'!G405</f>
        <v>0</v>
      </c>
      <c r="H178">
        <f>'Participant reporting'!H405</f>
        <v>0</v>
      </c>
      <c r="I178">
        <f>'Participant reporting'!I405</f>
        <v>0</v>
      </c>
      <c r="J178">
        <f>'Participant reporting'!J405</f>
        <v>0</v>
      </c>
      <c r="K178">
        <f>'Participant reporting'!K405</f>
        <v>0</v>
      </c>
      <c r="L178">
        <f>'Participant reporting'!L405</f>
        <v>0</v>
      </c>
      <c r="M178">
        <f>'Participant reporting'!M405</f>
        <v>0</v>
      </c>
      <c r="N178">
        <f>'Participant reporting'!N405</f>
        <v>0</v>
      </c>
      <c r="O178">
        <f>'Participant reporting'!O405</f>
        <v>0</v>
      </c>
    </row>
    <row r="179" spans="1:15" x14ac:dyDescent="0.25">
      <c r="A179">
        <f>'Participant reporting'!A406</f>
        <v>0</v>
      </c>
      <c r="B179">
        <f>'Participant reporting'!B406</f>
        <v>0</v>
      </c>
      <c r="C179">
        <f>'Participant reporting'!C406</f>
        <v>0</v>
      </c>
      <c r="D179">
        <f>'Participant reporting'!D406</f>
        <v>0</v>
      </c>
      <c r="E179" s="15">
        <f>'Participant reporting'!E406</f>
        <v>0</v>
      </c>
      <c r="F179">
        <f>'Participant reporting'!F406</f>
        <v>0</v>
      </c>
      <c r="G179">
        <f>'Participant reporting'!G406</f>
        <v>0</v>
      </c>
      <c r="H179">
        <f>'Participant reporting'!H406</f>
        <v>0</v>
      </c>
      <c r="I179">
        <f>'Participant reporting'!I406</f>
        <v>0</v>
      </c>
      <c r="J179">
        <f>'Participant reporting'!J406</f>
        <v>0</v>
      </c>
      <c r="K179">
        <f>'Participant reporting'!K406</f>
        <v>0</v>
      </c>
      <c r="L179">
        <f>'Participant reporting'!L406</f>
        <v>0</v>
      </c>
      <c r="M179">
        <f>'Participant reporting'!M406</f>
        <v>0</v>
      </c>
      <c r="N179">
        <f>'Participant reporting'!N406</f>
        <v>0</v>
      </c>
      <c r="O179">
        <f>'Participant reporting'!O406</f>
        <v>0</v>
      </c>
    </row>
    <row r="180" spans="1:15" x14ac:dyDescent="0.25">
      <c r="A180">
        <f>'Participant reporting'!A407</f>
        <v>0</v>
      </c>
      <c r="B180">
        <f>'Participant reporting'!B407</f>
        <v>0</v>
      </c>
      <c r="C180">
        <f>'Participant reporting'!C407</f>
        <v>0</v>
      </c>
      <c r="D180">
        <f>'Participant reporting'!D407</f>
        <v>0</v>
      </c>
      <c r="E180" s="15">
        <f>'Participant reporting'!E407</f>
        <v>0</v>
      </c>
      <c r="F180">
        <f>'Participant reporting'!F407</f>
        <v>0</v>
      </c>
      <c r="G180">
        <f>'Participant reporting'!G407</f>
        <v>0</v>
      </c>
      <c r="H180">
        <f>'Participant reporting'!H407</f>
        <v>0</v>
      </c>
      <c r="I180">
        <f>'Participant reporting'!I407</f>
        <v>0</v>
      </c>
      <c r="J180">
        <f>'Participant reporting'!J407</f>
        <v>0</v>
      </c>
      <c r="K180">
        <f>'Participant reporting'!K407</f>
        <v>0</v>
      </c>
      <c r="L180">
        <f>'Participant reporting'!L407</f>
        <v>0</v>
      </c>
      <c r="M180">
        <f>'Participant reporting'!M407</f>
        <v>0</v>
      </c>
      <c r="N180">
        <f>'Participant reporting'!N407</f>
        <v>0</v>
      </c>
      <c r="O180">
        <f>'Participant reporting'!O407</f>
        <v>0</v>
      </c>
    </row>
    <row r="181" spans="1:15" x14ac:dyDescent="0.25">
      <c r="A181">
        <f>'Participant reporting'!A408</f>
        <v>0</v>
      </c>
      <c r="B181">
        <f>'Participant reporting'!B408</f>
        <v>0</v>
      </c>
      <c r="C181">
        <f>'Participant reporting'!C408</f>
        <v>0</v>
      </c>
      <c r="D181">
        <f>'Participant reporting'!D408</f>
        <v>0</v>
      </c>
      <c r="E181" s="15">
        <f>'Participant reporting'!E408</f>
        <v>0</v>
      </c>
      <c r="F181">
        <f>'Participant reporting'!F408</f>
        <v>0</v>
      </c>
      <c r="G181">
        <f>'Participant reporting'!G408</f>
        <v>0</v>
      </c>
      <c r="H181">
        <f>'Participant reporting'!H408</f>
        <v>0</v>
      </c>
      <c r="I181">
        <f>'Participant reporting'!I408</f>
        <v>0</v>
      </c>
      <c r="J181">
        <f>'Participant reporting'!J408</f>
        <v>0</v>
      </c>
      <c r="K181">
        <f>'Participant reporting'!K408</f>
        <v>0</v>
      </c>
      <c r="L181">
        <f>'Participant reporting'!L408</f>
        <v>0</v>
      </c>
      <c r="M181">
        <f>'Participant reporting'!M408</f>
        <v>0</v>
      </c>
      <c r="N181">
        <f>'Participant reporting'!N408</f>
        <v>0</v>
      </c>
      <c r="O181">
        <f>'Participant reporting'!O408</f>
        <v>0</v>
      </c>
    </row>
    <row r="182" spans="1:15" x14ac:dyDescent="0.25">
      <c r="A182">
        <f>'Participant reporting'!A409</f>
        <v>0</v>
      </c>
      <c r="B182">
        <f>'Participant reporting'!B409</f>
        <v>0</v>
      </c>
      <c r="C182">
        <f>'Participant reporting'!C409</f>
        <v>0</v>
      </c>
      <c r="D182">
        <f>'Participant reporting'!D409</f>
        <v>0</v>
      </c>
      <c r="E182" s="15">
        <f>'Participant reporting'!E409</f>
        <v>0</v>
      </c>
      <c r="F182">
        <f>'Participant reporting'!F409</f>
        <v>0</v>
      </c>
      <c r="G182">
        <f>'Participant reporting'!G409</f>
        <v>0</v>
      </c>
      <c r="H182">
        <f>'Participant reporting'!H409</f>
        <v>0</v>
      </c>
      <c r="I182">
        <f>'Participant reporting'!I409</f>
        <v>0</v>
      </c>
      <c r="J182">
        <f>'Participant reporting'!J409</f>
        <v>0</v>
      </c>
      <c r="K182">
        <f>'Participant reporting'!K409</f>
        <v>0</v>
      </c>
      <c r="L182">
        <f>'Participant reporting'!L409</f>
        <v>0</v>
      </c>
      <c r="M182">
        <f>'Participant reporting'!M409</f>
        <v>0</v>
      </c>
      <c r="N182">
        <f>'Participant reporting'!N409</f>
        <v>0</v>
      </c>
      <c r="O182">
        <f>'Participant reporting'!O409</f>
        <v>0</v>
      </c>
    </row>
    <row r="183" spans="1:15" x14ac:dyDescent="0.25">
      <c r="A183">
        <f>'Participant reporting'!A410</f>
        <v>0</v>
      </c>
      <c r="B183">
        <f>'Participant reporting'!B410</f>
        <v>0</v>
      </c>
      <c r="C183">
        <f>'Participant reporting'!C410</f>
        <v>0</v>
      </c>
      <c r="D183">
        <f>'Participant reporting'!D410</f>
        <v>0</v>
      </c>
      <c r="E183" s="15">
        <f>'Participant reporting'!E410</f>
        <v>0</v>
      </c>
      <c r="F183">
        <f>'Participant reporting'!F410</f>
        <v>0</v>
      </c>
      <c r="G183">
        <f>'Participant reporting'!G410</f>
        <v>0</v>
      </c>
      <c r="H183">
        <f>'Participant reporting'!H410</f>
        <v>0</v>
      </c>
      <c r="I183">
        <f>'Participant reporting'!I410</f>
        <v>0</v>
      </c>
      <c r="J183">
        <f>'Participant reporting'!J410</f>
        <v>0</v>
      </c>
      <c r="K183">
        <f>'Participant reporting'!K410</f>
        <v>0</v>
      </c>
      <c r="L183">
        <f>'Participant reporting'!L410</f>
        <v>0</v>
      </c>
      <c r="M183">
        <f>'Participant reporting'!M410</f>
        <v>0</v>
      </c>
      <c r="N183">
        <f>'Participant reporting'!N410</f>
        <v>0</v>
      </c>
      <c r="O183">
        <f>'Participant reporting'!O410</f>
        <v>0</v>
      </c>
    </row>
    <row r="184" spans="1:15" x14ac:dyDescent="0.25">
      <c r="A184">
        <f>'Participant reporting'!A411</f>
        <v>0</v>
      </c>
      <c r="B184">
        <f>'Participant reporting'!B411</f>
        <v>0</v>
      </c>
      <c r="C184">
        <f>'Participant reporting'!C411</f>
        <v>0</v>
      </c>
      <c r="D184">
        <f>'Participant reporting'!D411</f>
        <v>0</v>
      </c>
      <c r="E184" s="15">
        <f>'Participant reporting'!E411</f>
        <v>0</v>
      </c>
      <c r="F184">
        <f>'Participant reporting'!F411</f>
        <v>0</v>
      </c>
      <c r="G184">
        <f>'Participant reporting'!G411</f>
        <v>0</v>
      </c>
      <c r="H184">
        <f>'Participant reporting'!H411</f>
        <v>0</v>
      </c>
      <c r="I184">
        <f>'Participant reporting'!I411</f>
        <v>0</v>
      </c>
      <c r="J184">
        <f>'Participant reporting'!J411</f>
        <v>0</v>
      </c>
      <c r="K184">
        <f>'Participant reporting'!K411</f>
        <v>0</v>
      </c>
      <c r="L184">
        <f>'Participant reporting'!L411</f>
        <v>0</v>
      </c>
      <c r="M184">
        <f>'Participant reporting'!M411</f>
        <v>0</v>
      </c>
      <c r="N184">
        <f>'Participant reporting'!N411</f>
        <v>0</v>
      </c>
      <c r="O184">
        <f>'Participant reporting'!O411</f>
        <v>0</v>
      </c>
    </row>
    <row r="185" spans="1:15" x14ac:dyDescent="0.25">
      <c r="A185">
        <f>'Participant reporting'!A412</f>
        <v>0</v>
      </c>
      <c r="B185">
        <f>'Participant reporting'!B412</f>
        <v>0</v>
      </c>
      <c r="C185">
        <f>'Participant reporting'!C412</f>
        <v>0</v>
      </c>
      <c r="D185">
        <f>'Participant reporting'!D412</f>
        <v>0</v>
      </c>
      <c r="E185" s="15">
        <f>'Participant reporting'!E412</f>
        <v>0</v>
      </c>
      <c r="F185">
        <f>'Participant reporting'!F412</f>
        <v>0</v>
      </c>
      <c r="G185">
        <f>'Participant reporting'!G412</f>
        <v>0</v>
      </c>
      <c r="H185">
        <f>'Participant reporting'!H412</f>
        <v>0</v>
      </c>
      <c r="I185">
        <f>'Participant reporting'!I412</f>
        <v>0</v>
      </c>
      <c r="J185">
        <f>'Participant reporting'!J412</f>
        <v>0</v>
      </c>
      <c r="K185">
        <f>'Participant reporting'!K412</f>
        <v>0</v>
      </c>
      <c r="L185">
        <f>'Participant reporting'!L412</f>
        <v>0</v>
      </c>
      <c r="M185">
        <f>'Participant reporting'!M412</f>
        <v>0</v>
      </c>
      <c r="N185">
        <f>'Participant reporting'!N412</f>
        <v>0</v>
      </c>
      <c r="O185">
        <f>'Participant reporting'!O412</f>
        <v>0</v>
      </c>
    </row>
    <row r="186" spans="1:15" x14ac:dyDescent="0.25">
      <c r="A186">
        <f>'Participant reporting'!A413</f>
        <v>0</v>
      </c>
      <c r="B186">
        <f>'Participant reporting'!B413</f>
        <v>0</v>
      </c>
      <c r="C186">
        <f>'Participant reporting'!C413</f>
        <v>0</v>
      </c>
      <c r="D186">
        <f>'Participant reporting'!D413</f>
        <v>0</v>
      </c>
      <c r="E186" s="15">
        <f>'Participant reporting'!E413</f>
        <v>0</v>
      </c>
      <c r="F186">
        <f>'Participant reporting'!F413</f>
        <v>0</v>
      </c>
      <c r="G186">
        <f>'Participant reporting'!G413</f>
        <v>0</v>
      </c>
      <c r="H186">
        <f>'Participant reporting'!H413</f>
        <v>0</v>
      </c>
      <c r="I186">
        <f>'Participant reporting'!I413</f>
        <v>0</v>
      </c>
      <c r="J186">
        <f>'Participant reporting'!J413</f>
        <v>0</v>
      </c>
      <c r="K186">
        <f>'Participant reporting'!K413</f>
        <v>0</v>
      </c>
      <c r="L186">
        <f>'Participant reporting'!L413</f>
        <v>0</v>
      </c>
      <c r="M186">
        <f>'Participant reporting'!M413</f>
        <v>0</v>
      </c>
      <c r="N186">
        <f>'Participant reporting'!N413</f>
        <v>0</v>
      </c>
      <c r="O186">
        <f>'Participant reporting'!O413</f>
        <v>0</v>
      </c>
    </row>
    <row r="187" spans="1:15" x14ac:dyDescent="0.25">
      <c r="A187">
        <f>'Participant reporting'!A414</f>
        <v>0</v>
      </c>
      <c r="B187">
        <f>'Participant reporting'!B414</f>
        <v>0</v>
      </c>
      <c r="C187">
        <f>'Participant reporting'!C414</f>
        <v>0</v>
      </c>
      <c r="D187">
        <f>'Participant reporting'!D414</f>
        <v>0</v>
      </c>
      <c r="E187" s="15">
        <f>'Participant reporting'!E414</f>
        <v>0</v>
      </c>
      <c r="F187">
        <f>'Participant reporting'!F414</f>
        <v>0</v>
      </c>
      <c r="G187">
        <f>'Participant reporting'!G414</f>
        <v>0</v>
      </c>
      <c r="H187">
        <f>'Participant reporting'!H414</f>
        <v>0</v>
      </c>
      <c r="I187">
        <f>'Participant reporting'!I414</f>
        <v>0</v>
      </c>
      <c r="J187">
        <f>'Participant reporting'!J414</f>
        <v>0</v>
      </c>
      <c r="K187">
        <f>'Participant reporting'!K414</f>
        <v>0</v>
      </c>
      <c r="L187">
        <f>'Participant reporting'!L414</f>
        <v>0</v>
      </c>
      <c r="M187">
        <f>'Participant reporting'!M414</f>
        <v>0</v>
      </c>
      <c r="N187">
        <f>'Participant reporting'!N414</f>
        <v>0</v>
      </c>
      <c r="O187">
        <f>'Participant reporting'!O414</f>
        <v>0</v>
      </c>
    </row>
    <row r="188" spans="1:15" x14ac:dyDescent="0.25">
      <c r="A188">
        <f>'Participant reporting'!A415</f>
        <v>0</v>
      </c>
      <c r="B188">
        <f>'Participant reporting'!B415</f>
        <v>0</v>
      </c>
      <c r="C188">
        <f>'Participant reporting'!C415</f>
        <v>0</v>
      </c>
      <c r="D188">
        <f>'Participant reporting'!D415</f>
        <v>0</v>
      </c>
      <c r="E188" s="15">
        <f>'Participant reporting'!E415</f>
        <v>0</v>
      </c>
      <c r="F188">
        <f>'Participant reporting'!F415</f>
        <v>0</v>
      </c>
      <c r="G188">
        <f>'Participant reporting'!G415</f>
        <v>0</v>
      </c>
      <c r="H188">
        <f>'Participant reporting'!H415</f>
        <v>0</v>
      </c>
      <c r="I188">
        <f>'Participant reporting'!I415</f>
        <v>0</v>
      </c>
      <c r="J188">
        <f>'Participant reporting'!J415</f>
        <v>0</v>
      </c>
      <c r="K188">
        <f>'Participant reporting'!K415</f>
        <v>0</v>
      </c>
      <c r="L188">
        <f>'Participant reporting'!L415</f>
        <v>0</v>
      </c>
      <c r="M188">
        <f>'Participant reporting'!M415</f>
        <v>0</v>
      </c>
      <c r="N188">
        <f>'Participant reporting'!N415</f>
        <v>0</v>
      </c>
      <c r="O188">
        <f>'Participant reporting'!O415</f>
        <v>0</v>
      </c>
    </row>
    <row r="189" spans="1:15" x14ac:dyDescent="0.25">
      <c r="A189">
        <f>'Participant reporting'!A416</f>
        <v>0</v>
      </c>
      <c r="B189">
        <f>'Participant reporting'!B416</f>
        <v>0</v>
      </c>
      <c r="C189">
        <f>'Participant reporting'!C416</f>
        <v>0</v>
      </c>
      <c r="D189">
        <f>'Participant reporting'!D416</f>
        <v>0</v>
      </c>
      <c r="E189" s="15">
        <f>'Participant reporting'!E416</f>
        <v>0</v>
      </c>
      <c r="F189">
        <f>'Participant reporting'!F416</f>
        <v>0</v>
      </c>
      <c r="G189">
        <f>'Participant reporting'!G416</f>
        <v>0</v>
      </c>
      <c r="H189">
        <f>'Participant reporting'!H416</f>
        <v>0</v>
      </c>
      <c r="I189">
        <f>'Participant reporting'!I416</f>
        <v>0</v>
      </c>
      <c r="J189">
        <f>'Participant reporting'!J416</f>
        <v>0</v>
      </c>
      <c r="K189">
        <f>'Participant reporting'!K416</f>
        <v>0</v>
      </c>
      <c r="L189">
        <f>'Participant reporting'!L416</f>
        <v>0</v>
      </c>
      <c r="M189">
        <f>'Participant reporting'!M416</f>
        <v>0</v>
      </c>
      <c r="N189">
        <f>'Participant reporting'!N416</f>
        <v>0</v>
      </c>
      <c r="O189">
        <f>'Participant reporting'!O416</f>
        <v>0</v>
      </c>
    </row>
    <row r="190" spans="1:15" x14ac:dyDescent="0.25">
      <c r="A190">
        <f>'Participant reporting'!A417</f>
        <v>0</v>
      </c>
      <c r="B190">
        <f>'Participant reporting'!B417</f>
        <v>0</v>
      </c>
      <c r="C190">
        <f>'Participant reporting'!C417</f>
        <v>0</v>
      </c>
      <c r="D190">
        <f>'Participant reporting'!D417</f>
        <v>0</v>
      </c>
      <c r="E190" s="15">
        <f>'Participant reporting'!E417</f>
        <v>0</v>
      </c>
      <c r="F190">
        <f>'Participant reporting'!F417</f>
        <v>0</v>
      </c>
      <c r="G190">
        <f>'Participant reporting'!G417</f>
        <v>0</v>
      </c>
      <c r="H190">
        <f>'Participant reporting'!H417</f>
        <v>0</v>
      </c>
      <c r="I190">
        <f>'Participant reporting'!I417</f>
        <v>0</v>
      </c>
      <c r="J190">
        <f>'Participant reporting'!J417</f>
        <v>0</v>
      </c>
      <c r="K190">
        <f>'Participant reporting'!K417</f>
        <v>0</v>
      </c>
      <c r="L190">
        <f>'Participant reporting'!L417</f>
        <v>0</v>
      </c>
      <c r="M190">
        <f>'Participant reporting'!M417</f>
        <v>0</v>
      </c>
      <c r="N190">
        <f>'Participant reporting'!N417</f>
        <v>0</v>
      </c>
      <c r="O190">
        <f>'Participant reporting'!O417</f>
        <v>0</v>
      </c>
    </row>
    <row r="191" spans="1:15" x14ac:dyDescent="0.25">
      <c r="A191">
        <f>'Participant reporting'!A418</f>
        <v>0</v>
      </c>
      <c r="B191">
        <f>'Participant reporting'!B418</f>
        <v>0</v>
      </c>
      <c r="C191">
        <f>'Participant reporting'!C418</f>
        <v>0</v>
      </c>
      <c r="D191">
        <f>'Participant reporting'!D418</f>
        <v>0</v>
      </c>
      <c r="E191" s="15">
        <f>'Participant reporting'!E418</f>
        <v>0</v>
      </c>
      <c r="F191">
        <f>'Participant reporting'!F418</f>
        <v>0</v>
      </c>
      <c r="G191">
        <f>'Participant reporting'!G418</f>
        <v>0</v>
      </c>
      <c r="H191">
        <f>'Participant reporting'!H418</f>
        <v>0</v>
      </c>
      <c r="I191">
        <f>'Participant reporting'!I418</f>
        <v>0</v>
      </c>
      <c r="J191">
        <f>'Participant reporting'!J418</f>
        <v>0</v>
      </c>
      <c r="K191">
        <f>'Participant reporting'!K418</f>
        <v>0</v>
      </c>
      <c r="L191">
        <f>'Participant reporting'!L418</f>
        <v>0</v>
      </c>
      <c r="M191">
        <f>'Participant reporting'!M418</f>
        <v>0</v>
      </c>
      <c r="N191">
        <f>'Participant reporting'!N418</f>
        <v>0</v>
      </c>
      <c r="O191">
        <f>'Participant reporting'!O418</f>
        <v>0</v>
      </c>
    </row>
    <row r="192" spans="1:15" x14ac:dyDescent="0.25">
      <c r="A192">
        <f>'Participant reporting'!A419</f>
        <v>0</v>
      </c>
      <c r="B192">
        <f>'Participant reporting'!B419</f>
        <v>0</v>
      </c>
      <c r="C192">
        <f>'Participant reporting'!C419</f>
        <v>0</v>
      </c>
      <c r="D192">
        <f>'Participant reporting'!D419</f>
        <v>0</v>
      </c>
      <c r="E192" s="15">
        <f>'Participant reporting'!E419</f>
        <v>0</v>
      </c>
      <c r="F192">
        <f>'Participant reporting'!F419</f>
        <v>0</v>
      </c>
      <c r="G192">
        <f>'Participant reporting'!G419</f>
        <v>0</v>
      </c>
      <c r="H192">
        <f>'Participant reporting'!H419</f>
        <v>0</v>
      </c>
      <c r="I192">
        <f>'Participant reporting'!I419</f>
        <v>0</v>
      </c>
      <c r="J192">
        <f>'Participant reporting'!J419</f>
        <v>0</v>
      </c>
      <c r="K192">
        <f>'Participant reporting'!K419</f>
        <v>0</v>
      </c>
      <c r="L192">
        <f>'Participant reporting'!L419</f>
        <v>0</v>
      </c>
      <c r="M192">
        <f>'Participant reporting'!M419</f>
        <v>0</v>
      </c>
      <c r="N192">
        <f>'Participant reporting'!N419</f>
        <v>0</v>
      </c>
      <c r="O192">
        <f>'Participant reporting'!O419</f>
        <v>0</v>
      </c>
    </row>
    <row r="193" spans="1:15" x14ac:dyDescent="0.25">
      <c r="A193">
        <f>'Participant reporting'!A420</f>
        <v>0</v>
      </c>
      <c r="B193">
        <f>'Participant reporting'!B420</f>
        <v>0</v>
      </c>
      <c r="C193">
        <f>'Participant reporting'!C420</f>
        <v>0</v>
      </c>
      <c r="D193">
        <f>'Participant reporting'!D420</f>
        <v>0</v>
      </c>
      <c r="E193" s="15">
        <f>'Participant reporting'!E420</f>
        <v>0</v>
      </c>
      <c r="F193">
        <f>'Participant reporting'!F420</f>
        <v>0</v>
      </c>
      <c r="G193">
        <f>'Participant reporting'!G420</f>
        <v>0</v>
      </c>
      <c r="H193">
        <f>'Participant reporting'!H420</f>
        <v>0</v>
      </c>
      <c r="I193">
        <f>'Participant reporting'!I420</f>
        <v>0</v>
      </c>
      <c r="J193">
        <f>'Participant reporting'!J420</f>
        <v>0</v>
      </c>
      <c r="K193">
        <f>'Participant reporting'!K420</f>
        <v>0</v>
      </c>
      <c r="L193">
        <f>'Participant reporting'!L420</f>
        <v>0</v>
      </c>
      <c r="M193">
        <f>'Participant reporting'!M420</f>
        <v>0</v>
      </c>
      <c r="N193">
        <f>'Participant reporting'!N420</f>
        <v>0</v>
      </c>
      <c r="O193">
        <f>'Participant reporting'!O420</f>
        <v>0</v>
      </c>
    </row>
    <row r="194" spans="1:15" x14ac:dyDescent="0.25">
      <c r="A194">
        <f>'Participant reporting'!A421</f>
        <v>0</v>
      </c>
      <c r="B194">
        <f>'Participant reporting'!B421</f>
        <v>0</v>
      </c>
      <c r="C194">
        <f>'Participant reporting'!C421</f>
        <v>0</v>
      </c>
      <c r="D194">
        <f>'Participant reporting'!D421</f>
        <v>0</v>
      </c>
      <c r="E194" s="15">
        <f>'Participant reporting'!E421</f>
        <v>0</v>
      </c>
      <c r="F194">
        <f>'Participant reporting'!F421</f>
        <v>0</v>
      </c>
      <c r="G194">
        <f>'Participant reporting'!G421</f>
        <v>0</v>
      </c>
      <c r="H194">
        <f>'Participant reporting'!H421</f>
        <v>0</v>
      </c>
      <c r="I194">
        <f>'Participant reporting'!I421</f>
        <v>0</v>
      </c>
      <c r="J194">
        <f>'Participant reporting'!J421</f>
        <v>0</v>
      </c>
      <c r="K194">
        <f>'Participant reporting'!K421</f>
        <v>0</v>
      </c>
      <c r="L194">
        <f>'Participant reporting'!L421</f>
        <v>0</v>
      </c>
      <c r="M194">
        <f>'Participant reporting'!M421</f>
        <v>0</v>
      </c>
      <c r="N194">
        <f>'Participant reporting'!N421</f>
        <v>0</v>
      </c>
      <c r="O194">
        <f>'Participant reporting'!O421</f>
        <v>0</v>
      </c>
    </row>
    <row r="195" spans="1:15" x14ac:dyDescent="0.25">
      <c r="A195">
        <f>'Participant reporting'!A422</f>
        <v>0</v>
      </c>
      <c r="B195">
        <f>'Participant reporting'!B422</f>
        <v>0</v>
      </c>
      <c r="C195">
        <f>'Participant reporting'!C422</f>
        <v>0</v>
      </c>
      <c r="D195">
        <f>'Participant reporting'!D422</f>
        <v>0</v>
      </c>
      <c r="E195" s="15">
        <f>'Participant reporting'!E422</f>
        <v>0</v>
      </c>
      <c r="F195">
        <f>'Participant reporting'!F422</f>
        <v>0</v>
      </c>
      <c r="G195">
        <f>'Participant reporting'!G422</f>
        <v>0</v>
      </c>
      <c r="H195">
        <f>'Participant reporting'!H422</f>
        <v>0</v>
      </c>
      <c r="I195">
        <f>'Participant reporting'!I422</f>
        <v>0</v>
      </c>
      <c r="J195">
        <f>'Participant reporting'!J422</f>
        <v>0</v>
      </c>
      <c r="K195">
        <f>'Participant reporting'!K422</f>
        <v>0</v>
      </c>
      <c r="L195">
        <f>'Participant reporting'!L422</f>
        <v>0</v>
      </c>
      <c r="M195">
        <f>'Participant reporting'!M422</f>
        <v>0</v>
      </c>
      <c r="N195">
        <f>'Participant reporting'!N422</f>
        <v>0</v>
      </c>
      <c r="O195">
        <f>'Participant reporting'!O422</f>
        <v>0</v>
      </c>
    </row>
    <row r="196" spans="1:15" x14ac:dyDescent="0.25">
      <c r="A196">
        <f>'Participant reporting'!A423</f>
        <v>0</v>
      </c>
      <c r="B196">
        <f>'Participant reporting'!B423</f>
        <v>0</v>
      </c>
      <c r="C196">
        <f>'Participant reporting'!C423</f>
        <v>0</v>
      </c>
      <c r="D196">
        <f>'Participant reporting'!D423</f>
        <v>0</v>
      </c>
      <c r="E196" s="15">
        <f>'Participant reporting'!E423</f>
        <v>0</v>
      </c>
      <c r="F196">
        <f>'Participant reporting'!F423</f>
        <v>0</v>
      </c>
      <c r="G196">
        <f>'Participant reporting'!G423</f>
        <v>0</v>
      </c>
      <c r="H196">
        <f>'Participant reporting'!H423</f>
        <v>0</v>
      </c>
      <c r="I196">
        <f>'Participant reporting'!I423</f>
        <v>0</v>
      </c>
      <c r="J196">
        <f>'Participant reporting'!J423</f>
        <v>0</v>
      </c>
      <c r="K196">
        <f>'Participant reporting'!K423</f>
        <v>0</v>
      </c>
      <c r="L196">
        <f>'Participant reporting'!L423</f>
        <v>0</v>
      </c>
      <c r="M196">
        <f>'Participant reporting'!M423</f>
        <v>0</v>
      </c>
      <c r="N196">
        <f>'Participant reporting'!N423</f>
        <v>0</v>
      </c>
      <c r="O196">
        <f>'Participant reporting'!O423</f>
        <v>0</v>
      </c>
    </row>
    <row r="197" spans="1:15" x14ac:dyDescent="0.25">
      <c r="A197">
        <f>'Participant reporting'!A424</f>
        <v>0</v>
      </c>
      <c r="B197">
        <f>'Participant reporting'!B424</f>
        <v>0</v>
      </c>
      <c r="C197">
        <f>'Participant reporting'!C424</f>
        <v>0</v>
      </c>
      <c r="D197">
        <f>'Participant reporting'!D424</f>
        <v>0</v>
      </c>
      <c r="E197" s="15">
        <f>'Participant reporting'!E424</f>
        <v>0</v>
      </c>
      <c r="F197">
        <f>'Participant reporting'!F424</f>
        <v>0</v>
      </c>
      <c r="G197">
        <f>'Participant reporting'!G424</f>
        <v>0</v>
      </c>
      <c r="H197">
        <f>'Participant reporting'!H424</f>
        <v>0</v>
      </c>
      <c r="I197">
        <f>'Participant reporting'!I424</f>
        <v>0</v>
      </c>
      <c r="J197">
        <f>'Participant reporting'!J424</f>
        <v>0</v>
      </c>
      <c r="K197">
        <f>'Participant reporting'!K424</f>
        <v>0</v>
      </c>
      <c r="L197">
        <f>'Participant reporting'!L424</f>
        <v>0</v>
      </c>
      <c r="M197">
        <f>'Participant reporting'!M424</f>
        <v>0</v>
      </c>
      <c r="N197">
        <f>'Participant reporting'!N424</f>
        <v>0</v>
      </c>
      <c r="O197">
        <f>'Participant reporting'!O424</f>
        <v>0</v>
      </c>
    </row>
    <row r="198" spans="1:15" x14ac:dyDescent="0.25">
      <c r="A198">
        <f>'Participant reporting'!A425</f>
        <v>0</v>
      </c>
      <c r="B198">
        <f>'Participant reporting'!B425</f>
        <v>0</v>
      </c>
      <c r="C198">
        <f>'Participant reporting'!C425</f>
        <v>0</v>
      </c>
      <c r="D198">
        <f>'Participant reporting'!D425</f>
        <v>0</v>
      </c>
      <c r="E198" s="15">
        <f>'Participant reporting'!E425</f>
        <v>0</v>
      </c>
      <c r="F198">
        <f>'Participant reporting'!F425</f>
        <v>0</v>
      </c>
      <c r="G198">
        <f>'Participant reporting'!G425</f>
        <v>0</v>
      </c>
      <c r="H198">
        <f>'Participant reporting'!H425</f>
        <v>0</v>
      </c>
      <c r="I198">
        <f>'Participant reporting'!I425</f>
        <v>0</v>
      </c>
      <c r="J198">
        <f>'Participant reporting'!J425</f>
        <v>0</v>
      </c>
      <c r="K198">
        <f>'Participant reporting'!K425</f>
        <v>0</v>
      </c>
      <c r="L198">
        <f>'Participant reporting'!L425</f>
        <v>0</v>
      </c>
      <c r="M198">
        <f>'Participant reporting'!M425</f>
        <v>0</v>
      </c>
      <c r="N198">
        <f>'Participant reporting'!N425</f>
        <v>0</v>
      </c>
      <c r="O198">
        <f>'Participant reporting'!O425</f>
        <v>0</v>
      </c>
    </row>
    <row r="199" spans="1:15" x14ac:dyDescent="0.25">
      <c r="A199">
        <f>'Participant reporting'!A426</f>
        <v>0</v>
      </c>
      <c r="B199">
        <f>'Participant reporting'!B426</f>
        <v>0</v>
      </c>
      <c r="C199">
        <f>'Participant reporting'!C426</f>
        <v>0</v>
      </c>
      <c r="D199">
        <f>'Participant reporting'!D426</f>
        <v>0</v>
      </c>
      <c r="E199" s="15">
        <f>'Participant reporting'!E426</f>
        <v>0</v>
      </c>
      <c r="F199">
        <f>'Participant reporting'!F426</f>
        <v>0</v>
      </c>
      <c r="G199">
        <f>'Participant reporting'!G426</f>
        <v>0</v>
      </c>
      <c r="H199">
        <f>'Participant reporting'!H426</f>
        <v>0</v>
      </c>
      <c r="I199">
        <f>'Participant reporting'!I426</f>
        <v>0</v>
      </c>
      <c r="J199">
        <f>'Participant reporting'!J426</f>
        <v>0</v>
      </c>
      <c r="K199">
        <f>'Participant reporting'!K426</f>
        <v>0</v>
      </c>
      <c r="L199">
        <f>'Participant reporting'!L426</f>
        <v>0</v>
      </c>
      <c r="M199">
        <f>'Participant reporting'!M426</f>
        <v>0</v>
      </c>
      <c r="N199">
        <f>'Participant reporting'!N426</f>
        <v>0</v>
      </c>
      <c r="O199">
        <f>'Participant reporting'!O426</f>
        <v>0</v>
      </c>
    </row>
    <row r="200" spans="1:15" x14ac:dyDescent="0.25">
      <c r="A200">
        <f>'Participant reporting'!A427</f>
        <v>0</v>
      </c>
      <c r="B200">
        <f>'Participant reporting'!B427</f>
        <v>0</v>
      </c>
      <c r="C200">
        <f>'Participant reporting'!C427</f>
        <v>0</v>
      </c>
      <c r="D200">
        <f>'Participant reporting'!D427</f>
        <v>0</v>
      </c>
      <c r="E200" s="15">
        <f>'Participant reporting'!E427</f>
        <v>0</v>
      </c>
      <c r="F200">
        <f>'Participant reporting'!F427</f>
        <v>0</v>
      </c>
      <c r="G200">
        <f>'Participant reporting'!G427</f>
        <v>0</v>
      </c>
      <c r="H200">
        <f>'Participant reporting'!H427</f>
        <v>0</v>
      </c>
      <c r="I200">
        <f>'Participant reporting'!I427</f>
        <v>0</v>
      </c>
      <c r="J200">
        <f>'Participant reporting'!J427</f>
        <v>0</v>
      </c>
      <c r="K200">
        <f>'Participant reporting'!K427</f>
        <v>0</v>
      </c>
      <c r="L200">
        <f>'Participant reporting'!L427</f>
        <v>0</v>
      </c>
      <c r="M200">
        <f>'Participant reporting'!M427</f>
        <v>0</v>
      </c>
      <c r="N200">
        <f>'Participant reporting'!N427</f>
        <v>0</v>
      </c>
      <c r="O200">
        <f>'Participant reporting'!O427</f>
        <v>0</v>
      </c>
    </row>
    <row r="201" spans="1:15" x14ac:dyDescent="0.25">
      <c r="A201">
        <f>'Participant reporting'!A428</f>
        <v>0</v>
      </c>
      <c r="B201">
        <f>'Participant reporting'!B428</f>
        <v>0</v>
      </c>
      <c r="C201">
        <f>'Participant reporting'!C428</f>
        <v>0</v>
      </c>
      <c r="D201">
        <f>'Participant reporting'!D428</f>
        <v>0</v>
      </c>
      <c r="E201" s="15">
        <f>'Participant reporting'!E428</f>
        <v>0</v>
      </c>
      <c r="F201">
        <f>'Participant reporting'!F428</f>
        <v>0</v>
      </c>
      <c r="G201">
        <f>'Participant reporting'!G428</f>
        <v>0</v>
      </c>
      <c r="H201">
        <f>'Participant reporting'!H428</f>
        <v>0</v>
      </c>
      <c r="I201">
        <f>'Participant reporting'!I428</f>
        <v>0</v>
      </c>
      <c r="J201">
        <f>'Participant reporting'!J428</f>
        <v>0</v>
      </c>
      <c r="K201">
        <f>'Participant reporting'!K428</f>
        <v>0</v>
      </c>
      <c r="L201">
        <f>'Participant reporting'!L428</f>
        <v>0</v>
      </c>
      <c r="M201">
        <f>'Participant reporting'!M428</f>
        <v>0</v>
      </c>
      <c r="N201">
        <f>'Participant reporting'!N428</f>
        <v>0</v>
      </c>
      <c r="O201">
        <f>'Participant reporting'!O428</f>
        <v>0</v>
      </c>
    </row>
    <row r="202" spans="1:15" x14ac:dyDescent="0.25">
      <c r="A202">
        <f>'Participant reporting'!A429</f>
        <v>0</v>
      </c>
      <c r="B202">
        <f>'Participant reporting'!B429</f>
        <v>0</v>
      </c>
      <c r="C202">
        <f>'Participant reporting'!C429</f>
        <v>0</v>
      </c>
      <c r="D202">
        <f>'Participant reporting'!D429</f>
        <v>0</v>
      </c>
      <c r="E202" s="15">
        <f>'Participant reporting'!E429</f>
        <v>0</v>
      </c>
      <c r="F202">
        <f>'Participant reporting'!F429</f>
        <v>0</v>
      </c>
      <c r="G202">
        <f>'Participant reporting'!G429</f>
        <v>0</v>
      </c>
      <c r="H202">
        <f>'Participant reporting'!H429</f>
        <v>0</v>
      </c>
      <c r="I202">
        <f>'Participant reporting'!I429</f>
        <v>0</v>
      </c>
      <c r="J202">
        <f>'Participant reporting'!J429</f>
        <v>0</v>
      </c>
      <c r="K202">
        <f>'Participant reporting'!K429</f>
        <v>0</v>
      </c>
      <c r="L202">
        <f>'Participant reporting'!L429</f>
        <v>0</v>
      </c>
      <c r="M202">
        <f>'Participant reporting'!M429</f>
        <v>0</v>
      </c>
      <c r="N202">
        <f>'Participant reporting'!N429</f>
        <v>0</v>
      </c>
      <c r="O202">
        <f>'Participant reporting'!O429</f>
        <v>0</v>
      </c>
    </row>
    <row r="203" spans="1:15" x14ac:dyDescent="0.25">
      <c r="A203">
        <f>'Participant reporting'!A430</f>
        <v>0</v>
      </c>
      <c r="B203">
        <f>'Participant reporting'!B430</f>
        <v>0</v>
      </c>
      <c r="C203">
        <f>'Participant reporting'!C430</f>
        <v>0</v>
      </c>
      <c r="D203">
        <f>'Participant reporting'!D430</f>
        <v>0</v>
      </c>
      <c r="E203" s="15">
        <f>'Participant reporting'!E430</f>
        <v>0</v>
      </c>
      <c r="F203">
        <f>'Participant reporting'!F430</f>
        <v>0</v>
      </c>
      <c r="G203">
        <f>'Participant reporting'!G430</f>
        <v>0</v>
      </c>
      <c r="H203">
        <f>'Participant reporting'!H430</f>
        <v>0</v>
      </c>
      <c r="I203">
        <f>'Participant reporting'!I430</f>
        <v>0</v>
      </c>
      <c r="J203">
        <f>'Participant reporting'!J430</f>
        <v>0</v>
      </c>
      <c r="K203">
        <f>'Participant reporting'!K430</f>
        <v>0</v>
      </c>
      <c r="L203">
        <f>'Participant reporting'!L430</f>
        <v>0</v>
      </c>
      <c r="M203">
        <f>'Participant reporting'!M430</f>
        <v>0</v>
      </c>
      <c r="N203">
        <f>'Participant reporting'!N430</f>
        <v>0</v>
      </c>
      <c r="O203">
        <f>'Participant reporting'!O430</f>
        <v>0</v>
      </c>
    </row>
    <row r="204" spans="1:15" x14ac:dyDescent="0.25">
      <c r="A204">
        <f>'Participant reporting'!A431</f>
        <v>0</v>
      </c>
      <c r="B204">
        <f>'Participant reporting'!B431</f>
        <v>0</v>
      </c>
      <c r="C204">
        <f>'Participant reporting'!C431</f>
        <v>0</v>
      </c>
      <c r="D204">
        <f>'Participant reporting'!D431</f>
        <v>0</v>
      </c>
      <c r="E204" s="15">
        <f>'Participant reporting'!E431</f>
        <v>0</v>
      </c>
      <c r="F204">
        <f>'Participant reporting'!F431</f>
        <v>0</v>
      </c>
      <c r="G204">
        <f>'Participant reporting'!G431</f>
        <v>0</v>
      </c>
      <c r="H204">
        <f>'Participant reporting'!H431</f>
        <v>0</v>
      </c>
      <c r="I204">
        <f>'Participant reporting'!I431</f>
        <v>0</v>
      </c>
      <c r="J204">
        <f>'Participant reporting'!J431</f>
        <v>0</v>
      </c>
      <c r="K204">
        <f>'Participant reporting'!K431</f>
        <v>0</v>
      </c>
      <c r="L204">
        <f>'Participant reporting'!L431</f>
        <v>0</v>
      </c>
      <c r="M204">
        <f>'Participant reporting'!M431</f>
        <v>0</v>
      </c>
      <c r="N204">
        <f>'Participant reporting'!N431</f>
        <v>0</v>
      </c>
      <c r="O204">
        <f>'Participant reporting'!O431</f>
        <v>0</v>
      </c>
    </row>
    <row r="205" spans="1:15" x14ac:dyDescent="0.25">
      <c r="A205">
        <f>'Participant reporting'!A432</f>
        <v>0</v>
      </c>
      <c r="B205">
        <f>'Participant reporting'!B432</f>
        <v>0</v>
      </c>
      <c r="C205">
        <f>'Participant reporting'!C432</f>
        <v>0</v>
      </c>
      <c r="D205">
        <f>'Participant reporting'!D432</f>
        <v>0</v>
      </c>
      <c r="E205" s="15">
        <f>'Participant reporting'!E432</f>
        <v>0</v>
      </c>
      <c r="F205">
        <f>'Participant reporting'!F432</f>
        <v>0</v>
      </c>
      <c r="G205">
        <f>'Participant reporting'!G432</f>
        <v>0</v>
      </c>
      <c r="H205">
        <f>'Participant reporting'!H432</f>
        <v>0</v>
      </c>
      <c r="I205">
        <f>'Participant reporting'!I432</f>
        <v>0</v>
      </c>
      <c r="J205">
        <f>'Participant reporting'!J432</f>
        <v>0</v>
      </c>
      <c r="K205">
        <f>'Participant reporting'!K432</f>
        <v>0</v>
      </c>
      <c r="L205">
        <f>'Participant reporting'!L432</f>
        <v>0</v>
      </c>
      <c r="M205">
        <f>'Participant reporting'!M432</f>
        <v>0</v>
      </c>
      <c r="N205">
        <f>'Participant reporting'!N432</f>
        <v>0</v>
      </c>
      <c r="O205">
        <f>'Participant reporting'!O432</f>
        <v>0</v>
      </c>
    </row>
    <row r="206" spans="1:15" x14ac:dyDescent="0.25">
      <c r="A206">
        <f>'Participant reporting'!A433</f>
        <v>0</v>
      </c>
      <c r="B206">
        <f>'Participant reporting'!B433</f>
        <v>0</v>
      </c>
      <c r="C206">
        <f>'Participant reporting'!C433</f>
        <v>0</v>
      </c>
      <c r="D206">
        <f>'Participant reporting'!D433</f>
        <v>0</v>
      </c>
      <c r="E206" s="15">
        <f>'Participant reporting'!E433</f>
        <v>0</v>
      </c>
      <c r="F206">
        <f>'Participant reporting'!F433</f>
        <v>0</v>
      </c>
      <c r="G206">
        <f>'Participant reporting'!G433</f>
        <v>0</v>
      </c>
      <c r="H206">
        <f>'Participant reporting'!H433</f>
        <v>0</v>
      </c>
      <c r="I206">
        <f>'Participant reporting'!I433</f>
        <v>0</v>
      </c>
      <c r="J206">
        <f>'Participant reporting'!J433</f>
        <v>0</v>
      </c>
      <c r="K206">
        <f>'Participant reporting'!K433</f>
        <v>0</v>
      </c>
      <c r="L206">
        <f>'Participant reporting'!L433</f>
        <v>0</v>
      </c>
      <c r="M206">
        <f>'Participant reporting'!M433</f>
        <v>0</v>
      </c>
      <c r="N206">
        <f>'Participant reporting'!N433</f>
        <v>0</v>
      </c>
      <c r="O206">
        <f>'Participant reporting'!O433</f>
        <v>0</v>
      </c>
    </row>
    <row r="207" spans="1:15" x14ac:dyDescent="0.25">
      <c r="A207">
        <f>'Participant reporting'!A434</f>
        <v>0</v>
      </c>
      <c r="B207">
        <f>'Participant reporting'!B434</f>
        <v>0</v>
      </c>
      <c r="C207">
        <f>'Participant reporting'!C434</f>
        <v>0</v>
      </c>
      <c r="D207">
        <f>'Participant reporting'!D434</f>
        <v>0</v>
      </c>
      <c r="E207" s="15">
        <f>'Participant reporting'!E434</f>
        <v>0</v>
      </c>
      <c r="F207">
        <f>'Participant reporting'!F434</f>
        <v>0</v>
      </c>
      <c r="G207">
        <f>'Participant reporting'!G434</f>
        <v>0</v>
      </c>
      <c r="H207">
        <f>'Participant reporting'!H434</f>
        <v>0</v>
      </c>
      <c r="I207">
        <f>'Participant reporting'!I434</f>
        <v>0</v>
      </c>
      <c r="J207">
        <f>'Participant reporting'!J434</f>
        <v>0</v>
      </c>
      <c r="K207">
        <f>'Participant reporting'!K434</f>
        <v>0</v>
      </c>
      <c r="L207">
        <f>'Participant reporting'!L434</f>
        <v>0</v>
      </c>
      <c r="M207">
        <f>'Participant reporting'!M434</f>
        <v>0</v>
      </c>
      <c r="N207">
        <f>'Participant reporting'!N434</f>
        <v>0</v>
      </c>
      <c r="O207">
        <f>'Participant reporting'!O434</f>
        <v>0</v>
      </c>
    </row>
    <row r="208" spans="1:15" x14ac:dyDescent="0.25">
      <c r="A208">
        <f>'Participant reporting'!A435</f>
        <v>0</v>
      </c>
      <c r="B208">
        <f>'Participant reporting'!B435</f>
        <v>0</v>
      </c>
      <c r="C208">
        <f>'Participant reporting'!C435</f>
        <v>0</v>
      </c>
      <c r="D208">
        <f>'Participant reporting'!D435</f>
        <v>0</v>
      </c>
      <c r="E208" s="15">
        <f>'Participant reporting'!E435</f>
        <v>0</v>
      </c>
      <c r="F208">
        <f>'Participant reporting'!F435</f>
        <v>0</v>
      </c>
      <c r="G208">
        <f>'Participant reporting'!G435</f>
        <v>0</v>
      </c>
      <c r="H208">
        <f>'Participant reporting'!H435</f>
        <v>0</v>
      </c>
      <c r="I208">
        <f>'Participant reporting'!I435</f>
        <v>0</v>
      </c>
      <c r="J208">
        <f>'Participant reporting'!J435</f>
        <v>0</v>
      </c>
      <c r="K208">
        <f>'Participant reporting'!K435</f>
        <v>0</v>
      </c>
      <c r="L208">
        <f>'Participant reporting'!L435</f>
        <v>0</v>
      </c>
      <c r="M208">
        <f>'Participant reporting'!M435</f>
        <v>0</v>
      </c>
      <c r="N208">
        <f>'Participant reporting'!N435</f>
        <v>0</v>
      </c>
      <c r="O208">
        <f>'Participant reporting'!O435</f>
        <v>0</v>
      </c>
    </row>
    <row r="209" spans="1:15" x14ac:dyDescent="0.25">
      <c r="A209">
        <f>'Participant reporting'!A436</f>
        <v>0</v>
      </c>
      <c r="B209">
        <f>'Participant reporting'!B436</f>
        <v>0</v>
      </c>
      <c r="C209">
        <f>'Participant reporting'!C436</f>
        <v>0</v>
      </c>
      <c r="D209">
        <f>'Participant reporting'!D436</f>
        <v>0</v>
      </c>
      <c r="E209" s="15">
        <f>'Participant reporting'!E436</f>
        <v>0</v>
      </c>
      <c r="F209">
        <f>'Participant reporting'!F436</f>
        <v>0</v>
      </c>
      <c r="G209">
        <f>'Participant reporting'!G436</f>
        <v>0</v>
      </c>
      <c r="H209">
        <f>'Participant reporting'!H436</f>
        <v>0</v>
      </c>
      <c r="I209">
        <f>'Participant reporting'!I436</f>
        <v>0</v>
      </c>
      <c r="J209">
        <f>'Participant reporting'!J436</f>
        <v>0</v>
      </c>
      <c r="K209">
        <f>'Participant reporting'!K436</f>
        <v>0</v>
      </c>
      <c r="L209">
        <f>'Participant reporting'!L436</f>
        <v>0</v>
      </c>
      <c r="M209">
        <f>'Participant reporting'!M436</f>
        <v>0</v>
      </c>
      <c r="N209">
        <f>'Participant reporting'!N436</f>
        <v>0</v>
      </c>
      <c r="O209">
        <f>'Participant reporting'!O436</f>
        <v>0</v>
      </c>
    </row>
    <row r="210" spans="1:15" x14ac:dyDescent="0.25">
      <c r="A210">
        <f>'Participant reporting'!A437</f>
        <v>0</v>
      </c>
      <c r="B210">
        <f>'Participant reporting'!B437</f>
        <v>0</v>
      </c>
      <c r="C210">
        <f>'Participant reporting'!C437</f>
        <v>0</v>
      </c>
      <c r="D210">
        <f>'Participant reporting'!D437</f>
        <v>0</v>
      </c>
      <c r="E210" s="15">
        <f>'Participant reporting'!E437</f>
        <v>0</v>
      </c>
      <c r="F210">
        <f>'Participant reporting'!F437</f>
        <v>0</v>
      </c>
      <c r="G210">
        <f>'Participant reporting'!G437</f>
        <v>0</v>
      </c>
      <c r="H210">
        <f>'Participant reporting'!H437</f>
        <v>0</v>
      </c>
      <c r="I210">
        <f>'Participant reporting'!I437</f>
        <v>0</v>
      </c>
      <c r="J210">
        <f>'Participant reporting'!J437</f>
        <v>0</v>
      </c>
      <c r="K210">
        <f>'Participant reporting'!K437</f>
        <v>0</v>
      </c>
      <c r="L210">
        <f>'Participant reporting'!L437</f>
        <v>0</v>
      </c>
      <c r="M210">
        <f>'Participant reporting'!M437</f>
        <v>0</v>
      </c>
      <c r="N210">
        <f>'Participant reporting'!N437</f>
        <v>0</v>
      </c>
      <c r="O210">
        <f>'Participant reporting'!O437</f>
        <v>0</v>
      </c>
    </row>
    <row r="211" spans="1:15" x14ac:dyDescent="0.25">
      <c r="A211">
        <f>'Participant reporting'!A438</f>
        <v>0</v>
      </c>
      <c r="B211">
        <f>'Participant reporting'!B438</f>
        <v>0</v>
      </c>
      <c r="C211">
        <f>'Participant reporting'!C438</f>
        <v>0</v>
      </c>
      <c r="D211">
        <f>'Participant reporting'!D438</f>
        <v>0</v>
      </c>
      <c r="E211" s="15">
        <f>'Participant reporting'!E438</f>
        <v>0</v>
      </c>
      <c r="F211">
        <f>'Participant reporting'!F438</f>
        <v>0</v>
      </c>
      <c r="G211">
        <f>'Participant reporting'!G438</f>
        <v>0</v>
      </c>
      <c r="H211">
        <f>'Participant reporting'!H438</f>
        <v>0</v>
      </c>
      <c r="I211">
        <f>'Participant reporting'!I438</f>
        <v>0</v>
      </c>
      <c r="J211">
        <f>'Participant reporting'!J438</f>
        <v>0</v>
      </c>
      <c r="K211">
        <f>'Participant reporting'!K438</f>
        <v>0</v>
      </c>
      <c r="L211">
        <f>'Participant reporting'!L438</f>
        <v>0</v>
      </c>
      <c r="M211">
        <f>'Participant reporting'!M438</f>
        <v>0</v>
      </c>
      <c r="N211">
        <f>'Participant reporting'!N438</f>
        <v>0</v>
      </c>
      <c r="O211">
        <f>'Participant reporting'!O438</f>
        <v>0</v>
      </c>
    </row>
    <row r="212" spans="1:15" x14ac:dyDescent="0.25">
      <c r="A212">
        <f>'Participant reporting'!A439</f>
        <v>0</v>
      </c>
      <c r="B212">
        <f>'Participant reporting'!B439</f>
        <v>0</v>
      </c>
      <c r="C212">
        <f>'Participant reporting'!C439</f>
        <v>0</v>
      </c>
      <c r="D212">
        <f>'Participant reporting'!D439</f>
        <v>0</v>
      </c>
      <c r="E212" s="15">
        <f>'Participant reporting'!E439</f>
        <v>0</v>
      </c>
      <c r="F212">
        <f>'Participant reporting'!F439</f>
        <v>0</v>
      </c>
      <c r="G212">
        <f>'Participant reporting'!G439</f>
        <v>0</v>
      </c>
      <c r="H212">
        <f>'Participant reporting'!H439</f>
        <v>0</v>
      </c>
      <c r="I212">
        <f>'Participant reporting'!I439</f>
        <v>0</v>
      </c>
      <c r="J212">
        <f>'Participant reporting'!J439</f>
        <v>0</v>
      </c>
      <c r="K212">
        <f>'Participant reporting'!K439</f>
        <v>0</v>
      </c>
      <c r="L212">
        <f>'Participant reporting'!L439</f>
        <v>0</v>
      </c>
      <c r="M212">
        <f>'Participant reporting'!M439</f>
        <v>0</v>
      </c>
      <c r="N212">
        <f>'Participant reporting'!N439</f>
        <v>0</v>
      </c>
      <c r="O212">
        <f>'Participant reporting'!O439</f>
        <v>0</v>
      </c>
    </row>
    <row r="213" spans="1:15" x14ac:dyDescent="0.25">
      <c r="A213">
        <f>'Participant reporting'!A440</f>
        <v>0</v>
      </c>
      <c r="B213">
        <f>'Participant reporting'!B440</f>
        <v>0</v>
      </c>
      <c r="C213">
        <f>'Participant reporting'!C440</f>
        <v>0</v>
      </c>
      <c r="D213">
        <f>'Participant reporting'!D440</f>
        <v>0</v>
      </c>
      <c r="E213" s="15">
        <f>'Participant reporting'!E440</f>
        <v>0</v>
      </c>
      <c r="F213">
        <f>'Participant reporting'!F440</f>
        <v>0</v>
      </c>
      <c r="G213">
        <f>'Participant reporting'!G440</f>
        <v>0</v>
      </c>
      <c r="H213">
        <f>'Participant reporting'!H440</f>
        <v>0</v>
      </c>
      <c r="I213">
        <f>'Participant reporting'!I440</f>
        <v>0</v>
      </c>
      <c r="J213">
        <f>'Participant reporting'!J440</f>
        <v>0</v>
      </c>
      <c r="K213">
        <f>'Participant reporting'!K440</f>
        <v>0</v>
      </c>
      <c r="L213">
        <f>'Participant reporting'!L440</f>
        <v>0</v>
      </c>
      <c r="M213">
        <f>'Participant reporting'!M440</f>
        <v>0</v>
      </c>
      <c r="N213">
        <f>'Participant reporting'!N440</f>
        <v>0</v>
      </c>
      <c r="O213">
        <f>'Participant reporting'!O440</f>
        <v>0</v>
      </c>
    </row>
    <row r="214" spans="1:15" x14ac:dyDescent="0.25">
      <c r="A214">
        <f>'Participant reporting'!A441</f>
        <v>0</v>
      </c>
      <c r="B214">
        <f>'Participant reporting'!B441</f>
        <v>0</v>
      </c>
      <c r="C214">
        <f>'Participant reporting'!C441</f>
        <v>0</v>
      </c>
      <c r="D214">
        <f>'Participant reporting'!D441</f>
        <v>0</v>
      </c>
      <c r="E214" s="15">
        <f>'Participant reporting'!E441</f>
        <v>0</v>
      </c>
      <c r="F214">
        <f>'Participant reporting'!F441</f>
        <v>0</v>
      </c>
      <c r="G214">
        <f>'Participant reporting'!G441</f>
        <v>0</v>
      </c>
      <c r="H214">
        <f>'Participant reporting'!H441</f>
        <v>0</v>
      </c>
      <c r="I214">
        <f>'Participant reporting'!I441</f>
        <v>0</v>
      </c>
      <c r="J214">
        <f>'Participant reporting'!J441</f>
        <v>0</v>
      </c>
      <c r="K214">
        <f>'Participant reporting'!K441</f>
        <v>0</v>
      </c>
      <c r="L214">
        <f>'Participant reporting'!L441</f>
        <v>0</v>
      </c>
      <c r="M214">
        <f>'Participant reporting'!M441</f>
        <v>0</v>
      </c>
      <c r="N214">
        <f>'Participant reporting'!N441</f>
        <v>0</v>
      </c>
      <c r="O214">
        <f>'Participant reporting'!O441</f>
        <v>0</v>
      </c>
    </row>
    <row r="215" spans="1:15" x14ac:dyDescent="0.25">
      <c r="A215">
        <f>'Participant reporting'!A442</f>
        <v>0</v>
      </c>
      <c r="B215">
        <f>'Participant reporting'!B442</f>
        <v>0</v>
      </c>
      <c r="C215">
        <f>'Participant reporting'!C442</f>
        <v>0</v>
      </c>
      <c r="D215">
        <f>'Participant reporting'!D442</f>
        <v>0</v>
      </c>
      <c r="E215" s="15">
        <f>'Participant reporting'!E442</f>
        <v>0</v>
      </c>
      <c r="F215">
        <f>'Participant reporting'!F442</f>
        <v>0</v>
      </c>
      <c r="G215">
        <f>'Participant reporting'!G442</f>
        <v>0</v>
      </c>
      <c r="H215">
        <f>'Participant reporting'!H442</f>
        <v>0</v>
      </c>
      <c r="I215">
        <f>'Participant reporting'!I442</f>
        <v>0</v>
      </c>
      <c r="J215">
        <f>'Participant reporting'!J442</f>
        <v>0</v>
      </c>
      <c r="K215">
        <f>'Participant reporting'!K442</f>
        <v>0</v>
      </c>
      <c r="L215">
        <f>'Participant reporting'!L442</f>
        <v>0</v>
      </c>
      <c r="M215">
        <f>'Participant reporting'!M442</f>
        <v>0</v>
      </c>
      <c r="N215">
        <f>'Participant reporting'!N442</f>
        <v>0</v>
      </c>
      <c r="O215">
        <f>'Participant reporting'!O442</f>
        <v>0</v>
      </c>
    </row>
    <row r="216" spans="1:15" x14ac:dyDescent="0.25">
      <c r="A216">
        <f>'Participant reporting'!A443</f>
        <v>0</v>
      </c>
      <c r="B216">
        <f>'Participant reporting'!B443</f>
        <v>0</v>
      </c>
      <c r="C216">
        <f>'Participant reporting'!C443</f>
        <v>0</v>
      </c>
      <c r="D216">
        <f>'Participant reporting'!D443</f>
        <v>0</v>
      </c>
      <c r="E216" s="15">
        <f>'Participant reporting'!E443</f>
        <v>0</v>
      </c>
      <c r="F216">
        <f>'Participant reporting'!F443</f>
        <v>0</v>
      </c>
      <c r="G216">
        <f>'Participant reporting'!G443</f>
        <v>0</v>
      </c>
      <c r="H216">
        <f>'Participant reporting'!H443</f>
        <v>0</v>
      </c>
      <c r="I216">
        <f>'Participant reporting'!I443</f>
        <v>0</v>
      </c>
      <c r="J216">
        <f>'Participant reporting'!J443</f>
        <v>0</v>
      </c>
      <c r="K216">
        <f>'Participant reporting'!K443</f>
        <v>0</v>
      </c>
      <c r="L216">
        <f>'Participant reporting'!L443</f>
        <v>0</v>
      </c>
      <c r="M216">
        <f>'Participant reporting'!M443</f>
        <v>0</v>
      </c>
      <c r="N216">
        <f>'Participant reporting'!N443</f>
        <v>0</v>
      </c>
      <c r="O216">
        <f>'Participant reporting'!O443</f>
        <v>0</v>
      </c>
    </row>
    <row r="217" spans="1:15" x14ac:dyDescent="0.25">
      <c r="A217">
        <f>'Participant reporting'!A444</f>
        <v>0</v>
      </c>
      <c r="B217">
        <f>'Participant reporting'!B444</f>
        <v>0</v>
      </c>
      <c r="C217">
        <f>'Participant reporting'!C444</f>
        <v>0</v>
      </c>
      <c r="D217">
        <f>'Participant reporting'!D444</f>
        <v>0</v>
      </c>
      <c r="E217" s="15">
        <f>'Participant reporting'!E444</f>
        <v>0</v>
      </c>
      <c r="F217">
        <f>'Participant reporting'!F444</f>
        <v>0</v>
      </c>
      <c r="G217">
        <f>'Participant reporting'!G444</f>
        <v>0</v>
      </c>
      <c r="H217">
        <f>'Participant reporting'!H444</f>
        <v>0</v>
      </c>
      <c r="I217">
        <f>'Participant reporting'!I444</f>
        <v>0</v>
      </c>
      <c r="J217">
        <f>'Participant reporting'!J444</f>
        <v>0</v>
      </c>
      <c r="K217">
        <f>'Participant reporting'!K444</f>
        <v>0</v>
      </c>
      <c r="L217">
        <f>'Participant reporting'!L444</f>
        <v>0</v>
      </c>
      <c r="M217">
        <f>'Participant reporting'!M444</f>
        <v>0</v>
      </c>
      <c r="N217">
        <f>'Participant reporting'!N444</f>
        <v>0</v>
      </c>
      <c r="O217">
        <f>'Participant reporting'!O444</f>
        <v>0</v>
      </c>
    </row>
    <row r="218" spans="1:15" x14ac:dyDescent="0.25">
      <c r="A218">
        <f>'Participant reporting'!A445</f>
        <v>0</v>
      </c>
      <c r="B218">
        <f>'Participant reporting'!B445</f>
        <v>0</v>
      </c>
      <c r="C218">
        <f>'Participant reporting'!C445</f>
        <v>0</v>
      </c>
      <c r="D218">
        <f>'Participant reporting'!D445</f>
        <v>0</v>
      </c>
      <c r="E218" s="15">
        <f>'Participant reporting'!E445</f>
        <v>0</v>
      </c>
      <c r="F218">
        <f>'Participant reporting'!F445</f>
        <v>0</v>
      </c>
      <c r="G218">
        <f>'Participant reporting'!G445</f>
        <v>0</v>
      </c>
      <c r="H218">
        <f>'Participant reporting'!H445</f>
        <v>0</v>
      </c>
      <c r="I218">
        <f>'Participant reporting'!I445</f>
        <v>0</v>
      </c>
      <c r="J218">
        <f>'Participant reporting'!J445</f>
        <v>0</v>
      </c>
      <c r="K218">
        <f>'Participant reporting'!K445</f>
        <v>0</v>
      </c>
      <c r="L218">
        <f>'Participant reporting'!L445</f>
        <v>0</v>
      </c>
      <c r="M218">
        <f>'Participant reporting'!M445</f>
        <v>0</v>
      </c>
      <c r="N218">
        <f>'Participant reporting'!N445</f>
        <v>0</v>
      </c>
      <c r="O218">
        <f>'Participant reporting'!O445</f>
        <v>0</v>
      </c>
    </row>
    <row r="219" spans="1:15" x14ac:dyDescent="0.25">
      <c r="A219">
        <f>'Participant reporting'!A446</f>
        <v>0</v>
      </c>
      <c r="B219">
        <f>'Participant reporting'!B446</f>
        <v>0</v>
      </c>
      <c r="C219">
        <f>'Participant reporting'!C446</f>
        <v>0</v>
      </c>
      <c r="D219">
        <f>'Participant reporting'!D446</f>
        <v>0</v>
      </c>
      <c r="E219" s="15">
        <f>'Participant reporting'!E446</f>
        <v>0</v>
      </c>
      <c r="F219">
        <f>'Participant reporting'!F446</f>
        <v>0</v>
      </c>
      <c r="G219">
        <f>'Participant reporting'!G446</f>
        <v>0</v>
      </c>
      <c r="H219">
        <f>'Participant reporting'!H446</f>
        <v>0</v>
      </c>
      <c r="I219">
        <f>'Participant reporting'!I446</f>
        <v>0</v>
      </c>
      <c r="J219">
        <f>'Participant reporting'!J446</f>
        <v>0</v>
      </c>
      <c r="K219">
        <f>'Participant reporting'!K446</f>
        <v>0</v>
      </c>
      <c r="L219">
        <f>'Participant reporting'!L446</f>
        <v>0</v>
      </c>
      <c r="M219">
        <f>'Participant reporting'!M446</f>
        <v>0</v>
      </c>
      <c r="N219">
        <f>'Participant reporting'!N446</f>
        <v>0</v>
      </c>
      <c r="O219">
        <f>'Participant reporting'!O446</f>
        <v>0</v>
      </c>
    </row>
    <row r="220" spans="1:15" x14ac:dyDescent="0.25">
      <c r="A220">
        <f>'Participant reporting'!A447</f>
        <v>0</v>
      </c>
      <c r="B220">
        <f>'Participant reporting'!B447</f>
        <v>0</v>
      </c>
      <c r="C220">
        <f>'Participant reporting'!C447</f>
        <v>0</v>
      </c>
      <c r="D220">
        <f>'Participant reporting'!D447</f>
        <v>0</v>
      </c>
      <c r="E220" s="15">
        <f>'Participant reporting'!E447</f>
        <v>0</v>
      </c>
      <c r="F220">
        <f>'Participant reporting'!F447</f>
        <v>0</v>
      </c>
      <c r="G220">
        <f>'Participant reporting'!G447</f>
        <v>0</v>
      </c>
      <c r="H220">
        <f>'Participant reporting'!H447</f>
        <v>0</v>
      </c>
      <c r="I220">
        <f>'Participant reporting'!I447</f>
        <v>0</v>
      </c>
      <c r="J220">
        <f>'Participant reporting'!J447</f>
        <v>0</v>
      </c>
      <c r="K220">
        <f>'Participant reporting'!K447</f>
        <v>0</v>
      </c>
      <c r="L220">
        <f>'Participant reporting'!L447</f>
        <v>0</v>
      </c>
      <c r="M220">
        <f>'Participant reporting'!M447</f>
        <v>0</v>
      </c>
      <c r="N220">
        <f>'Participant reporting'!N447</f>
        <v>0</v>
      </c>
      <c r="O220">
        <f>'Participant reporting'!O447</f>
        <v>0</v>
      </c>
    </row>
    <row r="221" spans="1:15" x14ac:dyDescent="0.25">
      <c r="A221">
        <f>'Participant reporting'!A448</f>
        <v>0</v>
      </c>
      <c r="B221">
        <f>'Participant reporting'!B448</f>
        <v>0</v>
      </c>
      <c r="C221">
        <f>'Participant reporting'!C448</f>
        <v>0</v>
      </c>
      <c r="D221">
        <f>'Participant reporting'!D448</f>
        <v>0</v>
      </c>
      <c r="E221" s="15">
        <f>'Participant reporting'!E448</f>
        <v>0</v>
      </c>
      <c r="F221">
        <f>'Participant reporting'!F448</f>
        <v>0</v>
      </c>
      <c r="G221">
        <f>'Participant reporting'!G448</f>
        <v>0</v>
      </c>
      <c r="H221">
        <f>'Participant reporting'!H448</f>
        <v>0</v>
      </c>
      <c r="I221">
        <f>'Participant reporting'!I448</f>
        <v>0</v>
      </c>
      <c r="J221">
        <f>'Participant reporting'!J448</f>
        <v>0</v>
      </c>
      <c r="K221">
        <f>'Participant reporting'!K448</f>
        <v>0</v>
      </c>
      <c r="L221">
        <f>'Participant reporting'!L448</f>
        <v>0</v>
      </c>
      <c r="M221">
        <f>'Participant reporting'!M448</f>
        <v>0</v>
      </c>
      <c r="N221">
        <f>'Participant reporting'!N448</f>
        <v>0</v>
      </c>
      <c r="O221">
        <f>'Participant reporting'!O448</f>
        <v>0</v>
      </c>
    </row>
    <row r="222" spans="1:15" x14ac:dyDescent="0.25">
      <c r="A222">
        <f>'Participant reporting'!A449</f>
        <v>0</v>
      </c>
      <c r="B222">
        <f>'Participant reporting'!B449</f>
        <v>0</v>
      </c>
      <c r="C222">
        <f>'Participant reporting'!C449</f>
        <v>0</v>
      </c>
      <c r="D222">
        <f>'Participant reporting'!D449</f>
        <v>0</v>
      </c>
      <c r="E222" s="15">
        <f>'Participant reporting'!E449</f>
        <v>0</v>
      </c>
      <c r="F222">
        <f>'Participant reporting'!F449</f>
        <v>0</v>
      </c>
      <c r="G222">
        <f>'Participant reporting'!G449</f>
        <v>0</v>
      </c>
      <c r="H222">
        <f>'Participant reporting'!H449</f>
        <v>0</v>
      </c>
      <c r="I222">
        <f>'Participant reporting'!I449</f>
        <v>0</v>
      </c>
      <c r="J222">
        <f>'Participant reporting'!J449</f>
        <v>0</v>
      </c>
      <c r="K222">
        <f>'Participant reporting'!K449</f>
        <v>0</v>
      </c>
      <c r="L222">
        <f>'Participant reporting'!L449</f>
        <v>0</v>
      </c>
      <c r="M222">
        <f>'Participant reporting'!M449</f>
        <v>0</v>
      </c>
      <c r="N222">
        <f>'Participant reporting'!N449</f>
        <v>0</v>
      </c>
      <c r="O222">
        <f>'Participant reporting'!O449</f>
        <v>0</v>
      </c>
    </row>
    <row r="223" spans="1:15" x14ac:dyDescent="0.25">
      <c r="A223">
        <f>'Participant reporting'!A450</f>
        <v>0</v>
      </c>
      <c r="B223">
        <f>'Participant reporting'!B450</f>
        <v>0</v>
      </c>
      <c r="C223">
        <f>'Participant reporting'!C450</f>
        <v>0</v>
      </c>
      <c r="D223">
        <f>'Participant reporting'!D450</f>
        <v>0</v>
      </c>
      <c r="E223" s="15">
        <f>'Participant reporting'!E450</f>
        <v>0</v>
      </c>
      <c r="F223">
        <f>'Participant reporting'!F450</f>
        <v>0</v>
      </c>
      <c r="G223">
        <f>'Participant reporting'!G450</f>
        <v>0</v>
      </c>
      <c r="H223">
        <f>'Participant reporting'!H450</f>
        <v>0</v>
      </c>
      <c r="I223">
        <f>'Participant reporting'!I450</f>
        <v>0</v>
      </c>
      <c r="J223">
        <f>'Participant reporting'!J450</f>
        <v>0</v>
      </c>
      <c r="K223">
        <f>'Participant reporting'!K450</f>
        <v>0</v>
      </c>
      <c r="L223">
        <f>'Participant reporting'!L450</f>
        <v>0</v>
      </c>
      <c r="M223">
        <f>'Participant reporting'!M450</f>
        <v>0</v>
      </c>
      <c r="N223">
        <f>'Participant reporting'!N450</f>
        <v>0</v>
      </c>
      <c r="O223">
        <f>'Participant reporting'!O450</f>
        <v>0</v>
      </c>
    </row>
    <row r="224" spans="1:15" x14ac:dyDescent="0.25">
      <c r="A224">
        <f>'Participant reporting'!A451</f>
        <v>0</v>
      </c>
      <c r="B224">
        <f>'Participant reporting'!B451</f>
        <v>0</v>
      </c>
      <c r="C224">
        <f>'Participant reporting'!C451</f>
        <v>0</v>
      </c>
      <c r="D224">
        <f>'Participant reporting'!D451</f>
        <v>0</v>
      </c>
      <c r="E224" s="15">
        <f>'Participant reporting'!E451</f>
        <v>0</v>
      </c>
      <c r="F224">
        <f>'Participant reporting'!F451</f>
        <v>0</v>
      </c>
      <c r="G224">
        <f>'Participant reporting'!G451</f>
        <v>0</v>
      </c>
      <c r="H224">
        <f>'Participant reporting'!H451</f>
        <v>0</v>
      </c>
      <c r="I224">
        <f>'Participant reporting'!I451</f>
        <v>0</v>
      </c>
      <c r="J224">
        <f>'Participant reporting'!J451</f>
        <v>0</v>
      </c>
      <c r="K224">
        <f>'Participant reporting'!K451</f>
        <v>0</v>
      </c>
      <c r="L224">
        <f>'Participant reporting'!L451</f>
        <v>0</v>
      </c>
      <c r="M224">
        <f>'Participant reporting'!M451</f>
        <v>0</v>
      </c>
      <c r="N224">
        <f>'Participant reporting'!N451</f>
        <v>0</v>
      </c>
      <c r="O224">
        <f>'Participant reporting'!O451</f>
        <v>0</v>
      </c>
    </row>
    <row r="225" spans="1:15" x14ac:dyDescent="0.25">
      <c r="A225">
        <f>'Participant reporting'!A452</f>
        <v>0</v>
      </c>
      <c r="B225">
        <f>'Participant reporting'!B452</f>
        <v>0</v>
      </c>
      <c r="C225">
        <f>'Participant reporting'!C452</f>
        <v>0</v>
      </c>
      <c r="D225">
        <f>'Participant reporting'!D452</f>
        <v>0</v>
      </c>
      <c r="E225" s="15">
        <f>'Participant reporting'!E452</f>
        <v>0</v>
      </c>
      <c r="F225">
        <f>'Participant reporting'!F452</f>
        <v>0</v>
      </c>
      <c r="G225">
        <f>'Participant reporting'!G452</f>
        <v>0</v>
      </c>
      <c r="H225">
        <f>'Participant reporting'!H452</f>
        <v>0</v>
      </c>
      <c r="I225">
        <f>'Participant reporting'!I452</f>
        <v>0</v>
      </c>
      <c r="J225">
        <f>'Participant reporting'!J452</f>
        <v>0</v>
      </c>
      <c r="K225">
        <f>'Participant reporting'!K452</f>
        <v>0</v>
      </c>
      <c r="L225">
        <f>'Participant reporting'!L452</f>
        <v>0</v>
      </c>
      <c r="M225">
        <f>'Participant reporting'!M452</f>
        <v>0</v>
      </c>
      <c r="N225">
        <f>'Participant reporting'!N452</f>
        <v>0</v>
      </c>
      <c r="O225">
        <f>'Participant reporting'!O452</f>
        <v>0</v>
      </c>
    </row>
    <row r="226" spans="1:15" x14ac:dyDescent="0.25">
      <c r="A226">
        <f>'Participant reporting'!A453</f>
        <v>0</v>
      </c>
      <c r="B226">
        <f>'Participant reporting'!B453</f>
        <v>0</v>
      </c>
      <c r="C226">
        <f>'Participant reporting'!C453</f>
        <v>0</v>
      </c>
      <c r="D226">
        <f>'Participant reporting'!D453</f>
        <v>0</v>
      </c>
      <c r="E226" s="15">
        <f>'Participant reporting'!E453</f>
        <v>0</v>
      </c>
      <c r="F226">
        <f>'Participant reporting'!F453</f>
        <v>0</v>
      </c>
      <c r="G226">
        <f>'Participant reporting'!G453</f>
        <v>0</v>
      </c>
      <c r="H226">
        <f>'Participant reporting'!H453</f>
        <v>0</v>
      </c>
      <c r="I226">
        <f>'Participant reporting'!I453</f>
        <v>0</v>
      </c>
      <c r="J226">
        <f>'Participant reporting'!J453</f>
        <v>0</v>
      </c>
      <c r="K226">
        <f>'Participant reporting'!K453</f>
        <v>0</v>
      </c>
      <c r="L226">
        <f>'Participant reporting'!L453</f>
        <v>0</v>
      </c>
      <c r="M226">
        <f>'Participant reporting'!M453</f>
        <v>0</v>
      </c>
      <c r="N226">
        <f>'Participant reporting'!N453</f>
        <v>0</v>
      </c>
      <c r="O226">
        <f>'Participant reporting'!O453</f>
        <v>0</v>
      </c>
    </row>
    <row r="227" spans="1:15" x14ac:dyDescent="0.25">
      <c r="A227">
        <f>'Participant reporting'!A454</f>
        <v>0</v>
      </c>
      <c r="B227">
        <f>'Participant reporting'!B454</f>
        <v>0</v>
      </c>
      <c r="C227">
        <f>'Participant reporting'!C454</f>
        <v>0</v>
      </c>
      <c r="D227">
        <f>'Participant reporting'!D454</f>
        <v>0</v>
      </c>
      <c r="E227" s="15">
        <f>'Participant reporting'!E454</f>
        <v>0</v>
      </c>
      <c r="F227">
        <f>'Participant reporting'!F454</f>
        <v>0</v>
      </c>
      <c r="G227">
        <f>'Participant reporting'!G454</f>
        <v>0</v>
      </c>
      <c r="H227">
        <f>'Participant reporting'!H454</f>
        <v>0</v>
      </c>
      <c r="I227">
        <f>'Participant reporting'!I454</f>
        <v>0</v>
      </c>
      <c r="J227">
        <f>'Participant reporting'!J454</f>
        <v>0</v>
      </c>
      <c r="K227">
        <f>'Participant reporting'!K454</f>
        <v>0</v>
      </c>
      <c r="L227">
        <f>'Participant reporting'!L454</f>
        <v>0</v>
      </c>
      <c r="M227">
        <f>'Participant reporting'!M454</f>
        <v>0</v>
      </c>
      <c r="N227">
        <f>'Participant reporting'!N454</f>
        <v>0</v>
      </c>
      <c r="O227">
        <f>'Participant reporting'!O454</f>
        <v>0</v>
      </c>
    </row>
    <row r="228" spans="1:15" x14ac:dyDescent="0.25">
      <c r="A228">
        <f>'Participant reporting'!A455</f>
        <v>0</v>
      </c>
      <c r="B228">
        <f>'Participant reporting'!B455</f>
        <v>0</v>
      </c>
      <c r="C228">
        <f>'Participant reporting'!C455</f>
        <v>0</v>
      </c>
      <c r="D228">
        <f>'Participant reporting'!D455</f>
        <v>0</v>
      </c>
      <c r="E228" s="15">
        <f>'Participant reporting'!E455</f>
        <v>0</v>
      </c>
      <c r="F228">
        <f>'Participant reporting'!F455</f>
        <v>0</v>
      </c>
      <c r="G228">
        <f>'Participant reporting'!G455</f>
        <v>0</v>
      </c>
      <c r="H228">
        <f>'Participant reporting'!H455</f>
        <v>0</v>
      </c>
      <c r="I228">
        <f>'Participant reporting'!I455</f>
        <v>0</v>
      </c>
      <c r="J228">
        <f>'Participant reporting'!J455</f>
        <v>0</v>
      </c>
      <c r="K228">
        <f>'Participant reporting'!K455</f>
        <v>0</v>
      </c>
      <c r="L228">
        <f>'Participant reporting'!L455</f>
        <v>0</v>
      </c>
      <c r="M228">
        <f>'Participant reporting'!M455</f>
        <v>0</v>
      </c>
      <c r="N228">
        <f>'Participant reporting'!N455</f>
        <v>0</v>
      </c>
      <c r="O228">
        <f>'Participant reporting'!O455</f>
        <v>0</v>
      </c>
    </row>
    <row r="229" spans="1:15" x14ac:dyDescent="0.25">
      <c r="A229">
        <f>'Participant reporting'!A456</f>
        <v>0</v>
      </c>
      <c r="B229">
        <f>'Participant reporting'!B456</f>
        <v>0</v>
      </c>
      <c r="C229">
        <f>'Participant reporting'!C456</f>
        <v>0</v>
      </c>
      <c r="D229">
        <f>'Participant reporting'!D456</f>
        <v>0</v>
      </c>
      <c r="E229" s="15">
        <f>'Participant reporting'!E456</f>
        <v>0</v>
      </c>
      <c r="F229">
        <f>'Participant reporting'!F456</f>
        <v>0</v>
      </c>
      <c r="G229">
        <f>'Participant reporting'!G456</f>
        <v>0</v>
      </c>
      <c r="H229">
        <f>'Participant reporting'!H456</f>
        <v>0</v>
      </c>
      <c r="I229">
        <f>'Participant reporting'!I456</f>
        <v>0</v>
      </c>
      <c r="J229">
        <f>'Participant reporting'!J456</f>
        <v>0</v>
      </c>
      <c r="K229">
        <f>'Participant reporting'!K456</f>
        <v>0</v>
      </c>
      <c r="L229">
        <f>'Participant reporting'!L456</f>
        <v>0</v>
      </c>
      <c r="M229">
        <f>'Participant reporting'!M456</f>
        <v>0</v>
      </c>
      <c r="N229">
        <f>'Participant reporting'!N456</f>
        <v>0</v>
      </c>
      <c r="O229">
        <f>'Participant reporting'!O456</f>
        <v>0</v>
      </c>
    </row>
    <row r="230" spans="1:15" x14ac:dyDescent="0.25">
      <c r="A230">
        <f>'Participant reporting'!A457</f>
        <v>0</v>
      </c>
      <c r="B230">
        <f>'Participant reporting'!B457</f>
        <v>0</v>
      </c>
      <c r="C230">
        <f>'Participant reporting'!C457</f>
        <v>0</v>
      </c>
      <c r="D230">
        <f>'Participant reporting'!D457</f>
        <v>0</v>
      </c>
      <c r="E230" s="15">
        <f>'Participant reporting'!E457</f>
        <v>0</v>
      </c>
      <c r="F230">
        <f>'Participant reporting'!F457</f>
        <v>0</v>
      </c>
      <c r="G230">
        <f>'Participant reporting'!G457</f>
        <v>0</v>
      </c>
      <c r="H230">
        <f>'Participant reporting'!H457</f>
        <v>0</v>
      </c>
      <c r="I230">
        <f>'Participant reporting'!I457</f>
        <v>0</v>
      </c>
      <c r="J230">
        <f>'Participant reporting'!J457</f>
        <v>0</v>
      </c>
      <c r="K230">
        <f>'Participant reporting'!K457</f>
        <v>0</v>
      </c>
      <c r="L230">
        <f>'Participant reporting'!L457</f>
        <v>0</v>
      </c>
      <c r="M230">
        <f>'Participant reporting'!M457</f>
        <v>0</v>
      </c>
      <c r="N230">
        <f>'Participant reporting'!N457</f>
        <v>0</v>
      </c>
      <c r="O230">
        <f>'Participant reporting'!O457</f>
        <v>0</v>
      </c>
    </row>
    <row r="231" spans="1:15" x14ac:dyDescent="0.25">
      <c r="A231">
        <f>'Participant reporting'!A458</f>
        <v>0</v>
      </c>
      <c r="B231">
        <f>'Participant reporting'!B458</f>
        <v>0</v>
      </c>
      <c r="C231">
        <f>'Participant reporting'!C458</f>
        <v>0</v>
      </c>
      <c r="D231">
        <f>'Participant reporting'!D458</f>
        <v>0</v>
      </c>
      <c r="E231" s="15">
        <f>'Participant reporting'!E458</f>
        <v>0</v>
      </c>
      <c r="F231">
        <f>'Participant reporting'!F458</f>
        <v>0</v>
      </c>
      <c r="G231">
        <f>'Participant reporting'!G458</f>
        <v>0</v>
      </c>
      <c r="H231">
        <f>'Participant reporting'!H458</f>
        <v>0</v>
      </c>
      <c r="I231">
        <f>'Participant reporting'!I458</f>
        <v>0</v>
      </c>
      <c r="J231">
        <f>'Participant reporting'!J458</f>
        <v>0</v>
      </c>
      <c r="K231">
        <f>'Participant reporting'!K458</f>
        <v>0</v>
      </c>
      <c r="L231">
        <f>'Participant reporting'!L458</f>
        <v>0</v>
      </c>
      <c r="M231">
        <f>'Participant reporting'!M458</f>
        <v>0</v>
      </c>
      <c r="N231">
        <f>'Participant reporting'!N458</f>
        <v>0</v>
      </c>
      <c r="O231">
        <f>'Participant reporting'!O458</f>
        <v>0</v>
      </c>
    </row>
    <row r="232" spans="1:15" x14ac:dyDescent="0.25">
      <c r="A232">
        <f>'Participant reporting'!A459</f>
        <v>0</v>
      </c>
      <c r="B232">
        <f>'Participant reporting'!B459</f>
        <v>0</v>
      </c>
      <c r="C232">
        <f>'Participant reporting'!C459</f>
        <v>0</v>
      </c>
      <c r="D232">
        <f>'Participant reporting'!D459</f>
        <v>0</v>
      </c>
      <c r="E232" s="15">
        <f>'Participant reporting'!E459</f>
        <v>0</v>
      </c>
      <c r="F232">
        <f>'Participant reporting'!F459</f>
        <v>0</v>
      </c>
      <c r="G232">
        <f>'Participant reporting'!G459</f>
        <v>0</v>
      </c>
      <c r="H232">
        <f>'Participant reporting'!H459</f>
        <v>0</v>
      </c>
      <c r="I232">
        <f>'Participant reporting'!I459</f>
        <v>0</v>
      </c>
      <c r="J232">
        <f>'Participant reporting'!J459</f>
        <v>0</v>
      </c>
      <c r="K232">
        <f>'Participant reporting'!K459</f>
        <v>0</v>
      </c>
      <c r="L232">
        <f>'Participant reporting'!L459</f>
        <v>0</v>
      </c>
      <c r="M232">
        <f>'Participant reporting'!M459</f>
        <v>0</v>
      </c>
      <c r="N232">
        <f>'Participant reporting'!N459</f>
        <v>0</v>
      </c>
      <c r="O232">
        <f>'Participant reporting'!O459</f>
        <v>0</v>
      </c>
    </row>
    <row r="233" spans="1:15" x14ac:dyDescent="0.25">
      <c r="A233">
        <f>'Participant reporting'!A460</f>
        <v>0</v>
      </c>
      <c r="B233">
        <f>'Participant reporting'!B460</f>
        <v>0</v>
      </c>
      <c r="C233">
        <f>'Participant reporting'!C460</f>
        <v>0</v>
      </c>
      <c r="D233">
        <f>'Participant reporting'!D460</f>
        <v>0</v>
      </c>
      <c r="E233" s="15">
        <f>'Participant reporting'!E460</f>
        <v>0</v>
      </c>
      <c r="F233">
        <f>'Participant reporting'!F460</f>
        <v>0</v>
      </c>
      <c r="G233">
        <f>'Participant reporting'!G460</f>
        <v>0</v>
      </c>
      <c r="H233">
        <f>'Participant reporting'!H460</f>
        <v>0</v>
      </c>
      <c r="I233">
        <f>'Participant reporting'!I460</f>
        <v>0</v>
      </c>
      <c r="J233">
        <f>'Participant reporting'!J460</f>
        <v>0</v>
      </c>
      <c r="K233">
        <f>'Participant reporting'!K460</f>
        <v>0</v>
      </c>
      <c r="L233">
        <f>'Participant reporting'!L460</f>
        <v>0</v>
      </c>
      <c r="M233">
        <f>'Participant reporting'!M460</f>
        <v>0</v>
      </c>
      <c r="N233">
        <f>'Participant reporting'!N460</f>
        <v>0</v>
      </c>
      <c r="O233">
        <f>'Participant reporting'!O460</f>
        <v>0</v>
      </c>
    </row>
    <row r="234" spans="1:15" x14ac:dyDescent="0.25">
      <c r="A234">
        <f>'Participant reporting'!A461</f>
        <v>0</v>
      </c>
      <c r="B234">
        <f>'Participant reporting'!B461</f>
        <v>0</v>
      </c>
      <c r="C234">
        <f>'Participant reporting'!C461</f>
        <v>0</v>
      </c>
      <c r="D234">
        <f>'Participant reporting'!D461</f>
        <v>0</v>
      </c>
      <c r="E234" s="15">
        <f>'Participant reporting'!E461</f>
        <v>0</v>
      </c>
      <c r="F234">
        <f>'Participant reporting'!F461</f>
        <v>0</v>
      </c>
      <c r="G234">
        <f>'Participant reporting'!G461</f>
        <v>0</v>
      </c>
      <c r="H234">
        <f>'Participant reporting'!H461</f>
        <v>0</v>
      </c>
      <c r="I234">
        <f>'Participant reporting'!I461</f>
        <v>0</v>
      </c>
      <c r="J234">
        <f>'Participant reporting'!J461</f>
        <v>0</v>
      </c>
      <c r="K234">
        <f>'Participant reporting'!K461</f>
        <v>0</v>
      </c>
      <c r="L234">
        <f>'Participant reporting'!L461</f>
        <v>0</v>
      </c>
      <c r="M234">
        <f>'Participant reporting'!M461</f>
        <v>0</v>
      </c>
      <c r="N234">
        <f>'Participant reporting'!N461</f>
        <v>0</v>
      </c>
      <c r="O234">
        <f>'Participant reporting'!O461</f>
        <v>0</v>
      </c>
    </row>
    <row r="235" spans="1:15" x14ac:dyDescent="0.25">
      <c r="A235">
        <f>'Participant reporting'!A462</f>
        <v>0</v>
      </c>
      <c r="B235">
        <f>'Participant reporting'!B462</f>
        <v>0</v>
      </c>
      <c r="C235">
        <f>'Participant reporting'!C462</f>
        <v>0</v>
      </c>
      <c r="D235">
        <f>'Participant reporting'!D462</f>
        <v>0</v>
      </c>
      <c r="E235" s="15">
        <f>'Participant reporting'!E462</f>
        <v>0</v>
      </c>
      <c r="F235">
        <f>'Participant reporting'!F462</f>
        <v>0</v>
      </c>
      <c r="G235">
        <f>'Participant reporting'!G462</f>
        <v>0</v>
      </c>
      <c r="H235">
        <f>'Participant reporting'!H462</f>
        <v>0</v>
      </c>
      <c r="I235">
        <f>'Participant reporting'!I462</f>
        <v>0</v>
      </c>
      <c r="J235">
        <f>'Participant reporting'!J462</f>
        <v>0</v>
      </c>
      <c r="K235">
        <f>'Participant reporting'!K462</f>
        <v>0</v>
      </c>
      <c r="L235">
        <f>'Participant reporting'!L462</f>
        <v>0</v>
      </c>
      <c r="M235">
        <f>'Participant reporting'!M462</f>
        <v>0</v>
      </c>
      <c r="N235">
        <f>'Participant reporting'!N462</f>
        <v>0</v>
      </c>
      <c r="O235">
        <f>'Participant reporting'!O462</f>
        <v>0</v>
      </c>
    </row>
    <row r="236" spans="1:15" x14ac:dyDescent="0.25">
      <c r="A236">
        <f>'Participant reporting'!A463</f>
        <v>0</v>
      </c>
      <c r="B236">
        <f>'Participant reporting'!B463</f>
        <v>0</v>
      </c>
      <c r="C236">
        <f>'Participant reporting'!C463</f>
        <v>0</v>
      </c>
      <c r="D236">
        <f>'Participant reporting'!D463</f>
        <v>0</v>
      </c>
      <c r="E236" s="15">
        <f>'Participant reporting'!E463</f>
        <v>0</v>
      </c>
      <c r="F236">
        <f>'Participant reporting'!F463</f>
        <v>0</v>
      </c>
      <c r="G236">
        <f>'Participant reporting'!G463</f>
        <v>0</v>
      </c>
      <c r="H236">
        <f>'Participant reporting'!H463</f>
        <v>0</v>
      </c>
      <c r="I236">
        <f>'Participant reporting'!I463</f>
        <v>0</v>
      </c>
      <c r="J236">
        <f>'Participant reporting'!J463</f>
        <v>0</v>
      </c>
      <c r="K236">
        <f>'Participant reporting'!K463</f>
        <v>0</v>
      </c>
      <c r="L236">
        <f>'Participant reporting'!L463</f>
        <v>0</v>
      </c>
      <c r="M236">
        <f>'Participant reporting'!M463</f>
        <v>0</v>
      </c>
      <c r="N236">
        <f>'Participant reporting'!N463</f>
        <v>0</v>
      </c>
      <c r="O236">
        <f>'Participant reporting'!O463</f>
        <v>0</v>
      </c>
    </row>
    <row r="237" spans="1:15" x14ac:dyDescent="0.25">
      <c r="A237">
        <f>'Participant reporting'!A464</f>
        <v>0</v>
      </c>
      <c r="B237">
        <f>'Participant reporting'!B464</f>
        <v>0</v>
      </c>
      <c r="C237">
        <f>'Participant reporting'!C464</f>
        <v>0</v>
      </c>
      <c r="D237">
        <f>'Participant reporting'!D464</f>
        <v>0</v>
      </c>
      <c r="E237" s="15">
        <f>'Participant reporting'!E464</f>
        <v>0</v>
      </c>
      <c r="F237">
        <f>'Participant reporting'!F464</f>
        <v>0</v>
      </c>
      <c r="G237">
        <f>'Participant reporting'!G464</f>
        <v>0</v>
      </c>
      <c r="H237">
        <f>'Participant reporting'!H464</f>
        <v>0</v>
      </c>
      <c r="I237">
        <f>'Participant reporting'!I464</f>
        <v>0</v>
      </c>
      <c r="J237">
        <f>'Participant reporting'!J464</f>
        <v>0</v>
      </c>
      <c r="K237">
        <f>'Participant reporting'!K464</f>
        <v>0</v>
      </c>
      <c r="L237">
        <f>'Participant reporting'!L464</f>
        <v>0</v>
      </c>
      <c r="M237">
        <f>'Participant reporting'!M464</f>
        <v>0</v>
      </c>
      <c r="N237">
        <f>'Participant reporting'!N464</f>
        <v>0</v>
      </c>
      <c r="O237">
        <f>'Participant reporting'!O464</f>
        <v>0</v>
      </c>
    </row>
    <row r="238" spans="1:15" x14ac:dyDescent="0.25">
      <c r="A238">
        <f>'Participant reporting'!A465</f>
        <v>0</v>
      </c>
      <c r="B238">
        <f>'Participant reporting'!B465</f>
        <v>0</v>
      </c>
      <c r="C238">
        <f>'Participant reporting'!C465</f>
        <v>0</v>
      </c>
      <c r="D238">
        <f>'Participant reporting'!D465</f>
        <v>0</v>
      </c>
      <c r="E238" s="15">
        <f>'Participant reporting'!E465</f>
        <v>0</v>
      </c>
      <c r="F238">
        <f>'Participant reporting'!F465</f>
        <v>0</v>
      </c>
      <c r="G238">
        <f>'Participant reporting'!G465</f>
        <v>0</v>
      </c>
      <c r="H238">
        <f>'Participant reporting'!H465</f>
        <v>0</v>
      </c>
      <c r="I238">
        <f>'Participant reporting'!I465</f>
        <v>0</v>
      </c>
      <c r="J238">
        <f>'Participant reporting'!J465</f>
        <v>0</v>
      </c>
      <c r="K238">
        <f>'Participant reporting'!K465</f>
        <v>0</v>
      </c>
      <c r="L238">
        <f>'Participant reporting'!L465</f>
        <v>0</v>
      </c>
      <c r="M238">
        <f>'Participant reporting'!M465</f>
        <v>0</v>
      </c>
      <c r="N238">
        <f>'Participant reporting'!N465</f>
        <v>0</v>
      </c>
      <c r="O238">
        <f>'Participant reporting'!O465</f>
        <v>0</v>
      </c>
    </row>
    <row r="239" spans="1:15" x14ac:dyDescent="0.25">
      <c r="A239">
        <f>'Participant reporting'!A466</f>
        <v>0</v>
      </c>
      <c r="B239">
        <f>'Participant reporting'!B466</f>
        <v>0</v>
      </c>
      <c r="C239">
        <f>'Participant reporting'!C466</f>
        <v>0</v>
      </c>
      <c r="D239">
        <f>'Participant reporting'!D466</f>
        <v>0</v>
      </c>
      <c r="E239" s="15">
        <f>'Participant reporting'!E466</f>
        <v>0</v>
      </c>
      <c r="F239">
        <f>'Participant reporting'!F466</f>
        <v>0</v>
      </c>
      <c r="G239">
        <f>'Participant reporting'!G466</f>
        <v>0</v>
      </c>
      <c r="H239">
        <f>'Participant reporting'!H466</f>
        <v>0</v>
      </c>
      <c r="I239">
        <f>'Participant reporting'!I466</f>
        <v>0</v>
      </c>
      <c r="J239">
        <f>'Participant reporting'!J466</f>
        <v>0</v>
      </c>
      <c r="K239">
        <f>'Participant reporting'!K466</f>
        <v>0</v>
      </c>
      <c r="L239">
        <f>'Participant reporting'!L466</f>
        <v>0</v>
      </c>
      <c r="M239">
        <f>'Participant reporting'!M466</f>
        <v>0</v>
      </c>
      <c r="N239">
        <f>'Participant reporting'!N466</f>
        <v>0</v>
      </c>
      <c r="O239">
        <f>'Participant reporting'!O466</f>
        <v>0</v>
      </c>
    </row>
    <row r="240" spans="1:15" x14ac:dyDescent="0.25">
      <c r="A240">
        <f>'Participant reporting'!A467</f>
        <v>0</v>
      </c>
      <c r="B240">
        <f>'Participant reporting'!B467</f>
        <v>0</v>
      </c>
      <c r="C240">
        <f>'Participant reporting'!C467</f>
        <v>0</v>
      </c>
      <c r="D240">
        <f>'Participant reporting'!D467</f>
        <v>0</v>
      </c>
      <c r="E240" s="15">
        <f>'Participant reporting'!E467</f>
        <v>0</v>
      </c>
      <c r="F240">
        <f>'Participant reporting'!F467</f>
        <v>0</v>
      </c>
      <c r="G240">
        <f>'Participant reporting'!G467</f>
        <v>0</v>
      </c>
      <c r="H240">
        <f>'Participant reporting'!H467</f>
        <v>0</v>
      </c>
      <c r="I240">
        <f>'Participant reporting'!I467</f>
        <v>0</v>
      </c>
      <c r="J240">
        <f>'Participant reporting'!J467</f>
        <v>0</v>
      </c>
      <c r="K240">
        <f>'Participant reporting'!K467</f>
        <v>0</v>
      </c>
      <c r="L240">
        <f>'Participant reporting'!L467</f>
        <v>0</v>
      </c>
      <c r="M240">
        <f>'Participant reporting'!M467</f>
        <v>0</v>
      </c>
      <c r="N240">
        <f>'Participant reporting'!N467</f>
        <v>0</v>
      </c>
      <c r="O240">
        <f>'Participant reporting'!O467</f>
        <v>0</v>
      </c>
    </row>
    <row r="241" spans="1:15" x14ac:dyDescent="0.25">
      <c r="A241">
        <f>'Participant reporting'!A468</f>
        <v>0</v>
      </c>
      <c r="B241">
        <f>'Participant reporting'!B468</f>
        <v>0</v>
      </c>
      <c r="C241">
        <f>'Participant reporting'!C468</f>
        <v>0</v>
      </c>
      <c r="D241">
        <f>'Participant reporting'!D468</f>
        <v>0</v>
      </c>
      <c r="E241" s="15">
        <f>'Participant reporting'!E468</f>
        <v>0</v>
      </c>
      <c r="F241">
        <f>'Participant reporting'!F468</f>
        <v>0</v>
      </c>
      <c r="G241">
        <f>'Participant reporting'!G468</f>
        <v>0</v>
      </c>
      <c r="H241">
        <f>'Participant reporting'!H468</f>
        <v>0</v>
      </c>
      <c r="I241">
        <f>'Participant reporting'!I468</f>
        <v>0</v>
      </c>
      <c r="J241">
        <f>'Participant reporting'!J468</f>
        <v>0</v>
      </c>
      <c r="K241">
        <f>'Participant reporting'!K468</f>
        <v>0</v>
      </c>
      <c r="L241">
        <f>'Participant reporting'!L468</f>
        <v>0</v>
      </c>
      <c r="M241">
        <f>'Participant reporting'!M468</f>
        <v>0</v>
      </c>
      <c r="N241">
        <f>'Participant reporting'!N468</f>
        <v>0</v>
      </c>
      <c r="O241">
        <f>'Participant reporting'!O468</f>
        <v>0</v>
      </c>
    </row>
    <row r="242" spans="1:15" x14ac:dyDescent="0.25">
      <c r="A242">
        <f>'Participant reporting'!A469</f>
        <v>0</v>
      </c>
      <c r="B242">
        <f>'Participant reporting'!B469</f>
        <v>0</v>
      </c>
      <c r="C242">
        <f>'Participant reporting'!C469</f>
        <v>0</v>
      </c>
      <c r="D242">
        <f>'Participant reporting'!D469</f>
        <v>0</v>
      </c>
      <c r="E242" s="15">
        <f>'Participant reporting'!E469</f>
        <v>0</v>
      </c>
      <c r="F242">
        <f>'Participant reporting'!F469</f>
        <v>0</v>
      </c>
      <c r="G242">
        <f>'Participant reporting'!G469</f>
        <v>0</v>
      </c>
      <c r="H242">
        <f>'Participant reporting'!H469</f>
        <v>0</v>
      </c>
      <c r="I242">
        <f>'Participant reporting'!I469</f>
        <v>0</v>
      </c>
      <c r="J242">
        <f>'Participant reporting'!J469</f>
        <v>0</v>
      </c>
      <c r="K242">
        <f>'Participant reporting'!K469</f>
        <v>0</v>
      </c>
      <c r="L242">
        <f>'Participant reporting'!L469</f>
        <v>0</v>
      </c>
      <c r="M242">
        <f>'Participant reporting'!M469</f>
        <v>0</v>
      </c>
      <c r="N242">
        <f>'Participant reporting'!N469</f>
        <v>0</v>
      </c>
      <c r="O242">
        <f>'Participant reporting'!O469</f>
        <v>0</v>
      </c>
    </row>
    <row r="243" spans="1:15" x14ac:dyDescent="0.25">
      <c r="A243">
        <f>'Participant reporting'!A470</f>
        <v>0</v>
      </c>
      <c r="B243">
        <f>'Participant reporting'!B470</f>
        <v>0</v>
      </c>
      <c r="C243">
        <f>'Participant reporting'!C470</f>
        <v>0</v>
      </c>
      <c r="D243">
        <f>'Participant reporting'!D470</f>
        <v>0</v>
      </c>
      <c r="E243" s="15">
        <f>'Participant reporting'!E470</f>
        <v>0</v>
      </c>
      <c r="F243">
        <f>'Participant reporting'!F470</f>
        <v>0</v>
      </c>
      <c r="G243">
        <f>'Participant reporting'!G470</f>
        <v>0</v>
      </c>
      <c r="H243">
        <f>'Participant reporting'!H470</f>
        <v>0</v>
      </c>
      <c r="I243">
        <f>'Participant reporting'!I470</f>
        <v>0</v>
      </c>
      <c r="J243">
        <f>'Participant reporting'!J470</f>
        <v>0</v>
      </c>
      <c r="K243">
        <f>'Participant reporting'!K470</f>
        <v>0</v>
      </c>
      <c r="L243">
        <f>'Participant reporting'!L470</f>
        <v>0</v>
      </c>
      <c r="M243">
        <f>'Participant reporting'!M470</f>
        <v>0</v>
      </c>
      <c r="N243">
        <f>'Participant reporting'!N470</f>
        <v>0</v>
      </c>
      <c r="O243">
        <f>'Participant reporting'!O470</f>
        <v>0</v>
      </c>
    </row>
    <row r="244" spans="1:15" x14ac:dyDescent="0.25">
      <c r="A244">
        <f>'Participant reporting'!A471</f>
        <v>0</v>
      </c>
      <c r="B244">
        <f>'Participant reporting'!B471</f>
        <v>0</v>
      </c>
      <c r="C244">
        <f>'Participant reporting'!C471</f>
        <v>0</v>
      </c>
      <c r="D244">
        <f>'Participant reporting'!D471</f>
        <v>0</v>
      </c>
      <c r="E244" s="15">
        <f>'Participant reporting'!E471</f>
        <v>0</v>
      </c>
      <c r="F244">
        <f>'Participant reporting'!F471</f>
        <v>0</v>
      </c>
      <c r="G244">
        <f>'Participant reporting'!G471</f>
        <v>0</v>
      </c>
      <c r="H244">
        <f>'Participant reporting'!H471</f>
        <v>0</v>
      </c>
      <c r="I244">
        <f>'Participant reporting'!I471</f>
        <v>0</v>
      </c>
      <c r="J244">
        <f>'Participant reporting'!J471</f>
        <v>0</v>
      </c>
      <c r="K244">
        <f>'Participant reporting'!K471</f>
        <v>0</v>
      </c>
      <c r="L244">
        <f>'Participant reporting'!L471</f>
        <v>0</v>
      </c>
      <c r="M244">
        <f>'Participant reporting'!M471</f>
        <v>0</v>
      </c>
      <c r="N244">
        <f>'Participant reporting'!N471</f>
        <v>0</v>
      </c>
      <c r="O244">
        <f>'Participant reporting'!O471</f>
        <v>0</v>
      </c>
    </row>
    <row r="245" spans="1:15" x14ac:dyDescent="0.25">
      <c r="A245">
        <f>'Participant reporting'!A472</f>
        <v>0</v>
      </c>
      <c r="B245">
        <f>'Participant reporting'!B472</f>
        <v>0</v>
      </c>
      <c r="C245">
        <f>'Participant reporting'!C472</f>
        <v>0</v>
      </c>
      <c r="D245">
        <f>'Participant reporting'!D472</f>
        <v>0</v>
      </c>
      <c r="E245" s="15">
        <f>'Participant reporting'!E472</f>
        <v>0</v>
      </c>
      <c r="F245">
        <f>'Participant reporting'!F472</f>
        <v>0</v>
      </c>
      <c r="G245">
        <f>'Participant reporting'!G472</f>
        <v>0</v>
      </c>
      <c r="H245">
        <f>'Participant reporting'!H472</f>
        <v>0</v>
      </c>
      <c r="I245">
        <f>'Participant reporting'!I472</f>
        <v>0</v>
      </c>
      <c r="J245">
        <f>'Participant reporting'!J472</f>
        <v>0</v>
      </c>
      <c r="K245">
        <f>'Participant reporting'!K472</f>
        <v>0</v>
      </c>
      <c r="L245">
        <f>'Participant reporting'!L472</f>
        <v>0</v>
      </c>
      <c r="M245">
        <f>'Participant reporting'!M472</f>
        <v>0</v>
      </c>
      <c r="N245">
        <f>'Participant reporting'!N472</f>
        <v>0</v>
      </c>
      <c r="O245">
        <f>'Participant reporting'!O472</f>
        <v>0</v>
      </c>
    </row>
    <row r="246" spans="1:15" x14ac:dyDescent="0.25">
      <c r="A246">
        <f>'Participant reporting'!A473</f>
        <v>0</v>
      </c>
      <c r="B246">
        <f>'Participant reporting'!B473</f>
        <v>0</v>
      </c>
      <c r="C246">
        <f>'Participant reporting'!C473</f>
        <v>0</v>
      </c>
      <c r="D246">
        <f>'Participant reporting'!D473</f>
        <v>0</v>
      </c>
      <c r="E246" s="15">
        <f>'Participant reporting'!E473</f>
        <v>0</v>
      </c>
      <c r="F246">
        <f>'Participant reporting'!F473</f>
        <v>0</v>
      </c>
      <c r="G246">
        <f>'Participant reporting'!G473</f>
        <v>0</v>
      </c>
      <c r="H246">
        <f>'Participant reporting'!H473</f>
        <v>0</v>
      </c>
      <c r="I246">
        <f>'Participant reporting'!I473</f>
        <v>0</v>
      </c>
      <c r="J246">
        <f>'Participant reporting'!J473</f>
        <v>0</v>
      </c>
      <c r="K246">
        <f>'Participant reporting'!K473</f>
        <v>0</v>
      </c>
      <c r="L246">
        <f>'Participant reporting'!L473</f>
        <v>0</v>
      </c>
      <c r="M246">
        <f>'Participant reporting'!M473</f>
        <v>0</v>
      </c>
      <c r="N246">
        <f>'Participant reporting'!N473</f>
        <v>0</v>
      </c>
      <c r="O246">
        <f>'Participant reporting'!O473</f>
        <v>0</v>
      </c>
    </row>
    <row r="247" spans="1:15" x14ac:dyDescent="0.25">
      <c r="A247">
        <f>'Participant reporting'!A474</f>
        <v>0</v>
      </c>
      <c r="B247">
        <f>'Participant reporting'!B474</f>
        <v>0</v>
      </c>
      <c r="C247">
        <f>'Participant reporting'!C474</f>
        <v>0</v>
      </c>
      <c r="D247">
        <f>'Participant reporting'!D474</f>
        <v>0</v>
      </c>
      <c r="E247" s="15">
        <f>'Participant reporting'!E474</f>
        <v>0</v>
      </c>
      <c r="F247">
        <f>'Participant reporting'!F474</f>
        <v>0</v>
      </c>
      <c r="G247">
        <f>'Participant reporting'!G474</f>
        <v>0</v>
      </c>
      <c r="H247">
        <f>'Participant reporting'!H474</f>
        <v>0</v>
      </c>
      <c r="I247">
        <f>'Participant reporting'!I474</f>
        <v>0</v>
      </c>
      <c r="J247">
        <f>'Participant reporting'!J474</f>
        <v>0</v>
      </c>
      <c r="K247">
        <f>'Participant reporting'!K474</f>
        <v>0</v>
      </c>
      <c r="L247">
        <f>'Participant reporting'!L474</f>
        <v>0</v>
      </c>
      <c r="M247">
        <f>'Participant reporting'!M474</f>
        <v>0</v>
      </c>
      <c r="N247">
        <f>'Participant reporting'!N474</f>
        <v>0</v>
      </c>
      <c r="O247">
        <f>'Participant reporting'!O474</f>
        <v>0</v>
      </c>
    </row>
    <row r="248" spans="1:15" x14ac:dyDescent="0.25">
      <c r="A248">
        <f>'Participant reporting'!A475</f>
        <v>0</v>
      </c>
      <c r="B248">
        <f>'Participant reporting'!B475</f>
        <v>0</v>
      </c>
      <c r="C248">
        <f>'Participant reporting'!C475</f>
        <v>0</v>
      </c>
      <c r="D248">
        <f>'Participant reporting'!D475</f>
        <v>0</v>
      </c>
      <c r="E248" s="15">
        <f>'Participant reporting'!E475</f>
        <v>0</v>
      </c>
      <c r="F248">
        <f>'Participant reporting'!F475</f>
        <v>0</v>
      </c>
      <c r="G248">
        <f>'Participant reporting'!G475</f>
        <v>0</v>
      </c>
      <c r="H248">
        <f>'Participant reporting'!H475</f>
        <v>0</v>
      </c>
      <c r="I248">
        <f>'Participant reporting'!I475</f>
        <v>0</v>
      </c>
      <c r="J248">
        <f>'Participant reporting'!J475</f>
        <v>0</v>
      </c>
      <c r="K248">
        <f>'Participant reporting'!K475</f>
        <v>0</v>
      </c>
      <c r="L248">
        <f>'Participant reporting'!L475</f>
        <v>0</v>
      </c>
      <c r="M248">
        <f>'Participant reporting'!M475</f>
        <v>0</v>
      </c>
      <c r="N248">
        <f>'Participant reporting'!N475</f>
        <v>0</v>
      </c>
      <c r="O248">
        <f>'Participant reporting'!O475</f>
        <v>0</v>
      </c>
    </row>
    <row r="249" spans="1:15" x14ac:dyDescent="0.25">
      <c r="A249">
        <f>'Participant reporting'!A476</f>
        <v>0</v>
      </c>
      <c r="B249">
        <f>'Participant reporting'!B476</f>
        <v>0</v>
      </c>
      <c r="C249">
        <f>'Participant reporting'!C476</f>
        <v>0</v>
      </c>
      <c r="D249">
        <f>'Participant reporting'!D476</f>
        <v>0</v>
      </c>
      <c r="E249" s="15">
        <f>'Participant reporting'!E476</f>
        <v>0</v>
      </c>
      <c r="F249">
        <f>'Participant reporting'!F476</f>
        <v>0</v>
      </c>
      <c r="G249">
        <f>'Participant reporting'!G476</f>
        <v>0</v>
      </c>
      <c r="H249">
        <f>'Participant reporting'!H476</f>
        <v>0</v>
      </c>
      <c r="I249">
        <f>'Participant reporting'!I476</f>
        <v>0</v>
      </c>
      <c r="J249">
        <f>'Participant reporting'!J476</f>
        <v>0</v>
      </c>
      <c r="K249">
        <f>'Participant reporting'!K476</f>
        <v>0</v>
      </c>
      <c r="L249">
        <f>'Participant reporting'!L476</f>
        <v>0</v>
      </c>
      <c r="M249">
        <f>'Participant reporting'!M476</f>
        <v>0</v>
      </c>
      <c r="N249">
        <f>'Participant reporting'!N476</f>
        <v>0</v>
      </c>
      <c r="O249">
        <f>'Participant reporting'!O476</f>
        <v>0</v>
      </c>
    </row>
    <row r="250" spans="1:15" x14ac:dyDescent="0.25">
      <c r="A250">
        <f>'Participant reporting'!A477</f>
        <v>0</v>
      </c>
      <c r="B250">
        <f>'Participant reporting'!B477</f>
        <v>0</v>
      </c>
      <c r="C250">
        <f>'Participant reporting'!C477</f>
        <v>0</v>
      </c>
      <c r="D250">
        <f>'Participant reporting'!D477</f>
        <v>0</v>
      </c>
      <c r="E250" s="15">
        <f>'Participant reporting'!E477</f>
        <v>0</v>
      </c>
      <c r="F250">
        <f>'Participant reporting'!F477</f>
        <v>0</v>
      </c>
      <c r="G250">
        <f>'Participant reporting'!G477</f>
        <v>0</v>
      </c>
      <c r="H250">
        <f>'Participant reporting'!H477</f>
        <v>0</v>
      </c>
      <c r="I250">
        <f>'Participant reporting'!I477</f>
        <v>0</v>
      </c>
      <c r="J250">
        <f>'Participant reporting'!J477</f>
        <v>0</v>
      </c>
      <c r="K250">
        <f>'Participant reporting'!K477</f>
        <v>0</v>
      </c>
      <c r="L250">
        <f>'Participant reporting'!L477</f>
        <v>0</v>
      </c>
      <c r="M250">
        <f>'Participant reporting'!M477</f>
        <v>0</v>
      </c>
      <c r="N250">
        <f>'Participant reporting'!N477</f>
        <v>0</v>
      </c>
      <c r="O250">
        <f>'Participant reporting'!O477</f>
        <v>0</v>
      </c>
    </row>
    <row r="251" spans="1:15" x14ac:dyDescent="0.25">
      <c r="A251">
        <f>'Participant reporting'!A478</f>
        <v>0</v>
      </c>
      <c r="B251">
        <f>'Participant reporting'!B478</f>
        <v>0</v>
      </c>
      <c r="C251">
        <f>'Participant reporting'!C478</f>
        <v>0</v>
      </c>
      <c r="D251">
        <f>'Participant reporting'!D478</f>
        <v>0</v>
      </c>
      <c r="E251" s="15">
        <f>'Participant reporting'!E478</f>
        <v>0</v>
      </c>
      <c r="F251">
        <f>'Participant reporting'!F478</f>
        <v>0</v>
      </c>
      <c r="G251">
        <f>'Participant reporting'!G478</f>
        <v>0</v>
      </c>
      <c r="H251">
        <f>'Participant reporting'!H478</f>
        <v>0</v>
      </c>
      <c r="I251">
        <f>'Participant reporting'!I478</f>
        <v>0</v>
      </c>
      <c r="J251">
        <f>'Participant reporting'!J478</f>
        <v>0</v>
      </c>
      <c r="K251">
        <f>'Participant reporting'!K478</f>
        <v>0</v>
      </c>
      <c r="L251">
        <f>'Participant reporting'!L478</f>
        <v>0</v>
      </c>
      <c r="M251">
        <f>'Participant reporting'!M478</f>
        <v>0</v>
      </c>
      <c r="N251">
        <f>'Participant reporting'!N478</f>
        <v>0</v>
      </c>
      <c r="O251">
        <f>'Participant reporting'!O478</f>
        <v>0</v>
      </c>
    </row>
    <row r="252" spans="1:15" x14ac:dyDescent="0.25">
      <c r="A252">
        <f>'Participant reporting'!A479</f>
        <v>0</v>
      </c>
      <c r="B252">
        <f>'Participant reporting'!B479</f>
        <v>0</v>
      </c>
      <c r="C252">
        <f>'Participant reporting'!C479</f>
        <v>0</v>
      </c>
      <c r="D252">
        <f>'Participant reporting'!D479</f>
        <v>0</v>
      </c>
      <c r="E252" s="15">
        <f>'Participant reporting'!E479</f>
        <v>0</v>
      </c>
      <c r="F252">
        <f>'Participant reporting'!F479</f>
        <v>0</v>
      </c>
      <c r="G252">
        <f>'Participant reporting'!G479</f>
        <v>0</v>
      </c>
      <c r="H252">
        <f>'Participant reporting'!H479</f>
        <v>0</v>
      </c>
      <c r="I252">
        <f>'Participant reporting'!I479</f>
        <v>0</v>
      </c>
      <c r="J252">
        <f>'Participant reporting'!J479</f>
        <v>0</v>
      </c>
      <c r="K252">
        <f>'Participant reporting'!K479</f>
        <v>0</v>
      </c>
      <c r="L252">
        <f>'Participant reporting'!L479</f>
        <v>0</v>
      </c>
      <c r="M252">
        <f>'Participant reporting'!M479</f>
        <v>0</v>
      </c>
      <c r="N252">
        <f>'Participant reporting'!N479</f>
        <v>0</v>
      </c>
      <c r="O252">
        <f>'Participant reporting'!O479</f>
        <v>0</v>
      </c>
    </row>
    <row r="253" spans="1:15" x14ac:dyDescent="0.25">
      <c r="A253">
        <f>'Participant reporting'!A480</f>
        <v>0</v>
      </c>
      <c r="B253">
        <f>'Participant reporting'!B480</f>
        <v>0</v>
      </c>
      <c r="C253">
        <f>'Participant reporting'!C480</f>
        <v>0</v>
      </c>
      <c r="D253">
        <f>'Participant reporting'!D480</f>
        <v>0</v>
      </c>
      <c r="E253" s="15">
        <f>'Participant reporting'!E480</f>
        <v>0</v>
      </c>
      <c r="F253">
        <f>'Participant reporting'!F480</f>
        <v>0</v>
      </c>
      <c r="G253">
        <f>'Participant reporting'!G480</f>
        <v>0</v>
      </c>
      <c r="H253">
        <f>'Participant reporting'!H480</f>
        <v>0</v>
      </c>
      <c r="I253">
        <f>'Participant reporting'!I480</f>
        <v>0</v>
      </c>
      <c r="J253">
        <f>'Participant reporting'!J480</f>
        <v>0</v>
      </c>
      <c r="K253">
        <f>'Participant reporting'!K480</f>
        <v>0</v>
      </c>
      <c r="L253">
        <f>'Participant reporting'!L480</f>
        <v>0</v>
      </c>
      <c r="M253">
        <f>'Participant reporting'!M480</f>
        <v>0</v>
      </c>
      <c r="N253">
        <f>'Participant reporting'!N480</f>
        <v>0</v>
      </c>
      <c r="O253">
        <f>'Participant reporting'!O480</f>
        <v>0</v>
      </c>
    </row>
    <row r="254" spans="1:15" x14ac:dyDescent="0.25">
      <c r="A254">
        <f>'Participant reporting'!A481</f>
        <v>0</v>
      </c>
      <c r="B254">
        <f>'Participant reporting'!B481</f>
        <v>0</v>
      </c>
      <c r="C254">
        <f>'Participant reporting'!C481</f>
        <v>0</v>
      </c>
      <c r="D254">
        <f>'Participant reporting'!D481</f>
        <v>0</v>
      </c>
      <c r="E254" s="15">
        <f>'Participant reporting'!E481</f>
        <v>0</v>
      </c>
      <c r="F254">
        <f>'Participant reporting'!F481</f>
        <v>0</v>
      </c>
      <c r="G254">
        <f>'Participant reporting'!G481</f>
        <v>0</v>
      </c>
      <c r="H254">
        <f>'Participant reporting'!H481</f>
        <v>0</v>
      </c>
      <c r="I254">
        <f>'Participant reporting'!I481</f>
        <v>0</v>
      </c>
      <c r="J254">
        <f>'Participant reporting'!J481</f>
        <v>0</v>
      </c>
      <c r="K254">
        <f>'Participant reporting'!K481</f>
        <v>0</v>
      </c>
      <c r="L254">
        <f>'Participant reporting'!L481</f>
        <v>0</v>
      </c>
      <c r="M254">
        <f>'Participant reporting'!M481</f>
        <v>0</v>
      </c>
      <c r="N254">
        <f>'Participant reporting'!N481</f>
        <v>0</v>
      </c>
      <c r="O254">
        <f>'Participant reporting'!O481</f>
        <v>0</v>
      </c>
    </row>
    <row r="255" spans="1:15" x14ac:dyDescent="0.25">
      <c r="A255">
        <f>'Participant reporting'!A482</f>
        <v>0</v>
      </c>
      <c r="B255">
        <f>'Participant reporting'!B482</f>
        <v>0</v>
      </c>
      <c r="C255">
        <f>'Participant reporting'!C482</f>
        <v>0</v>
      </c>
      <c r="D255">
        <f>'Participant reporting'!D482</f>
        <v>0</v>
      </c>
      <c r="E255" s="15">
        <f>'Participant reporting'!E482</f>
        <v>0</v>
      </c>
      <c r="F255">
        <f>'Participant reporting'!F482</f>
        <v>0</v>
      </c>
      <c r="G255">
        <f>'Participant reporting'!G482</f>
        <v>0</v>
      </c>
      <c r="H255">
        <f>'Participant reporting'!H482</f>
        <v>0</v>
      </c>
      <c r="I255">
        <f>'Participant reporting'!I482</f>
        <v>0</v>
      </c>
      <c r="J255">
        <f>'Participant reporting'!J482</f>
        <v>0</v>
      </c>
      <c r="K255">
        <f>'Participant reporting'!K482</f>
        <v>0</v>
      </c>
      <c r="L255">
        <f>'Participant reporting'!L482</f>
        <v>0</v>
      </c>
      <c r="M255">
        <f>'Participant reporting'!M482</f>
        <v>0</v>
      </c>
      <c r="N255">
        <f>'Participant reporting'!N482</f>
        <v>0</v>
      </c>
      <c r="O255">
        <f>'Participant reporting'!O482</f>
        <v>0</v>
      </c>
    </row>
    <row r="256" spans="1:15" x14ac:dyDescent="0.25">
      <c r="A256">
        <f>'Participant reporting'!A483</f>
        <v>0</v>
      </c>
      <c r="B256">
        <f>'Participant reporting'!B483</f>
        <v>0</v>
      </c>
      <c r="C256">
        <f>'Participant reporting'!C483</f>
        <v>0</v>
      </c>
      <c r="D256">
        <f>'Participant reporting'!D483</f>
        <v>0</v>
      </c>
      <c r="E256" s="15">
        <f>'Participant reporting'!E483</f>
        <v>0</v>
      </c>
      <c r="F256">
        <f>'Participant reporting'!F483</f>
        <v>0</v>
      </c>
      <c r="G256">
        <f>'Participant reporting'!G483</f>
        <v>0</v>
      </c>
      <c r="H256">
        <f>'Participant reporting'!H483</f>
        <v>0</v>
      </c>
      <c r="I256">
        <f>'Participant reporting'!I483</f>
        <v>0</v>
      </c>
      <c r="J256">
        <f>'Participant reporting'!J483</f>
        <v>0</v>
      </c>
      <c r="K256">
        <f>'Participant reporting'!K483</f>
        <v>0</v>
      </c>
      <c r="L256">
        <f>'Participant reporting'!L483</f>
        <v>0</v>
      </c>
      <c r="M256">
        <f>'Participant reporting'!M483</f>
        <v>0</v>
      </c>
      <c r="N256">
        <f>'Participant reporting'!N483</f>
        <v>0</v>
      </c>
      <c r="O256">
        <f>'Participant reporting'!O483</f>
        <v>0</v>
      </c>
    </row>
    <row r="257" spans="1:15" x14ac:dyDescent="0.25">
      <c r="A257">
        <f>'Participant reporting'!A484</f>
        <v>0</v>
      </c>
      <c r="B257">
        <f>'Participant reporting'!B484</f>
        <v>0</v>
      </c>
      <c r="C257">
        <f>'Participant reporting'!C484</f>
        <v>0</v>
      </c>
      <c r="D257">
        <f>'Participant reporting'!D484</f>
        <v>0</v>
      </c>
      <c r="E257" s="15">
        <f>'Participant reporting'!E484</f>
        <v>0</v>
      </c>
      <c r="F257">
        <f>'Participant reporting'!F484</f>
        <v>0</v>
      </c>
      <c r="G257">
        <f>'Participant reporting'!G484</f>
        <v>0</v>
      </c>
      <c r="H257">
        <f>'Participant reporting'!H484</f>
        <v>0</v>
      </c>
      <c r="I257">
        <f>'Participant reporting'!I484</f>
        <v>0</v>
      </c>
      <c r="J257">
        <f>'Participant reporting'!J484</f>
        <v>0</v>
      </c>
      <c r="K257">
        <f>'Participant reporting'!K484</f>
        <v>0</v>
      </c>
      <c r="L257">
        <f>'Participant reporting'!L484</f>
        <v>0</v>
      </c>
      <c r="M257">
        <f>'Participant reporting'!M484</f>
        <v>0</v>
      </c>
      <c r="N257">
        <f>'Participant reporting'!N484</f>
        <v>0</v>
      </c>
      <c r="O257">
        <f>'Participant reporting'!O484</f>
        <v>0</v>
      </c>
    </row>
    <row r="258" spans="1:15" x14ac:dyDescent="0.25">
      <c r="A258">
        <f>'Participant reporting'!A485</f>
        <v>0</v>
      </c>
      <c r="B258">
        <f>'Participant reporting'!B485</f>
        <v>0</v>
      </c>
      <c r="C258">
        <f>'Participant reporting'!C485</f>
        <v>0</v>
      </c>
      <c r="D258">
        <f>'Participant reporting'!D485</f>
        <v>0</v>
      </c>
      <c r="E258" s="15">
        <f>'Participant reporting'!E485</f>
        <v>0</v>
      </c>
      <c r="F258">
        <f>'Participant reporting'!F485</f>
        <v>0</v>
      </c>
      <c r="G258">
        <f>'Participant reporting'!G485</f>
        <v>0</v>
      </c>
      <c r="H258">
        <f>'Participant reporting'!H485</f>
        <v>0</v>
      </c>
      <c r="I258">
        <f>'Participant reporting'!I485</f>
        <v>0</v>
      </c>
      <c r="J258">
        <f>'Participant reporting'!J485</f>
        <v>0</v>
      </c>
      <c r="K258">
        <f>'Participant reporting'!K485</f>
        <v>0</v>
      </c>
      <c r="L258">
        <f>'Participant reporting'!L485</f>
        <v>0</v>
      </c>
      <c r="M258">
        <f>'Participant reporting'!M485</f>
        <v>0</v>
      </c>
      <c r="N258">
        <f>'Participant reporting'!N485</f>
        <v>0</v>
      </c>
      <c r="O258">
        <f>'Participant reporting'!O485</f>
        <v>0</v>
      </c>
    </row>
    <row r="259" spans="1:15" x14ac:dyDescent="0.25">
      <c r="A259">
        <f>'Participant reporting'!A486</f>
        <v>0</v>
      </c>
      <c r="B259">
        <f>'Participant reporting'!B486</f>
        <v>0</v>
      </c>
      <c r="C259">
        <f>'Participant reporting'!C486</f>
        <v>0</v>
      </c>
      <c r="D259">
        <f>'Participant reporting'!D486</f>
        <v>0</v>
      </c>
      <c r="E259" s="15">
        <f>'Participant reporting'!E486</f>
        <v>0</v>
      </c>
      <c r="F259">
        <f>'Participant reporting'!F486</f>
        <v>0</v>
      </c>
      <c r="G259">
        <f>'Participant reporting'!G486</f>
        <v>0</v>
      </c>
      <c r="H259">
        <f>'Participant reporting'!H486</f>
        <v>0</v>
      </c>
      <c r="I259">
        <f>'Participant reporting'!I486</f>
        <v>0</v>
      </c>
      <c r="J259">
        <f>'Participant reporting'!J486</f>
        <v>0</v>
      </c>
      <c r="K259">
        <f>'Participant reporting'!K486</f>
        <v>0</v>
      </c>
      <c r="L259">
        <f>'Participant reporting'!L486</f>
        <v>0</v>
      </c>
      <c r="M259">
        <f>'Participant reporting'!M486</f>
        <v>0</v>
      </c>
      <c r="N259">
        <f>'Participant reporting'!N486</f>
        <v>0</v>
      </c>
      <c r="O259">
        <f>'Participant reporting'!O486</f>
        <v>0</v>
      </c>
    </row>
    <row r="260" spans="1:15" x14ac:dyDescent="0.25">
      <c r="A260">
        <f>'Participant reporting'!A487</f>
        <v>0</v>
      </c>
      <c r="B260">
        <f>'Participant reporting'!B487</f>
        <v>0</v>
      </c>
      <c r="C260">
        <f>'Participant reporting'!C487</f>
        <v>0</v>
      </c>
      <c r="D260">
        <f>'Participant reporting'!D487</f>
        <v>0</v>
      </c>
      <c r="E260" s="15">
        <f>'Participant reporting'!E487</f>
        <v>0</v>
      </c>
      <c r="F260">
        <f>'Participant reporting'!F487</f>
        <v>0</v>
      </c>
      <c r="G260">
        <f>'Participant reporting'!G487</f>
        <v>0</v>
      </c>
      <c r="H260">
        <f>'Participant reporting'!H487</f>
        <v>0</v>
      </c>
      <c r="I260">
        <f>'Participant reporting'!I487</f>
        <v>0</v>
      </c>
      <c r="J260">
        <f>'Participant reporting'!J487</f>
        <v>0</v>
      </c>
      <c r="K260">
        <f>'Participant reporting'!K487</f>
        <v>0</v>
      </c>
      <c r="L260">
        <f>'Participant reporting'!L487</f>
        <v>0</v>
      </c>
      <c r="M260">
        <f>'Participant reporting'!M487</f>
        <v>0</v>
      </c>
      <c r="N260">
        <f>'Participant reporting'!N487</f>
        <v>0</v>
      </c>
      <c r="O260">
        <f>'Participant reporting'!O487</f>
        <v>0</v>
      </c>
    </row>
    <row r="261" spans="1:15" x14ac:dyDescent="0.25">
      <c r="A261">
        <f>'Participant reporting'!A488</f>
        <v>0</v>
      </c>
      <c r="B261">
        <f>'Participant reporting'!B488</f>
        <v>0</v>
      </c>
      <c r="C261">
        <f>'Participant reporting'!C488</f>
        <v>0</v>
      </c>
      <c r="D261">
        <f>'Participant reporting'!D488</f>
        <v>0</v>
      </c>
      <c r="E261" s="15">
        <f>'Participant reporting'!E488</f>
        <v>0</v>
      </c>
      <c r="F261">
        <f>'Participant reporting'!F488</f>
        <v>0</v>
      </c>
      <c r="G261">
        <f>'Participant reporting'!G488</f>
        <v>0</v>
      </c>
      <c r="H261">
        <f>'Participant reporting'!H488</f>
        <v>0</v>
      </c>
      <c r="I261">
        <f>'Participant reporting'!I488</f>
        <v>0</v>
      </c>
      <c r="J261">
        <f>'Participant reporting'!J488</f>
        <v>0</v>
      </c>
      <c r="K261">
        <f>'Participant reporting'!K488</f>
        <v>0</v>
      </c>
      <c r="L261">
        <f>'Participant reporting'!L488</f>
        <v>0</v>
      </c>
      <c r="M261">
        <f>'Participant reporting'!M488</f>
        <v>0</v>
      </c>
      <c r="N261">
        <f>'Participant reporting'!N488</f>
        <v>0</v>
      </c>
      <c r="O261">
        <f>'Participant reporting'!O488</f>
        <v>0</v>
      </c>
    </row>
    <row r="262" spans="1:15" x14ac:dyDescent="0.25">
      <c r="A262">
        <f>'Participant reporting'!A489</f>
        <v>0</v>
      </c>
      <c r="B262">
        <f>'Participant reporting'!B489</f>
        <v>0</v>
      </c>
      <c r="C262">
        <f>'Participant reporting'!C489</f>
        <v>0</v>
      </c>
      <c r="D262">
        <f>'Participant reporting'!D489</f>
        <v>0</v>
      </c>
      <c r="E262" s="15">
        <f>'Participant reporting'!E489</f>
        <v>0</v>
      </c>
      <c r="F262">
        <f>'Participant reporting'!F489</f>
        <v>0</v>
      </c>
      <c r="G262">
        <f>'Participant reporting'!G489</f>
        <v>0</v>
      </c>
      <c r="H262">
        <f>'Participant reporting'!H489</f>
        <v>0</v>
      </c>
      <c r="I262">
        <f>'Participant reporting'!I489</f>
        <v>0</v>
      </c>
      <c r="J262">
        <f>'Participant reporting'!J489</f>
        <v>0</v>
      </c>
      <c r="K262">
        <f>'Participant reporting'!K489</f>
        <v>0</v>
      </c>
      <c r="L262">
        <f>'Participant reporting'!L489</f>
        <v>0</v>
      </c>
      <c r="M262">
        <f>'Participant reporting'!M489</f>
        <v>0</v>
      </c>
      <c r="N262">
        <f>'Participant reporting'!N489</f>
        <v>0</v>
      </c>
      <c r="O262">
        <f>'Participant reporting'!O489</f>
        <v>0</v>
      </c>
    </row>
    <row r="263" spans="1:15" x14ac:dyDescent="0.25">
      <c r="A263">
        <f>'Participant reporting'!A490</f>
        <v>0</v>
      </c>
      <c r="B263">
        <f>'Participant reporting'!B490</f>
        <v>0</v>
      </c>
      <c r="C263">
        <f>'Participant reporting'!C490</f>
        <v>0</v>
      </c>
      <c r="D263">
        <f>'Participant reporting'!D490</f>
        <v>0</v>
      </c>
      <c r="E263" s="15">
        <f>'Participant reporting'!E490</f>
        <v>0</v>
      </c>
      <c r="F263">
        <f>'Participant reporting'!F490</f>
        <v>0</v>
      </c>
      <c r="G263">
        <f>'Participant reporting'!G490</f>
        <v>0</v>
      </c>
      <c r="H263">
        <f>'Participant reporting'!H490</f>
        <v>0</v>
      </c>
      <c r="I263">
        <f>'Participant reporting'!I490</f>
        <v>0</v>
      </c>
      <c r="J263">
        <f>'Participant reporting'!J490</f>
        <v>0</v>
      </c>
      <c r="K263">
        <f>'Participant reporting'!K490</f>
        <v>0</v>
      </c>
      <c r="L263">
        <f>'Participant reporting'!L490</f>
        <v>0</v>
      </c>
      <c r="M263">
        <f>'Participant reporting'!M490</f>
        <v>0</v>
      </c>
      <c r="N263">
        <f>'Participant reporting'!N490</f>
        <v>0</v>
      </c>
      <c r="O263">
        <f>'Participant reporting'!O490</f>
        <v>0</v>
      </c>
    </row>
    <row r="264" spans="1:15" x14ac:dyDescent="0.25">
      <c r="A264">
        <f>'Participant reporting'!A491</f>
        <v>0</v>
      </c>
      <c r="B264">
        <f>'Participant reporting'!B491</f>
        <v>0</v>
      </c>
      <c r="C264">
        <f>'Participant reporting'!C491</f>
        <v>0</v>
      </c>
      <c r="D264">
        <f>'Participant reporting'!D491</f>
        <v>0</v>
      </c>
      <c r="E264" s="15">
        <f>'Participant reporting'!E491</f>
        <v>0</v>
      </c>
      <c r="F264">
        <f>'Participant reporting'!F491</f>
        <v>0</v>
      </c>
      <c r="G264">
        <f>'Participant reporting'!G491</f>
        <v>0</v>
      </c>
      <c r="H264">
        <f>'Participant reporting'!H491</f>
        <v>0</v>
      </c>
      <c r="I264">
        <f>'Participant reporting'!I491</f>
        <v>0</v>
      </c>
      <c r="J264">
        <f>'Participant reporting'!J491</f>
        <v>0</v>
      </c>
      <c r="K264">
        <f>'Participant reporting'!K491</f>
        <v>0</v>
      </c>
      <c r="L264">
        <f>'Participant reporting'!L491</f>
        <v>0</v>
      </c>
      <c r="M264">
        <f>'Participant reporting'!M491</f>
        <v>0</v>
      </c>
      <c r="N264">
        <f>'Participant reporting'!N491</f>
        <v>0</v>
      </c>
      <c r="O264">
        <f>'Participant reporting'!O491</f>
        <v>0</v>
      </c>
    </row>
    <row r="265" spans="1:15" x14ac:dyDescent="0.25">
      <c r="A265">
        <f>'Participant reporting'!A492</f>
        <v>0</v>
      </c>
      <c r="B265">
        <f>'Participant reporting'!B492</f>
        <v>0</v>
      </c>
      <c r="C265">
        <f>'Participant reporting'!C492</f>
        <v>0</v>
      </c>
      <c r="D265">
        <f>'Participant reporting'!D492</f>
        <v>0</v>
      </c>
      <c r="E265" s="15">
        <f>'Participant reporting'!E492</f>
        <v>0</v>
      </c>
      <c r="F265">
        <f>'Participant reporting'!F492</f>
        <v>0</v>
      </c>
      <c r="G265">
        <f>'Participant reporting'!G492</f>
        <v>0</v>
      </c>
      <c r="H265">
        <f>'Participant reporting'!H492</f>
        <v>0</v>
      </c>
      <c r="I265">
        <f>'Participant reporting'!I492</f>
        <v>0</v>
      </c>
      <c r="J265">
        <f>'Participant reporting'!J492</f>
        <v>0</v>
      </c>
      <c r="K265">
        <f>'Participant reporting'!K492</f>
        <v>0</v>
      </c>
      <c r="L265">
        <f>'Participant reporting'!L492</f>
        <v>0</v>
      </c>
      <c r="M265">
        <f>'Participant reporting'!M492</f>
        <v>0</v>
      </c>
      <c r="N265">
        <f>'Participant reporting'!N492</f>
        <v>0</v>
      </c>
      <c r="O265">
        <f>'Participant reporting'!O492</f>
        <v>0</v>
      </c>
    </row>
    <row r="266" spans="1:15" x14ac:dyDescent="0.25">
      <c r="A266">
        <f>'Participant reporting'!A493</f>
        <v>0</v>
      </c>
      <c r="B266">
        <f>'Participant reporting'!B493</f>
        <v>0</v>
      </c>
      <c r="C266">
        <f>'Participant reporting'!C493</f>
        <v>0</v>
      </c>
      <c r="D266">
        <f>'Participant reporting'!D493</f>
        <v>0</v>
      </c>
      <c r="E266" s="15">
        <f>'Participant reporting'!E493</f>
        <v>0</v>
      </c>
      <c r="F266">
        <f>'Participant reporting'!F493</f>
        <v>0</v>
      </c>
      <c r="G266">
        <f>'Participant reporting'!G493</f>
        <v>0</v>
      </c>
      <c r="H266">
        <f>'Participant reporting'!H493</f>
        <v>0</v>
      </c>
      <c r="I266">
        <f>'Participant reporting'!I493</f>
        <v>0</v>
      </c>
      <c r="J266">
        <f>'Participant reporting'!J493</f>
        <v>0</v>
      </c>
      <c r="K266">
        <f>'Participant reporting'!K493</f>
        <v>0</v>
      </c>
      <c r="L266">
        <f>'Participant reporting'!L493</f>
        <v>0</v>
      </c>
      <c r="M266">
        <f>'Participant reporting'!M493</f>
        <v>0</v>
      </c>
      <c r="N266">
        <f>'Participant reporting'!N493</f>
        <v>0</v>
      </c>
      <c r="O266">
        <f>'Participant reporting'!O493</f>
        <v>0</v>
      </c>
    </row>
    <row r="267" spans="1:15" x14ac:dyDescent="0.25">
      <c r="A267">
        <f>'Participant reporting'!A494</f>
        <v>0</v>
      </c>
      <c r="B267">
        <f>'Participant reporting'!B494</f>
        <v>0</v>
      </c>
      <c r="C267">
        <f>'Participant reporting'!C494</f>
        <v>0</v>
      </c>
      <c r="D267">
        <f>'Participant reporting'!D494</f>
        <v>0</v>
      </c>
      <c r="E267" s="15">
        <f>'Participant reporting'!E494</f>
        <v>0</v>
      </c>
      <c r="F267">
        <f>'Participant reporting'!F494</f>
        <v>0</v>
      </c>
      <c r="G267">
        <f>'Participant reporting'!G494</f>
        <v>0</v>
      </c>
      <c r="H267">
        <f>'Participant reporting'!H494</f>
        <v>0</v>
      </c>
      <c r="I267">
        <f>'Participant reporting'!I494</f>
        <v>0</v>
      </c>
      <c r="J267">
        <f>'Participant reporting'!J494</f>
        <v>0</v>
      </c>
      <c r="K267">
        <f>'Participant reporting'!K494</f>
        <v>0</v>
      </c>
      <c r="L267">
        <f>'Participant reporting'!L494</f>
        <v>0</v>
      </c>
      <c r="M267">
        <f>'Participant reporting'!M494</f>
        <v>0</v>
      </c>
      <c r="N267">
        <f>'Participant reporting'!N494</f>
        <v>0</v>
      </c>
      <c r="O267">
        <f>'Participant reporting'!O494</f>
        <v>0</v>
      </c>
    </row>
    <row r="268" spans="1:15" x14ac:dyDescent="0.25">
      <c r="A268">
        <f>'Participant reporting'!A495</f>
        <v>0</v>
      </c>
      <c r="B268">
        <f>'Participant reporting'!B495</f>
        <v>0</v>
      </c>
      <c r="C268">
        <f>'Participant reporting'!C495</f>
        <v>0</v>
      </c>
      <c r="D268">
        <f>'Participant reporting'!D495</f>
        <v>0</v>
      </c>
      <c r="E268" s="15">
        <f>'Participant reporting'!E495</f>
        <v>0</v>
      </c>
      <c r="F268">
        <f>'Participant reporting'!F495</f>
        <v>0</v>
      </c>
      <c r="G268">
        <f>'Participant reporting'!G495</f>
        <v>0</v>
      </c>
      <c r="H268">
        <f>'Participant reporting'!H495</f>
        <v>0</v>
      </c>
      <c r="I268">
        <f>'Participant reporting'!I495</f>
        <v>0</v>
      </c>
      <c r="J268">
        <f>'Participant reporting'!J495</f>
        <v>0</v>
      </c>
      <c r="K268">
        <f>'Participant reporting'!K495</f>
        <v>0</v>
      </c>
      <c r="L268">
        <f>'Participant reporting'!L495</f>
        <v>0</v>
      </c>
      <c r="M268">
        <f>'Participant reporting'!M495</f>
        <v>0</v>
      </c>
      <c r="N268">
        <f>'Participant reporting'!N495</f>
        <v>0</v>
      </c>
      <c r="O268">
        <f>'Participant reporting'!O495</f>
        <v>0</v>
      </c>
    </row>
    <row r="269" spans="1:15" x14ac:dyDescent="0.25">
      <c r="A269">
        <f>'Participant reporting'!A496</f>
        <v>0</v>
      </c>
      <c r="B269">
        <f>'Participant reporting'!B496</f>
        <v>0</v>
      </c>
      <c r="C269">
        <f>'Participant reporting'!C496</f>
        <v>0</v>
      </c>
      <c r="D269">
        <f>'Participant reporting'!D496</f>
        <v>0</v>
      </c>
      <c r="E269" s="15">
        <f>'Participant reporting'!E496</f>
        <v>0</v>
      </c>
      <c r="F269">
        <f>'Participant reporting'!F496</f>
        <v>0</v>
      </c>
      <c r="G269">
        <f>'Participant reporting'!G496</f>
        <v>0</v>
      </c>
      <c r="H269">
        <f>'Participant reporting'!H496</f>
        <v>0</v>
      </c>
      <c r="I269">
        <f>'Participant reporting'!I496</f>
        <v>0</v>
      </c>
      <c r="J269">
        <f>'Participant reporting'!J496</f>
        <v>0</v>
      </c>
      <c r="K269">
        <f>'Participant reporting'!K496</f>
        <v>0</v>
      </c>
      <c r="L269">
        <f>'Participant reporting'!L496</f>
        <v>0</v>
      </c>
      <c r="M269">
        <f>'Participant reporting'!M496</f>
        <v>0</v>
      </c>
      <c r="N269">
        <f>'Participant reporting'!N496</f>
        <v>0</v>
      </c>
      <c r="O269">
        <f>'Participant reporting'!O496</f>
        <v>0</v>
      </c>
    </row>
    <row r="270" spans="1:15" x14ac:dyDescent="0.25">
      <c r="A270">
        <f>'Participant reporting'!A497</f>
        <v>0</v>
      </c>
      <c r="B270">
        <f>'Participant reporting'!B497</f>
        <v>0</v>
      </c>
      <c r="C270">
        <f>'Participant reporting'!C497</f>
        <v>0</v>
      </c>
      <c r="D270">
        <f>'Participant reporting'!D497</f>
        <v>0</v>
      </c>
      <c r="E270" s="15">
        <f>'Participant reporting'!E497</f>
        <v>0</v>
      </c>
      <c r="F270">
        <f>'Participant reporting'!F497</f>
        <v>0</v>
      </c>
      <c r="G270">
        <f>'Participant reporting'!G497</f>
        <v>0</v>
      </c>
      <c r="H270">
        <f>'Participant reporting'!H497</f>
        <v>0</v>
      </c>
      <c r="I270">
        <f>'Participant reporting'!I497</f>
        <v>0</v>
      </c>
      <c r="J270">
        <f>'Participant reporting'!J497</f>
        <v>0</v>
      </c>
      <c r="K270">
        <f>'Participant reporting'!K497</f>
        <v>0</v>
      </c>
      <c r="L270">
        <f>'Participant reporting'!L497</f>
        <v>0</v>
      </c>
      <c r="M270">
        <f>'Participant reporting'!M497</f>
        <v>0</v>
      </c>
      <c r="N270">
        <f>'Participant reporting'!N497</f>
        <v>0</v>
      </c>
      <c r="O270">
        <f>'Participant reporting'!O497</f>
        <v>0</v>
      </c>
    </row>
    <row r="271" spans="1:15" x14ac:dyDescent="0.25">
      <c r="A271">
        <f>'Participant reporting'!A498</f>
        <v>0</v>
      </c>
      <c r="B271">
        <f>'Participant reporting'!B498</f>
        <v>0</v>
      </c>
      <c r="C271">
        <f>'Participant reporting'!C498</f>
        <v>0</v>
      </c>
      <c r="D271">
        <f>'Participant reporting'!D498</f>
        <v>0</v>
      </c>
      <c r="E271" s="15">
        <f>'Participant reporting'!E498</f>
        <v>0</v>
      </c>
      <c r="F271">
        <f>'Participant reporting'!F498</f>
        <v>0</v>
      </c>
      <c r="G271">
        <f>'Participant reporting'!G498</f>
        <v>0</v>
      </c>
      <c r="H271">
        <f>'Participant reporting'!H498</f>
        <v>0</v>
      </c>
      <c r="I271">
        <f>'Participant reporting'!I498</f>
        <v>0</v>
      </c>
      <c r="J271">
        <f>'Participant reporting'!J498</f>
        <v>0</v>
      </c>
      <c r="K271">
        <f>'Participant reporting'!K498</f>
        <v>0</v>
      </c>
      <c r="L271">
        <f>'Participant reporting'!L498</f>
        <v>0</v>
      </c>
      <c r="M271">
        <f>'Participant reporting'!M498</f>
        <v>0</v>
      </c>
      <c r="N271">
        <f>'Participant reporting'!N498</f>
        <v>0</v>
      </c>
      <c r="O271">
        <f>'Participant reporting'!O498</f>
        <v>0</v>
      </c>
    </row>
    <row r="272" spans="1:15" x14ac:dyDescent="0.25">
      <c r="A272">
        <f>'Participant reporting'!A499</f>
        <v>0</v>
      </c>
      <c r="B272">
        <f>'Participant reporting'!B499</f>
        <v>0</v>
      </c>
      <c r="C272">
        <f>'Participant reporting'!C499</f>
        <v>0</v>
      </c>
      <c r="D272">
        <f>'Participant reporting'!D499</f>
        <v>0</v>
      </c>
      <c r="E272" s="15">
        <f>'Participant reporting'!E499</f>
        <v>0</v>
      </c>
      <c r="F272">
        <f>'Participant reporting'!F499</f>
        <v>0</v>
      </c>
      <c r="G272">
        <f>'Participant reporting'!G499</f>
        <v>0</v>
      </c>
      <c r="H272">
        <f>'Participant reporting'!H499</f>
        <v>0</v>
      </c>
      <c r="I272">
        <f>'Participant reporting'!I499</f>
        <v>0</v>
      </c>
      <c r="J272">
        <f>'Participant reporting'!J499</f>
        <v>0</v>
      </c>
      <c r="K272">
        <f>'Participant reporting'!K499</f>
        <v>0</v>
      </c>
      <c r="L272">
        <f>'Participant reporting'!L499</f>
        <v>0</v>
      </c>
      <c r="M272">
        <f>'Participant reporting'!M499</f>
        <v>0</v>
      </c>
      <c r="N272">
        <f>'Participant reporting'!N499</f>
        <v>0</v>
      </c>
      <c r="O272">
        <f>'Participant reporting'!O499</f>
        <v>0</v>
      </c>
    </row>
    <row r="273" spans="1:15" x14ac:dyDescent="0.25">
      <c r="A273">
        <f>'Participant reporting'!A500</f>
        <v>0</v>
      </c>
      <c r="B273">
        <f>'Participant reporting'!B500</f>
        <v>0</v>
      </c>
      <c r="C273">
        <f>'Participant reporting'!C500</f>
        <v>0</v>
      </c>
      <c r="D273">
        <f>'Participant reporting'!D500</f>
        <v>0</v>
      </c>
      <c r="E273" s="15">
        <f>'Participant reporting'!E500</f>
        <v>0</v>
      </c>
      <c r="F273">
        <f>'Participant reporting'!F500</f>
        <v>0</v>
      </c>
      <c r="G273">
        <f>'Participant reporting'!G500</f>
        <v>0</v>
      </c>
      <c r="H273">
        <f>'Participant reporting'!H500</f>
        <v>0</v>
      </c>
      <c r="I273">
        <f>'Participant reporting'!I500</f>
        <v>0</v>
      </c>
      <c r="J273">
        <f>'Participant reporting'!J500</f>
        <v>0</v>
      </c>
      <c r="K273">
        <f>'Participant reporting'!K500</f>
        <v>0</v>
      </c>
      <c r="L273">
        <f>'Participant reporting'!L500</f>
        <v>0</v>
      </c>
      <c r="M273">
        <f>'Participant reporting'!M500</f>
        <v>0</v>
      </c>
      <c r="N273">
        <f>'Participant reporting'!N500</f>
        <v>0</v>
      </c>
      <c r="O273">
        <f>'Participant reporting'!O500</f>
        <v>0</v>
      </c>
    </row>
    <row r="274" spans="1:15" x14ac:dyDescent="0.25">
      <c r="A274">
        <f>'Participant reporting'!A501</f>
        <v>0</v>
      </c>
      <c r="B274">
        <f>'Participant reporting'!B501</f>
        <v>0</v>
      </c>
      <c r="C274">
        <f>'Participant reporting'!C501</f>
        <v>0</v>
      </c>
      <c r="D274">
        <f>'Participant reporting'!D501</f>
        <v>0</v>
      </c>
      <c r="E274" s="15">
        <f>'Participant reporting'!E501</f>
        <v>0</v>
      </c>
      <c r="F274">
        <f>'Participant reporting'!F501</f>
        <v>0</v>
      </c>
      <c r="G274">
        <f>'Participant reporting'!G501</f>
        <v>0</v>
      </c>
      <c r="H274">
        <f>'Participant reporting'!H501</f>
        <v>0</v>
      </c>
      <c r="I274">
        <f>'Participant reporting'!I501</f>
        <v>0</v>
      </c>
      <c r="J274">
        <f>'Participant reporting'!J501</f>
        <v>0</v>
      </c>
      <c r="K274">
        <f>'Participant reporting'!K501</f>
        <v>0</v>
      </c>
      <c r="L274">
        <f>'Participant reporting'!L501</f>
        <v>0</v>
      </c>
      <c r="M274">
        <f>'Participant reporting'!M501</f>
        <v>0</v>
      </c>
      <c r="N274">
        <f>'Participant reporting'!N501</f>
        <v>0</v>
      </c>
      <c r="O274">
        <f>'Participant reporting'!O501</f>
        <v>0</v>
      </c>
    </row>
    <row r="275" spans="1:15" x14ac:dyDescent="0.25">
      <c r="A275">
        <f>'Participant reporting'!A502</f>
        <v>0</v>
      </c>
      <c r="B275">
        <f>'Participant reporting'!B502</f>
        <v>0</v>
      </c>
      <c r="C275">
        <f>'Participant reporting'!C502</f>
        <v>0</v>
      </c>
      <c r="D275">
        <f>'Participant reporting'!D502</f>
        <v>0</v>
      </c>
      <c r="E275" s="15">
        <f>'Participant reporting'!E502</f>
        <v>0</v>
      </c>
      <c r="F275">
        <f>'Participant reporting'!F502</f>
        <v>0</v>
      </c>
      <c r="G275">
        <f>'Participant reporting'!G502</f>
        <v>0</v>
      </c>
      <c r="H275">
        <f>'Participant reporting'!H502</f>
        <v>0</v>
      </c>
      <c r="I275">
        <f>'Participant reporting'!I502</f>
        <v>0</v>
      </c>
      <c r="J275">
        <f>'Participant reporting'!J502</f>
        <v>0</v>
      </c>
      <c r="K275">
        <f>'Participant reporting'!K502</f>
        <v>0</v>
      </c>
      <c r="L275">
        <f>'Participant reporting'!L502</f>
        <v>0</v>
      </c>
      <c r="M275">
        <f>'Participant reporting'!M502</f>
        <v>0</v>
      </c>
      <c r="N275">
        <f>'Participant reporting'!N502</f>
        <v>0</v>
      </c>
      <c r="O275">
        <f>'Participant reporting'!O502</f>
        <v>0</v>
      </c>
    </row>
    <row r="276" spans="1:15" x14ac:dyDescent="0.25">
      <c r="A276">
        <f>'Participant reporting'!A503</f>
        <v>0</v>
      </c>
      <c r="B276">
        <f>'Participant reporting'!B503</f>
        <v>0</v>
      </c>
      <c r="C276">
        <f>'Participant reporting'!C503</f>
        <v>0</v>
      </c>
      <c r="D276">
        <f>'Participant reporting'!D503</f>
        <v>0</v>
      </c>
      <c r="E276" s="15">
        <f>'Participant reporting'!E503</f>
        <v>0</v>
      </c>
      <c r="F276">
        <f>'Participant reporting'!F503</f>
        <v>0</v>
      </c>
      <c r="G276">
        <f>'Participant reporting'!G503</f>
        <v>0</v>
      </c>
      <c r="H276">
        <f>'Participant reporting'!H503</f>
        <v>0</v>
      </c>
      <c r="I276">
        <f>'Participant reporting'!I503</f>
        <v>0</v>
      </c>
      <c r="J276">
        <f>'Participant reporting'!J503</f>
        <v>0</v>
      </c>
      <c r="K276">
        <f>'Participant reporting'!K503</f>
        <v>0</v>
      </c>
      <c r="L276">
        <f>'Participant reporting'!L503</f>
        <v>0</v>
      </c>
      <c r="M276">
        <f>'Participant reporting'!M503</f>
        <v>0</v>
      </c>
      <c r="N276">
        <f>'Participant reporting'!N503</f>
        <v>0</v>
      </c>
      <c r="O276">
        <f>'Participant reporting'!O503</f>
        <v>0</v>
      </c>
    </row>
    <row r="277" spans="1:15" x14ac:dyDescent="0.25">
      <c r="A277">
        <f>'Participant reporting'!A504</f>
        <v>0</v>
      </c>
      <c r="B277">
        <f>'Participant reporting'!B504</f>
        <v>0</v>
      </c>
      <c r="C277">
        <f>'Participant reporting'!C504</f>
        <v>0</v>
      </c>
      <c r="D277">
        <f>'Participant reporting'!D504</f>
        <v>0</v>
      </c>
      <c r="E277" s="15">
        <f>'Participant reporting'!E504</f>
        <v>0</v>
      </c>
      <c r="F277">
        <f>'Participant reporting'!F504</f>
        <v>0</v>
      </c>
      <c r="G277">
        <f>'Participant reporting'!G504</f>
        <v>0</v>
      </c>
      <c r="H277">
        <f>'Participant reporting'!H504</f>
        <v>0</v>
      </c>
      <c r="I277">
        <f>'Participant reporting'!I504</f>
        <v>0</v>
      </c>
      <c r="J277">
        <f>'Participant reporting'!J504</f>
        <v>0</v>
      </c>
      <c r="K277">
        <f>'Participant reporting'!K504</f>
        <v>0</v>
      </c>
      <c r="L277">
        <f>'Participant reporting'!L504</f>
        <v>0</v>
      </c>
      <c r="M277">
        <f>'Participant reporting'!M504</f>
        <v>0</v>
      </c>
      <c r="N277">
        <f>'Participant reporting'!N504</f>
        <v>0</v>
      </c>
      <c r="O277">
        <f>'Participant reporting'!O504</f>
        <v>0</v>
      </c>
    </row>
    <row r="278" spans="1:15" x14ac:dyDescent="0.25">
      <c r="A278">
        <f>'Participant reporting'!A505</f>
        <v>0</v>
      </c>
      <c r="B278">
        <f>'Participant reporting'!B505</f>
        <v>0</v>
      </c>
      <c r="C278">
        <f>'Participant reporting'!C505</f>
        <v>0</v>
      </c>
      <c r="D278">
        <f>'Participant reporting'!D505</f>
        <v>0</v>
      </c>
      <c r="E278" s="15">
        <f>'Participant reporting'!E505</f>
        <v>0</v>
      </c>
      <c r="F278">
        <f>'Participant reporting'!F505</f>
        <v>0</v>
      </c>
      <c r="G278">
        <f>'Participant reporting'!G505</f>
        <v>0</v>
      </c>
      <c r="H278">
        <f>'Participant reporting'!H505</f>
        <v>0</v>
      </c>
      <c r="I278">
        <f>'Participant reporting'!I505</f>
        <v>0</v>
      </c>
      <c r="J278">
        <f>'Participant reporting'!J505</f>
        <v>0</v>
      </c>
      <c r="K278">
        <f>'Participant reporting'!K505</f>
        <v>0</v>
      </c>
      <c r="L278">
        <f>'Participant reporting'!L505</f>
        <v>0</v>
      </c>
      <c r="M278">
        <f>'Participant reporting'!M505</f>
        <v>0</v>
      </c>
      <c r="N278">
        <f>'Participant reporting'!N505</f>
        <v>0</v>
      </c>
      <c r="O278">
        <f>'Participant reporting'!O505</f>
        <v>0</v>
      </c>
    </row>
    <row r="279" spans="1:15" x14ac:dyDescent="0.25">
      <c r="A279">
        <f>'Participant reporting'!A506</f>
        <v>0</v>
      </c>
      <c r="B279">
        <f>'Participant reporting'!B506</f>
        <v>0</v>
      </c>
      <c r="C279">
        <f>'Participant reporting'!C506</f>
        <v>0</v>
      </c>
      <c r="D279">
        <f>'Participant reporting'!D506</f>
        <v>0</v>
      </c>
      <c r="E279" s="15">
        <f>'Participant reporting'!E506</f>
        <v>0</v>
      </c>
      <c r="F279">
        <f>'Participant reporting'!F506</f>
        <v>0</v>
      </c>
      <c r="G279">
        <f>'Participant reporting'!G506</f>
        <v>0</v>
      </c>
      <c r="H279">
        <f>'Participant reporting'!H506</f>
        <v>0</v>
      </c>
      <c r="I279">
        <f>'Participant reporting'!I506</f>
        <v>0</v>
      </c>
      <c r="J279">
        <f>'Participant reporting'!J506</f>
        <v>0</v>
      </c>
      <c r="K279">
        <f>'Participant reporting'!K506</f>
        <v>0</v>
      </c>
      <c r="L279">
        <f>'Participant reporting'!L506</f>
        <v>0</v>
      </c>
      <c r="M279">
        <f>'Participant reporting'!M506</f>
        <v>0</v>
      </c>
      <c r="N279">
        <f>'Participant reporting'!N506</f>
        <v>0</v>
      </c>
      <c r="O279">
        <f>'Participant reporting'!O506</f>
        <v>0</v>
      </c>
    </row>
    <row r="280" spans="1:15" x14ac:dyDescent="0.25">
      <c r="A280">
        <f>'Participant reporting'!A507</f>
        <v>0</v>
      </c>
      <c r="B280">
        <f>'Participant reporting'!B507</f>
        <v>0</v>
      </c>
      <c r="C280">
        <f>'Participant reporting'!C507</f>
        <v>0</v>
      </c>
      <c r="D280">
        <f>'Participant reporting'!D507</f>
        <v>0</v>
      </c>
      <c r="E280" s="15">
        <f>'Participant reporting'!E507</f>
        <v>0</v>
      </c>
      <c r="F280">
        <f>'Participant reporting'!F507</f>
        <v>0</v>
      </c>
      <c r="G280">
        <f>'Participant reporting'!G507</f>
        <v>0</v>
      </c>
      <c r="H280">
        <f>'Participant reporting'!H507</f>
        <v>0</v>
      </c>
      <c r="I280">
        <f>'Participant reporting'!I507</f>
        <v>0</v>
      </c>
      <c r="J280">
        <f>'Participant reporting'!J507</f>
        <v>0</v>
      </c>
      <c r="K280">
        <f>'Participant reporting'!K507</f>
        <v>0</v>
      </c>
      <c r="L280">
        <f>'Participant reporting'!L507</f>
        <v>0</v>
      </c>
      <c r="M280">
        <f>'Participant reporting'!M507</f>
        <v>0</v>
      </c>
      <c r="N280">
        <f>'Participant reporting'!N507</f>
        <v>0</v>
      </c>
      <c r="O280">
        <f>'Participant reporting'!O507</f>
        <v>0</v>
      </c>
    </row>
    <row r="281" spans="1:15" x14ac:dyDescent="0.25">
      <c r="A281">
        <f>'Participant reporting'!A508</f>
        <v>0</v>
      </c>
      <c r="B281">
        <f>'Participant reporting'!B508</f>
        <v>0</v>
      </c>
      <c r="C281">
        <f>'Participant reporting'!C508</f>
        <v>0</v>
      </c>
      <c r="D281">
        <f>'Participant reporting'!D508</f>
        <v>0</v>
      </c>
      <c r="E281" s="15">
        <f>'Participant reporting'!E508</f>
        <v>0</v>
      </c>
      <c r="F281">
        <f>'Participant reporting'!F508</f>
        <v>0</v>
      </c>
      <c r="G281">
        <f>'Participant reporting'!G508</f>
        <v>0</v>
      </c>
      <c r="H281">
        <f>'Participant reporting'!H508</f>
        <v>0</v>
      </c>
      <c r="I281">
        <f>'Participant reporting'!I508</f>
        <v>0</v>
      </c>
      <c r="J281">
        <f>'Participant reporting'!J508</f>
        <v>0</v>
      </c>
      <c r="K281">
        <f>'Participant reporting'!K508</f>
        <v>0</v>
      </c>
      <c r="L281">
        <f>'Participant reporting'!L508</f>
        <v>0</v>
      </c>
      <c r="M281">
        <f>'Participant reporting'!M508</f>
        <v>0</v>
      </c>
      <c r="N281">
        <f>'Participant reporting'!N508</f>
        <v>0</v>
      </c>
      <c r="O281">
        <f>'Participant reporting'!O508</f>
        <v>0</v>
      </c>
    </row>
    <row r="282" spans="1:15" x14ac:dyDescent="0.25">
      <c r="A282">
        <f>'Participant reporting'!A509</f>
        <v>0</v>
      </c>
      <c r="B282">
        <f>'Participant reporting'!B509</f>
        <v>0</v>
      </c>
      <c r="C282">
        <f>'Participant reporting'!C509</f>
        <v>0</v>
      </c>
      <c r="D282">
        <f>'Participant reporting'!D509</f>
        <v>0</v>
      </c>
      <c r="E282" s="15">
        <f>'Participant reporting'!E509</f>
        <v>0</v>
      </c>
      <c r="F282">
        <f>'Participant reporting'!F509</f>
        <v>0</v>
      </c>
      <c r="G282">
        <f>'Participant reporting'!G509</f>
        <v>0</v>
      </c>
      <c r="H282">
        <f>'Participant reporting'!H509</f>
        <v>0</v>
      </c>
      <c r="I282">
        <f>'Participant reporting'!I509</f>
        <v>0</v>
      </c>
      <c r="J282">
        <f>'Participant reporting'!J509</f>
        <v>0</v>
      </c>
      <c r="K282">
        <f>'Participant reporting'!K509</f>
        <v>0</v>
      </c>
      <c r="L282">
        <f>'Participant reporting'!L509</f>
        <v>0</v>
      </c>
      <c r="M282">
        <f>'Participant reporting'!M509</f>
        <v>0</v>
      </c>
      <c r="N282">
        <f>'Participant reporting'!N509</f>
        <v>0</v>
      </c>
      <c r="O282">
        <f>'Participant reporting'!O509</f>
        <v>0</v>
      </c>
    </row>
    <row r="283" spans="1:15" x14ac:dyDescent="0.25">
      <c r="A283">
        <f>'Participant reporting'!A510</f>
        <v>0</v>
      </c>
      <c r="B283">
        <f>'Participant reporting'!B510</f>
        <v>0</v>
      </c>
      <c r="C283">
        <f>'Participant reporting'!C510</f>
        <v>0</v>
      </c>
      <c r="D283">
        <f>'Participant reporting'!D510</f>
        <v>0</v>
      </c>
      <c r="E283" s="15">
        <f>'Participant reporting'!E510</f>
        <v>0</v>
      </c>
      <c r="F283">
        <f>'Participant reporting'!F510</f>
        <v>0</v>
      </c>
      <c r="G283">
        <f>'Participant reporting'!G510</f>
        <v>0</v>
      </c>
      <c r="H283">
        <f>'Participant reporting'!H510</f>
        <v>0</v>
      </c>
      <c r="I283">
        <f>'Participant reporting'!I510</f>
        <v>0</v>
      </c>
      <c r="J283">
        <f>'Participant reporting'!J510</f>
        <v>0</v>
      </c>
      <c r="K283">
        <f>'Participant reporting'!K510</f>
        <v>0</v>
      </c>
      <c r="L283">
        <f>'Participant reporting'!L510</f>
        <v>0</v>
      </c>
      <c r="M283">
        <f>'Participant reporting'!M510</f>
        <v>0</v>
      </c>
      <c r="N283">
        <f>'Participant reporting'!N510</f>
        <v>0</v>
      </c>
      <c r="O283">
        <f>'Participant reporting'!O510</f>
        <v>0</v>
      </c>
    </row>
    <row r="284" spans="1:15" x14ac:dyDescent="0.25">
      <c r="A284">
        <f>'Participant reporting'!A511</f>
        <v>0</v>
      </c>
      <c r="B284">
        <f>'Participant reporting'!B511</f>
        <v>0</v>
      </c>
      <c r="C284">
        <f>'Participant reporting'!C511</f>
        <v>0</v>
      </c>
      <c r="D284">
        <f>'Participant reporting'!D511</f>
        <v>0</v>
      </c>
      <c r="E284" s="15">
        <f>'Participant reporting'!E511</f>
        <v>0</v>
      </c>
      <c r="F284">
        <f>'Participant reporting'!F511</f>
        <v>0</v>
      </c>
      <c r="G284">
        <f>'Participant reporting'!G511</f>
        <v>0</v>
      </c>
      <c r="H284">
        <f>'Participant reporting'!H511</f>
        <v>0</v>
      </c>
      <c r="I284">
        <f>'Participant reporting'!I511</f>
        <v>0</v>
      </c>
      <c r="J284">
        <f>'Participant reporting'!J511</f>
        <v>0</v>
      </c>
      <c r="K284">
        <f>'Participant reporting'!K511</f>
        <v>0</v>
      </c>
      <c r="L284">
        <f>'Participant reporting'!L511</f>
        <v>0</v>
      </c>
      <c r="M284">
        <f>'Participant reporting'!M511</f>
        <v>0</v>
      </c>
      <c r="N284">
        <f>'Participant reporting'!N511</f>
        <v>0</v>
      </c>
      <c r="O284">
        <f>'Participant reporting'!O511</f>
        <v>0</v>
      </c>
    </row>
    <row r="285" spans="1:15" x14ac:dyDescent="0.25">
      <c r="A285">
        <f>'Participant reporting'!A512</f>
        <v>0</v>
      </c>
      <c r="B285">
        <f>'Participant reporting'!B512</f>
        <v>0</v>
      </c>
      <c r="C285">
        <f>'Participant reporting'!C512</f>
        <v>0</v>
      </c>
      <c r="D285">
        <f>'Participant reporting'!D512</f>
        <v>0</v>
      </c>
      <c r="E285" s="15">
        <f>'Participant reporting'!E512</f>
        <v>0</v>
      </c>
      <c r="F285">
        <f>'Participant reporting'!F512</f>
        <v>0</v>
      </c>
      <c r="G285">
        <f>'Participant reporting'!G512</f>
        <v>0</v>
      </c>
      <c r="H285">
        <f>'Participant reporting'!H512</f>
        <v>0</v>
      </c>
      <c r="I285">
        <f>'Participant reporting'!I512</f>
        <v>0</v>
      </c>
      <c r="J285">
        <f>'Participant reporting'!J512</f>
        <v>0</v>
      </c>
      <c r="K285">
        <f>'Participant reporting'!K512</f>
        <v>0</v>
      </c>
      <c r="L285">
        <f>'Participant reporting'!L512</f>
        <v>0</v>
      </c>
      <c r="M285">
        <f>'Participant reporting'!M512</f>
        <v>0</v>
      </c>
      <c r="N285">
        <f>'Participant reporting'!N512</f>
        <v>0</v>
      </c>
      <c r="O285">
        <f>'Participant reporting'!O512</f>
        <v>0</v>
      </c>
    </row>
    <row r="286" spans="1:15" x14ac:dyDescent="0.25">
      <c r="A286">
        <f>'Participant reporting'!A513</f>
        <v>0</v>
      </c>
      <c r="B286">
        <f>'Participant reporting'!B513</f>
        <v>0</v>
      </c>
      <c r="C286">
        <f>'Participant reporting'!C513</f>
        <v>0</v>
      </c>
      <c r="D286">
        <f>'Participant reporting'!D513</f>
        <v>0</v>
      </c>
      <c r="E286" s="15">
        <f>'Participant reporting'!E513</f>
        <v>0</v>
      </c>
      <c r="F286">
        <f>'Participant reporting'!F513</f>
        <v>0</v>
      </c>
      <c r="G286">
        <f>'Participant reporting'!G513</f>
        <v>0</v>
      </c>
      <c r="H286">
        <f>'Participant reporting'!H513</f>
        <v>0</v>
      </c>
      <c r="I286">
        <f>'Participant reporting'!I513</f>
        <v>0</v>
      </c>
      <c r="J286">
        <f>'Participant reporting'!J513</f>
        <v>0</v>
      </c>
      <c r="K286">
        <f>'Participant reporting'!K513</f>
        <v>0</v>
      </c>
      <c r="L286">
        <f>'Participant reporting'!L513</f>
        <v>0</v>
      </c>
      <c r="M286">
        <f>'Participant reporting'!M513</f>
        <v>0</v>
      </c>
      <c r="N286">
        <f>'Participant reporting'!N513</f>
        <v>0</v>
      </c>
      <c r="O286">
        <f>'Participant reporting'!O513</f>
        <v>0</v>
      </c>
    </row>
    <row r="287" spans="1:15" x14ac:dyDescent="0.25">
      <c r="A287">
        <f>'Participant reporting'!A514</f>
        <v>0</v>
      </c>
      <c r="B287">
        <f>'Participant reporting'!B514</f>
        <v>0</v>
      </c>
      <c r="C287">
        <f>'Participant reporting'!C514</f>
        <v>0</v>
      </c>
      <c r="D287">
        <f>'Participant reporting'!D514</f>
        <v>0</v>
      </c>
      <c r="E287" s="15">
        <f>'Participant reporting'!E514</f>
        <v>0</v>
      </c>
      <c r="F287">
        <f>'Participant reporting'!F514</f>
        <v>0</v>
      </c>
      <c r="G287">
        <f>'Participant reporting'!G514</f>
        <v>0</v>
      </c>
      <c r="H287">
        <f>'Participant reporting'!H514</f>
        <v>0</v>
      </c>
      <c r="I287">
        <f>'Participant reporting'!I514</f>
        <v>0</v>
      </c>
      <c r="J287">
        <f>'Participant reporting'!J514</f>
        <v>0</v>
      </c>
      <c r="K287">
        <f>'Participant reporting'!K514</f>
        <v>0</v>
      </c>
      <c r="L287">
        <f>'Participant reporting'!L514</f>
        <v>0</v>
      </c>
      <c r="M287">
        <f>'Participant reporting'!M514</f>
        <v>0</v>
      </c>
      <c r="N287">
        <f>'Participant reporting'!N514</f>
        <v>0</v>
      </c>
      <c r="O287">
        <f>'Participant reporting'!O514</f>
        <v>0</v>
      </c>
    </row>
    <row r="288" spans="1:15" x14ac:dyDescent="0.25">
      <c r="A288">
        <f>'Participant reporting'!A515</f>
        <v>0</v>
      </c>
      <c r="B288">
        <f>'Participant reporting'!B515</f>
        <v>0</v>
      </c>
      <c r="C288">
        <f>'Participant reporting'!C515</f>
        <v>0</v>
      </c>
      <c r="D288">
        <f>'Participant reporting'!D515</f>
        <v>0</v>
      </c>
      <c r="E288" s="15">
        <f>'Participant reporting'!E515</f>
        <v>0</v>
      </c>
      <c r="F288">
        <f>'Participant reporting'!F515</f>
        <v>0</v>
      </c>
      <c r="G288">
        <f>'Participant reporting'!G515</f>
        <v>0</v>
      </c>
      <c r="H288">
        <f>'Participant reporting'!H515</f>
        <v>0</v>
      </c>
      <c r="I288">
        <f>'Participant reporting'!I515</f>
        <v>0</v>
      </c>
      <c r="J288">
        <f>'Participant reporting'!J515</f>
        <v>0</v>
      </c>
      <c r="K288">
        <f>'Participant reporting'!K515</f>
        <v>0</v>
      </c>
      <c r="L288">
        <f>'Participant reporting'!L515</f>
        <v>0</v>
      </c>
      <c r="M288">
        <f>'Participant reporting'!M515</f>
        <v>0</v>
      </c>
      <c r="N288">
        <f>'Participant reporting'!N515</f>
        <v>0</v>
      </c>
      <c r="O288">
        <f>'Participant reporting'!O515</f>
        <v>0</v>
      </c>
    </row>
    <row r="289" spans="1:15" x14ac:dyDescent="0.25">
      <c r="A289">
        <f>'Participant reporting'!A516</f>
        <v>0</v>
      </c>
      <c r="B289">
        <f>'Participant reporting'!B516</f>
        <v>0</v>
      </c>
      <c r="C289">
        <f>'Participant reporting'!C516</f>
        <v>0</v>
      </c>
      <c r="D289">
        <f>'Participant reporting'!D516</f>
        <v>0</v>
      </c>
      <c r="E289" s="15">
        <f>'Participant reporting'!E516</f>
        <v>0</v>
      </c>
      <c r="F289">
        <f>'Participant reporting'!F516</f>
        <v>0</v>
      </c>
      <c r="G289">
        <f>'Participant reporting'!G516</f>
        <v>0</v>
      </c>
      <c r="H289">
        <f>'Participant reporting'!H516</f>
        <v>0</v>
      </c>
      <c r="I289">
        <f>'Participant reporting'!I516</f>
        <v>0</v>
      </c>
      <c r="J289">
        <f>'Participant reporting'!J516</f>
        <v>0</v>
      </c>
      <c r="K289">
        <f>'Participant reporting'!K516</f>
        <v>0</v>
      </c>
      <c r="L289">
        <f>'Participant reporting'!L516</f>
        <v>0</v>
      </c>
      <c r="M289">
        <f>'Participant reporting'!M516</f>
        <v>0</v>
      </c>
      <c r="N289">
        <f>'Participant reporting'!N516</f>
        <v>0</v>
      </c>
      <c r="O289">
        <f>'Participant reporting'!O516</f>
        <v>0</v>
      </c>
    </row>
    <row r="290" spans="1:15" x14ac:dyDescent="0.25">
      <c r="A290">
        <f>'Participant reporting'!A517</f>
        <v>0</v>
      </c>
      <c r="B290">
        <f>'Participant reporting'!B517</f>
        <v>0</v>
      </c>
      <c r="C290">
        <f>'Participant reporting'!C517</f>
        <v>0</v>
      </c>
      <c r="D290">
        <f>'Participant reporting'!D517</f>
        <v>0</v>
      </c>
      <c r="E290" s="15">
        <f>'Participant reporting'!E517</f>
        <v>0</v>
      </c>
      <c r="F290">
        <f>'Participant reporting'!F517</f>
        <v>0</v>
      </c>
      <c r="G290">
        <f>'Participant reporting'!G517</f>
        <v>0</v>
      </c>
      <c r="H290">
        <f>'Participant reporting'!H517</f>
        <v>0</v>
      </c>
      <c r="I290">
        <f>'Participant reporting'!I517</f>
        <v>0</v>
      </c>
      <c r="J290">
        <f>'Participant reporting'!J517</f>
        <v>0</v>
      </c>
      <c r="K290">
        <f>'Participant reporting'!K517</f>
        <v>0</v>
      </c>
      <c r="L290">
        <f>'Participant reporting'!L517</f>
        <v>0</v>
      </c>
      <c r="M290">
        <f>'Participant reporting'!M517</f>
        <v>0</v>
      </c>
      <c r="N290">
        <f>'Participant reporting'!N517</f>
        <v>0</v>
      </c>
      <c r="O290">
        <f>'Participant reporting'!O517</f>
        <v>0</v>
      </c>
    </row>
    <row r="291" spans="1:15" x14ac:dyDescent="0.25">
      <c r="A291">
        <f>'Participant reporting'!A518</f>
        <v>0</v>
      </c>
      <c r="B291">
        <f>'Participant reporting'!B518</f>
        <v>0</v>
      </c>
      <c r="C291">
        <f>'Participant reporting'!C518</f>
        <v>0</v>
      </c>
      <c r="D291">
        <f>'Participant reporting'!D518</f>
        <v>0</v>
      </c>
      <c r="E291" s="15">
        <f>'Participant reporting'!E518</f>
        <v>0</v>
      </c>
      <c r="F291">
        <f>'Participant reporting'!F518</f>
        <v>0</v>
      </c>
      <c r="G291">
        <f>'Participant reporting'!G518</f>
        <v>0</v>
      </c>
      <c r="H291">
        <f>'Participant reporting'!H518</f>
        <v>0</v>
      </c>
      <c r="I291">
        <f>'Participant reporting'!I518</f>
        <v>0</v>
      </c>
      <c r="J291">
        <f>'Participant reporting'!J518</f>
        <v>0</v>
      </c>
      <c r="K291">
        <f>'Participant reporting'!K518</f>
        <v>0</v>
      </c>
      <c r="L291">
        <f>'Participant reporting'!L518</f>
        <v>0</v>
      </c>
      <c r="M291">
        <f>'Participant reporting'!M518</f>
        <v>0</v>
      </c>
      <c r="N291">
        <f>'Participant reporting'!N518</f>
        <v>0</v>
      </c>
      <c r="O291">
        <f>'Participant reporting'!O518</f>
        <v>0</v>
      </c>
    </row>
    <row r="292" spans="1:15" x14ac:dyDescent="0.25">
      <c r="A292">
        <f>'Participant reporting'!A519</f>
        <v>0</v>
      </c>
      <c r="B292">
        <f>'Participant reporting'!B519</f>
        <v>0</v>
      </c>
      <c r="C292">
        <f>'Participant reporting'!C519</f>
        <v>0</v>
      </c>
      <c r="D292">
        <f>'Participant reporting'!D519</f>
        <v>0</v>
      </c>
      <c r="E292" s="15">
        <f>'Participant reporting'!E519</f>
        <v>0</v>
      </c>
      <c r="F292">
        <f>'Participant reporting'!F519</f>
        <v>0</v>
      </c>
      <c r="G292">
        <f>'Participant reporting'!G519</f>
        <v>0</v>
      </c>
      <c r="H292">
        <f>'Participant reporting'!H519</f>
        <v>0</v>
      </c>
      <c r="I292">
        <f>'Participant reporting'!I519</f>
        <v>0</v>
      </c>
      <c r="J292">
        <f>'Participant reporting'!J519</f>
        <v>0</v>
      </c>
      <c r="K292">
        <f>'Participant reporting'!K519</f>
        <v>0</v>
      </c>
      <c r="L292">
        <f>'Participant reporting'!L519</f>
        <v>0</v>
      </c>
      <c r="M292">
        <f>'Participant reporting'!M519</f>
        <v>0</v>
      </c>
      <c r="N292">
        <f>'Participant reporting'!N519</f>
        <v>0</v>
      </c>
      <c r="O292">
        <f>'Participant reporting'!O519</f>
        <v>0</v>
      </c>
    </row>
    <row r="293" spans="1:15" x14ac:dyDescent="0.25">
      <c r="A293">
        <f>'Participant reporting'!A520</f>
        <v>0</v>
      </c>
      <c r="B293">
        <f>'Participant reporting'!B520</f>
        <v>0</v>
      </c>
      <c r="C293">
        <f>'Participant reporting'!C520</f>
        <v>0</v>
      </c>
      <c r="D293">
        <f>'Participant reporting'!D520</f>
        <v>0</v>
      </c>
      <c r="E293" s="15">
        <f>'Participant reporting'!E520</f>
        <v>0</v>
      </c>
      <c r="F293">
        <f>'Participant reporting'!F520</f>
        <v>0</v>
      </c>
      <c r="G293">
        <f>'Participant reporting'!G520</f>
        <v>0</v>
      </c>
      <c r="H293">
        <f>'Participant reporting'!H520</f>
        <v>0</v>
      </c>
      <c r="I293">
        <f>'Participant reporting'!I520</f>
        <v>0</v>
      </c>
      <c r="J293">
        <f>'Participant reporting'!J520</f>
        <v>0</v>
      </c>
      <c r="K293">
        <f>'Participant reporting'!K520</f>
        <v>0</v>
      </c>
      <c r="L293">
        <f>'Participant reporting'!L520</f>
        <v>0</v>
      </c>
      <c r="M293">
        <f>'Participant reporting'!M520</f>
        <v>0</v>
      </c>
      <c r="N293">
        <f>'Participant reporting'!N520</f>
        <v>0</v>
      </c>
      <c r="O293">
        <f>'Participant reporting'!O520</f>
        <v>0</v>
      </c>
    </row>
    <row r="294" spans="1:15" x14ac:dyDescent="0.25">
      <c r="A294">
        <f>'Participant reporting'!A521</f>
        <v>0</v>
      </c>
      <c r="B294">
        <f>'Participant reporting'!B521</f>
        <v>0</v>
      </c>
      <c r="C294">
        <f>'Participant reporting'!C521</f>
        <v>0</v>
      </c>
      <c r="D294">
        <f>'Participant reporting'!D521</f>
        <v>0</v>
      </c>
      <c r="E294" s="15">
        <f>'Participant reporting'!E521</f>
        <v>0</v>
      </c>
      <c r="F294">
        <f>'Participant reporting'!F521</f>
        <v>0</v>
      </c>
      <c r="G294">
        <f>'Participant reporting'!G521</f>
        <v>0</v>
      </c>
      <c r="H294">
        <f>'Participant reporting'!H521</f>
        <v>0</v>
      </c>
      <c r="I294">
        <f>'Participant reporting'!I521</f>
        <v>0</v>
      </c>
      <c r="J294">
        <f>'Participant reporting'!J521</f>
        <v>0</v>
      </c>
      <c r="K294">
        <f>'Participant reporting'!K521</f>
        <v>0</v>
      </c>
      <c r="L294">
        <f>'Participant reporting'!L521</f>
        <v>0</v>
      </c>
      <c r="M294">
        <f>'Participant reporting'!M521</f>
        <v>0</v>
      </c>
      <c r="N294">
        <f>'Participant reporting'!N521</f>
        <v>0</v>
      </c>
      <c r="O294">
        <f>'Participant reporting'!O521</f>
        <v>0</v>
      </c>
    </row>
    <row r="295" spans="1:15" x14ac:dyDescent="0.25">
      <c r="A295">
        <f>'Participant reporting'!A522</f>
        <v>0</v>
      </c>
      <c r="B295">
        <f>'Participant reporting'!B522</f>
        <v>0</v>
      </c>
      <c r="C295">
        <f>'Participant reporting'!C522</f>
        <v>0</v>
      </c>
      <c r="D295">
        <f>'Participant reporting'!D522</f>
        <v>0</v>
      </c>
      <c r="E295" s="15">
        <f>'Participant reporting'!E522</f>
        <v>0</v>
      </c>
      <c r="F295">
        <f>'Participant reporting'!F522</f>
        <v>0</v>
      </c>
      <c r="G295">
        <f>'Participant reporting'!G522</f>
        <v>0</v>
      </c>
      <c r="H295">
        <f>'Participant reporting'!H522</f>
        <v>0</v>
      </c>
      <c r="I295">
        <f>'Participant reporting'!I522</f>
        <v>0</v>
      </c>
      <c r="J295">
        <f>'Participant reporting'!J522</f>
        <v>0</v>
      </c>
      <c r="K295">
        <f>'Participant reporting'!K522</f>
        <v>0</v>
      </c>
      <c r="L295">
        <f>'Participant reporting'!L522</f>
        <v>0</v>
      </c>
      <c r="M295">
        <f>'Participant reporting'!M522</f>
        <v>0</v>
      </c>
      <c r="N295">
        <f>'Participant reporting'!N522</f>
        <v>0</v>
      </c>
      <c r="O295">
        <f>'Participant reporting'!O522</f>
        <v>0</v>
      </c>
    </row>
    <row r="296" spans="1:15" x14ac:dyDescent="0.25">
      <c r="A296">
        <f>'Participant reporting'!A523</f>
        <v>0</v>
      </c>
      <c r="B296">
        <f>'Participant reporting'!B523</f>
        <v>0</v>
      </c>
      <c r="C296">
        <f>'Participant reporting'!C523</f>
        <v>0</v>
      </c>
      <c r="D296">
        <f>'Participant reporting'!D523</f>
        <v>0</v>
      </c>
      <c r="E296" s="15">
        <f>'Participant reporting'!E523</f>
        <v>0</v>
      </c>
      <c r="F296">
        <f>'Participant reporting'!F523</f>
        <v>0</v>
      </c>
      <c r="G296">
        <f>'Participant reporting'!G523</f>
        <v>0</v>
      </c>
      <c r="H296">
        <f>'Participant reporting'!H523</f>
        <v>0</v>
      </c>
      <c r="I296">
        <f>'Participant reporting'!I523</f>
        <v>0</v>
      </c>
      <c r="J296">
        <f>'Participant reporting'!J523</f>
        <v>0</v>
      </c>
      <c r="K296">
        <f>'Participant reporting'!K523</f>
        <v>0</v>
      </c>
      <c r="L296">
        <f>'Participant reporting'!L523</f>
        <v>0</v>
      </c>
      <c r="M296">
        <f>'Participant reporting'!M523</f>
        <v>0</v>
      </c>
      <c r="N296">
        <f>'Participant reporting'!N523</f>
        <v>0</v>
      </c>
      <c r="O296">
        <f>'Participant reporting'!O523</f>
        <v>0</v>
      </c>
    </row>
    <row r="297" spans="1:15" x14ac:dyDescent="0.25">
      <c r="A297">
        <f>'Participant reporting'!A524</f>
        <v>0</v>
      </c>
      <c r="B297">
        <f>'Participant reporting'!B524</f>
        <v>0</v>
      </c>
      <c r="C297">
        <f>'Participant reporting'!C524</f>
        <v>0</v>
      </c>
      <c r="D297">
        <f>'Participant reporting'!D524</f>
        <v>0</v>
      </c>
      <c r="E297" s="15">
        <f>'Participant reporting'!E524</f>
        <v>0</v>
      </c>
      <c r="F297">
        <f>'Participant reporting'!F524</f>
        <v>0</v>
      </c>
      <c r="G297">
        <f>'Participant reporting'!G524</f>
        <v>0</v>
      </c>
      <c r="H297">
        <f>'Participant reporting'!H524</f>
        <v>0</v>
      </c>
      <c r="I297">
        <f>'Participant reporting'!I524</f>
        <v>0</v>
      </c>
      <c r="J297">
        <f>'Participant reporting'!J524</f>
        <v>0</v>
      </c>
      <c r="K297">
        <f>'Participant reporting'!K524</f>
        <v>0</v>
      </c>
      <c r="L297">
        <f>'Participant reporting'!L524</f>
        <v>0</v>
      </c>
      <c r="M297">
        <f>'Participant reporting'!M524</f>
        <v>0</v>
      </c>
      <c r="N297">
        <f>'Participant reporting'!N524</f>
        <v>0</v>
      </c>
      <c r="O297">
        <f>'Participant reporting'!O524</f>
        <v>0</v>
      </c>
    </row>
    <row r="298" spans="1:15" x14ac:dyDescent="0.25">
      <c r="A298">
        <f>'Participant reporting'!A525</f>
        <v>0</v>
      </c>
      <c r="B298">
        <f>'Participant reporting'!B525</f>
        <v>0</v>
      </c>
      <c r="C298">
        <f>'Participant reporting'!C525</f>
        <v>0</v>
      </c>
      <c r="D298">
        <f>'Participant reporting'!D525</f>
        <v>0</v>
      </c>
      <c r="E298" s="15">
        <f>'Participant reporting'!E525</f>
        <v>0</v>
      </c>
      <c r="F298">
        <f>'Participant reporting'!F525</f>
        <v>0</v>
      </c>
      <c r="G298">
        <f>'Participant reporting'!G525</f>
        <v>0</v>
      </c>
      <c r="H298">
        <f>'Participant reporting'!H525</f>
        <v>0</v>
      </c>
      <c r="I298">
        <f>'Participant reporting'!I525</f>
        <v>0</v>
      </c>
      <c r="J298">
        <f>'Participant reporting'!J525</f>
        <v>0</v>
      </c>
      <c r="K298">
        <f>'Participant reporting'!K525</f>
        <v>0</v>
      </c>
      <c r="L298">
        <f>'Participant reporting'!L525</f>
        <v>0</v>
      </c>
      <c r="M298">
        <f>'Participant reporting'!M525</f>
        <v>0</v>
      </c>
      <c r="N298">
        <f>'Participant reporting'!N525</f>
        <v>0</v>
      </c>
      <c r="O298">
        <f>'Participant reporting'!O525</f>
        <v>0</v>
      </c>
    </row>
    <row r="299" spans="1:15" x14ac:dyDescent="0.25">
      <c r="A299">
        <f>'Participant reporting'!A526</f>
        <v>0</v>
      </c>
      <c r="B299">
        <f>'Participant reporting'!B526</f>
        <v>0</v>
      </c>
      <c r="C299">
        <f>'Participant reporting'!C526</f>
        <v>0</v>
      </c>
      <c r="D299">
        <f>'Participant reporting'!D526</f>
        <v>0</v>
      </c>
      <c r="E299" s="15">
        <f>'Participant reporting'!E526</f>
        <v>0</v>
      </c>
      <c r="F299">
        <f>'Participant reporting'!F526</f>
        <v>0</v>
      </c>
      <c r="G299">
        <f>'Participant reporting'!G526</f>
        <v>0</v>
      </c>
      <c r="H299">
        <f>'Participant reporting'!H526</f>
        <v>0</v>
      </c>
      <c r="I299">
        <f>'Participant reporting'!I526</f>
        <v>0</v>
      </c>
      <c r="J299">
        <f>'Participant reporting'!J526</f>
        <v>0</v>
      </c>
      <c r="K299">
        <f>'Participant reporting'!K526</f>
        <v>0</v>
      </c>
      <c r="L299">
        <f>'Participant reporting'!L526</f>
        <v>0</v>
      </c>
      <c r="M299">
        <f>'Participant reporting'!M526</f>
        <v>0</v>
      </c>
      <c r="N299">
        <f>'Participant reporting'!N526</f>
        <v>0</v>
      </c>
      <c r="O299">
        <f>'Participant reporting'!O526</f>
        <v>0</v>
      </c>
    </row>
    <row r="300" spans="1:15" x14ac:dyDescent="0.25">
      <c r="A300">
        <f>'Participant reporting'!A527</f>
        <v>0</v>
      </c>
      <c r="B300">
        <f>'Participant reporting'!B527</f>
        <v>0</v>
      </c>
      <c r="C300">
        <f>'Participant reporting'!C527</f>
        <v>0</v>
      </c>
      <c r="D300">
        <f>'Participant reporting'!D527</f>
        <v>0</v>
      </c>
      <c r="E300" s="15">
        <f>'Participant reporting'!E527</f>
        <v>0</v>
      </c>
      <c r="F300">
        <f>'Participant reporting'!F527</f>
        <v>0</v>
      </c>
      <c r="G300">
        <f>'Participant reporting'!G527</f>
        <v>0</v>
      </c>
      <c r="H300">
        <f>'Participant reporting'!H527</f>
        <v>0</v>
      </c>
      <c r="I300">
        <f>'Participant reporting'!I527</f>
        <v>0</v>
      </c>
      <c r="J300">
        <f>'Participant reporting'!J527</f>
        <v>0</v>
      </c>
      <c r="K300">
        <f>'Participant reporting'!K527</f>
        <v>0</v>
      </c>
      <c r="L300">
        <f>'Participant reporting'!L527</f>
        <v>0</v>
      </c>
      <c r="M300">
        <f>'Participant reporting'!M527</f>
        <v>0</v>
      </c>
      <c r="N300">
        <f>'Participant reporting'!N527</f>
        <v>0</v>
      </c>
      <c r="O300">
        <f>'Participant reporting'!O527</f>
        <v>0</v>
      </c>
    </row>
    <row r="301" spans="1:15" x14ac:dyDescent="0.25">
      <c r="A301">
        <f>'Participant reporting'!A528</f>
        <v>0</v>
      </c>
      <c r="B301">
        <f>'Participant reporting'!B528</f>
        <v>0</v>
      </c>
      <c r="C301">
        <f>'Participant reporting'!C528</f>
        <v>0</v>
      </c>
      <c r="D301">
        <f>'Participant reporting'!D528</f>
        <v>0</v>
      </c>
      <c r="E301" s="15">
        <f>'Participant reporting'!E528</f>
        <v>0</v>
      </c>
      <c r="F301">
        <f>'Participant reporting'!F528</f>
        <v>0</v>
      </c>
      <c r="G301">
        <f>'Participant reporting'!G528</f>
        <v>0</v>
      </c>
      <c r="H301">
        <f>'Participant reporting'!H528</f>
        <v>0</v>
      </c>
      <c r="I301">
        <f>'Participant reporting'!I528</f>
        <v>0</v>
      </c>
      <c r="J301">
        <f>'Participant reporting'!J528</f>
        <v>0</v>
      </c>
      <c r="K301">
        <f>'Participant reporting'!K528</f>
        <v>0</v>
      </c>
      <c r="L301">
        <f>'Participant reporting'!L528</f>
        <v>0</v>
      </c>
      <c r="M301">
        <f>'Participant reporting'!M528</f>
        <v>0</v>
      </c>
      <c r="N301">
        <f>'Participant reporting'!N528</f>
        <v>0</v>
      </c>
      <c r="O301">
        <f>'Participant reporting'!O528</f>
        <v>0</v>
      </c>
    </row>
    <row r="302" spans="1:15" x14ac:dyDescent="0.25">
      <c r="A302">
        <f>'Participant reporting'!A529</f>
        <v>0</v>
      </c>
      <c r="B302">
        <f>'Participant reporting'!B529</f>
        <v>0</v>
      </c>
      <c r="C302">
        <f>'Participant reporting'!C529</f>
        <v>0</v>
      </c>
      <c r="D302">
        <f>'Participant reporting'!D529</f>
        <v>0</v>
      </c>
      <c r="E302" s="15">
        <f>'Participant reporting'!E529</f>
        <v>0</v>
      </c>
      <c r="F302">
        <f>'Participant reporting'!F529</f>
        <v>0</v>
      </c>
      <c r="G302">
        <f>'Participant reporting'!G529</f>
        <v>0</v>
      </c>
      <c r="H302">
        <f>'Participant reporting'!H529</f>
        <v>0</v>
      </c>
      <c r="I302">
        <f>'Participant reporting'!I529</f>
        <v>0</v>
      </c>
      <c r="J302">
        <f>'Participant reporting'!J529</f>
        <v>0</v>
      </c>
      <c r="K302">
        <f>'Participant reporting'!K529</f>
        <v>0</v>
      </c>
      <c r="L302">
        <f>'Participant reporting'!L529</f>
        <v>0</v>
      </c>
      <c r="M302">
        <f>'Participant reporting'!M529</f>
        <v>0</v>
      </c>
      <c r="N302">
        <f>'Participant reporting'!N529</f>
        <v>0</v>
      </c>
      <c r="O302">
        <f>'Participant reporting'!O529</f>
        <v>0</v>
      </c>
    </row>
    <row r="303" spans="1:15" x14ac:dyDescent="0.25">
      <c r="A303">
        <f>'Participant reporting'!A530</f>
        <v>0</v>
      </c>
      <c r="B303">
        <f>'Participant reporting'!B530</f>
        <v>0</v>
      </c>
      <c r="C303">
        <f>'Participant reporting'!C530</f>
        <v>0</v>
      </c>
      <c r="D303">
        <f>'Participant reporting'!D530</f>
        <v>0</v>
      </c>
      <c r="E303" s="15">
        <f>'Participant reporting'!E530</f>
        <v>0</v>
      </c>
      <c r="F303">
        <f>'Participant reporting'!F530</f>
        <v>0</v>
      </c>
      <c r="G303">
        <f>'Participant reporting'!G530</f>
        <v>0</v>
      </c>
      <c r="H303">
        <f>'Participant reporting'!H530</f>
        <v>0</v>
      </c>
      <c r="I303">
        <f>'Participant reporting'!I530</f>
        <v>0</v>
      </c>
      <c r="J303">
        <f>'Participant reporting'!J530</f>
        <v>0</v>
      </c>
      <c r="K303">
        <f>'Participant reporting'!K530</f>
        <v>0</v>
      </c>
      <c r="L303">
        <f>'Participant reporting'!L530</f>
        <v>0</v>
      </c>
      <c r="M303">
        <f>'Participant reporting'!M530</f>
        <v>0</v>
      </c>
      <c r="N303">
        <f>'Participant reporting'!N530</f>
        <v>0</v>
      </c>
      <c r="O303">
        <f>'Participant reporting'!O530</f>
        <v>0</v>
      </c>
    </row>
    <row r="304" spans="1:15" x14ac:dyDescent="0.25">
      <c r="A304">
        <f>'Participant reporting'!A531</f>
        <v>0</v>
      </c>
      <c r="B304">
        <f>'Participant reporting'!B531</f>
        <v>0</v>
      </c>
      <c r="C304">
        <f>'Participant reporting'!C531</f>
        <v>0</v>
      </c>
      <c r="D304">
        <f>'Participant reporting'!D531</f>
        <v>0</v>
      </c>
      <c r="E304" s="15">
        <f>'Participant reporting'!E531</f>
        <v>0</v>
      </c>
      <c r="F304">
        <f>'Participant reporting'!F531</f>
        <v>0</v>
      </c>
      <c r="G304">
        <f>'Participant reporting'!G531</f>
        <v>0</v>
      </c>
      <c r="H304">
        <f>'Participant reporting'!H531</f>
        <v>0</v>
      </c>
      <c r="I304">
        <f>'Participant reporting'!I531</f>
        <v>0</v>
      </c>
      <c r="J304">
        <f>'Participant reporting'!J531</f>
        <v>0</v>
      </c>
      <c r="K304">
        <f>'Participant reporting'!K531</f>
        <v>0</v>
      </c>
      <c r="L304">
        <f>'Participant reporting'!L531</f>
        <v>0</v>
      </c>
      <c r="M304">
        <f>'Participant reporting'!M531</f>
        <v>0</v>
      </c>
      <c r="N304">
        <f>'Participant reporting'!N531</f>
        <v>0</v>
      </c>
      <c r="O304">
        <f>'Participant reporting'!O531</f>
        <v>0</v>
      </c>
    </row>
    <row r="305" spans="1:15" x14ac:dyDescent="0.25">
      <c r="A305">
        <f>'Participant reporting'!A532</f>
        <v>0</v>
      </c>
      <c r="B305">
        <f>'Participant reporting'!B532</f>
        <v>0</v>
      </c>
      <c r="C305">
        <f>'Participant reporting'!C532</f>
        <v>0</v>
      </c>
      <c r="D305">
        <f>'Participant reporting'!D532</f>
        <v>0</v>
      </c>
      <c r="E305" s="15">
        <f>'Participant reporting'!E532</f>
        <v>0</v>
      </c>
      <c r="F305">
        <f>'Participant reporting'!F532</f>
        <v>0</v>
      </c>
      <c r="G305">
        <f>'Participant reporting'!G532</f>
        <v>0</v>
      </c>
      <c r="H305">
        <f>'Participant reporting'!H532</f>
        <v>0</v>
      </c>
      <c r="I305">
        <f>'Participant reporting'!I532</f>
        <v>0</v>
      </c>
      <c r="J305">
        <f>'Participant reporting'!J532</f>
        <v>0</v>
      </c>
      <c r="K305">
        <f>'Participant reporting'!K532</f>
        <v>0</v>
      </c>
      <c r="L305">
        <f>'Participant reporting'!L532</f>
        <v>0</v>
      </c>
      <c r="M305">
        <f>'Participant reporting'!M532</f>
        <v>0</v>
      </c>
      <c r="N305">
        <f>'Participant reporting'!N532</f>
        <v>0</v>
      </c>
      <c r="O305">
        <f>'Participant reporting'!O532</f>
        <v>0</v>
      </c>
    </row>
    <row r="306" spans="1:15" x14ac:dyDescent="0.25">
      <c r="A306">
        <f>'Participant reporting'!A533</f>
        <v>0</v>
      </c>
      <c r="B306">
        <f>'Participant reporting'!B533</f>
        <v>0</v>
      </c>
      <c r="C306">
        <f>'Participant reporting'!C533</f>
        <v>0</v>
      </c>
      <c r="D306">
        <f>'Participant reporting'!D533</f>
        <v>0</v>
      </c>
      <c r="E306" s="15">
        <f>'Participant reporting'!E533</f>
        <v>0</v>
      </c>
      <c r="F306">
        <f>'Participant reporting'!F533</f>
        <v>0</v>
      </c>
      <c r="G306">
        <f>'Participant reporting'!G533</f>
        <v>0</v>
      </c>
      <c r="H306">
        <f>'Participant reporting'!H533</f>
        <v>0</v>
      </c>
      <c r="I306">
        <f>'Participant reporting'!I533</f>
        <v>0</v>
      </c>
      <c r="J306">
        <f>'Participant reporting'!J533</f>
        <v>0</v>
      </c>
      <c r="K306">
        <f>'Participant reporting'!K533</f>
        <v>0</v>
      </c>
      <c r="L306">
        <f>'Participant reporting'!L533</f>
        <v>0</v>
      </c>
      <c r="M306">
        <f>'Participant reporting'!M533</f>
        <v>0</v>
      </c>
      <c r="N306">
        <f>'Participant reporting'!N533</f>
        <v>0</v>
      </c>
      <c r="O306">
        <f>'Participant reporting'!O533</f>
        <v>0</v>
      </c>
    </row>
    <row r="307" spans="1:15" x14ac:dyDescent="0.25">
      <c r="A307">
        <f>'Participant reporting'!A534</f>
        <v>0</v>
      </c>
      <c r="B307">
        <f>'Participant reporting'!B534</f>
        <v>0</v>
      </c>
      <c r="C307">
        <f>'Participant reporting'!C534</f>
        <v>0</v>
      </c>
      <c r="D307">
        <f>'Participant reporting'!D534</f>
        <v>0</v>
      </c>
      <c r="E307" s="15">
        <f>'Participant reporting'!E534</f>
        <v>0</v>
      </c>
      <c r="F307">
        <f>'Participant reporting'!F534</f>
        <v>0</v>
      </c>
      <c r="G307">
        <f>'Participant reporting'!G534</f>
        <v>0</v>
      </c>
      <c r="H307">
        <f>'Participant reporting'!H534</f>
        <v>0</v>
      </c>
      <c r="I307">
        <f>'Participant reporting'!I534</f>
        <v>0</v>
      </c>
      <c r="J307">
        <f>'Participant reporting'!J534</f>
        <v>0</v>
      </c>
      <c r="K307">
        <f>'Participant reporting'!K534</f>
        <v>0</v>
      </c>
      <c r="L307">
        <f>'Participant reporting'!L534</f>
        <v>0</v>
      </c>
      <c r="M307">
        <f>'Participant reporting'!M534</f>
        <v>0</v>
      </c>
      <c r="N307">
        <f>'Participant reporting'!N534</f>
        <v>0</v>
      </c>
      <c r="O307">
        <f>'Participant reporting'!O534</f>
        <v>0</v>
      </c>
    </row>
    <row r="308" spans="1:15" x14ac:dyDescent="0.25">
      <c r="A308">
        <f>'Participant reporting'!A535</f>
        <v>0</v>
      </c>
      <c r="B308">
        <f>'Participant reporting'!B535</f>
        <v>0</v>
      </c>
      <c r="C308">
        <f>'Participant reporting'!C535</f>
        <v>0</v>
      </c>
      <c r="D308">
        <f>'Participant reporting'!D535</f>
        <v>0</v>
      </c>
      <c r="E308" s="15">
        <f>'Participant reporting'!E535</f>
        <v>0</v>
      </c>
      <c r="F308">
        <f>'Participant reporting'!F535</f>
        <v>0</v>
      </c>
      <c r="G308">
        <f>'Participant reporting'!G535</f>
        <v>0</v>
      </c>
      <c r="H308">
        <f>'Participant reporting'!H535</f>
        <v>0</v>
      </c>
      <c r="I308">
        <f>'Participant reporting'!I535</f>
        <v>0</v>
      </c>
      <c r="J308">
        <f>'Participant reporting'!J535</f>
        <v>0</v>
      </c>
      <c r="K308">
        <f>'Participant reporting'!K535</f>
        <v>0</v>
      </c>
      <c r="L308">
        <f>'Participant reporting'!L535</f>
        <v>0</v>
      </c>
      <c r="M308">
        <f>'Participant reporting'!M535</f>
        <v>0</v>
      </c>
      <c r="N308">
        <f>'Participant reporting'!N535</f>
        <v>0</v>
      </c>
      <c r="O308">
        <f>'Participant reporting'!O535</f>
        <v>0</v>
      </c>
    </row>
    <row r="309" spans="1:15" x14ac:dyDescent="0.25">
      <c r="A309">
        <f>'Participant reporting'!A536</f>
        <v>0</v>
      </c>
      <c r="B309">
        <f>'Participant reporting'!B536</f>
        <v>0</v>
      </c>
      <c r="C309">
        <f>'Participant reporting'!C536</f>
        <v>0</v>
      </c>
      <c r="D309">
        <f>'Participant reporting'!D536</f>
        <v>0</v>
      </c>
      <c r="E309" s="15">
        <f>'Participant reporting'!E536</f>
        <v>0</v>
      </c>
      <c r="F309">
        <f>'Participant reporting'!F536</f>
        <v>0</v>
      </c>
      <c r="G309">
        <f>'Participant reporting'!G536</f>
        <v>0</v>
      </c>
      <c r="H309">
        <f>'Participant reporting'!H536</f>
        <v>0</v>
      </c>
      <c r="I309">
        <f>'Participant reporting'!I536</f>
        <v>0</v>
      </c>
      <c r="J309">
        <f>'Participant reporting'!J536</f>
        <v>0</v>
      </c>
      <c r="K309">
        <f>'Participant reporting'!K536</f>
        <v>0</v>
      </c>
      <c r="L309">
        <f>'Participant reporting'!L536</f>
        <v>0</v>
      </c>
      <c r="M309">
        <f>'Participant reporting'!M536</f>
        <v>0</v>
      </c>
      <c r="N309">
        <f>'Participant reporting'!N536</f>
        <v>0</v>
      </c>
      <c r="O309">
        <f>'Participant reporting'!O536</f>
        <v>0</v>
      </c>
    </row>
    <row r="310" spans="1:15" x14ac:dyDescent="0.25">
      <c r="A310">
        <f>'Participant reporting'!A537</f>
        <v>0</v>
      </c>
      <c r="B310">
        <f>'Participant reporting'!B537</f>
        <v>0</v>
      </c>
      <c r="C310">
        <f>'Participant reporting'!C537</f>
        <v>0</v>
      </c>
      <c r="D310">
        <f>'Participant reporting'!D537</f>
        <v>0</v>
      </c>
      <c r="E310" s="15">
        <f>'Participant reporting'!E537</f>
        <v>0</v>
      </c>
      <c r="F310">
        <f>'Participant reporting'!F537</f>
        <v>0</v>
      </c>
      <c r="G310">
        <f>'Participant reporting'!G537</f>
        <v>0</v>
      </c>
      <c r="H310">
        <f>'Participant reporting'!H537</f>
        <v>0</v>
      </c>
      <c r="I310">
        <f>'Participant reporting'!I537</f>
        <v>0</v>
      </c>
      <c r="J310">
        <f>'Participant reporting'!J537</f>
        <v>0</v>
      </c>
      <c r="K310">
        <f>'Participant reporting'!K537</f>
        <v>0</v>
      </c>
      <c r="L310">
        <f>'Participant reporting'!L537</f>
        <v>0</v>
      </c>
      <c r="M310">
        <f>'Participant reporting'!M537</f>
        <v>0</v>
      </c>
      <c r="N310">
        <f>'Participant reporting'!N537</f>
        <v>0</v>
      </c>
      <c r="O310">
        <f>'Participant reporting'!O537</f>
        <v>0</v>
      </c>
    </row>
    <row r="311" spans="1:15" x14ac:dyDescent="0.25">
      <c r="A311">
        <f>'Participant reporting'!A538</f>
        <v>0</v>
      </c>
      <c r="B311">
        <f>'Participant reporting'!B538</f>
        <v>0</v>
      </c>
      <c r="C311">
        <f>'Participant reporting'!C538</f>
        <v>0</v>
      </c>
      <c r="D311">
        <f>'Participant reporting'!D538</f>
        <v>0</v>
      </c>
      <c r="E311" s="15">
        <f>'Participant reporting'!E538</f>
        <v>0</v>
      </c>
      <c r="F311">
        <f>'Participant reporting'!F538</f>
        <v>0</v>
      </c>
      <c r="G311">
        <f>'Participant reporting'!G538</f>
        <v>0</v>
      </c>
      <c r="H311">
        <f>'Participant reporting'!H538</f>
        <v>0</v>
      </c>
      <c r="I311">
        <f>'Participant reporting'!I538</f>
        <v>0</v>
      </c>
      <c r="J311">
        <f>'Participant reporting'!J538</f>
        <v>0</v>
      </c>
      <c r="K311">
        <f>'Participant reporting'!K538</f>
        <v>0</v>
      </c>
      <c r="L311">
        <f>'Participant reporting'!L538</f>
        <v>0</v>
      </c>
      <c r="M311">
        <f>'Participant reporting'!M538</f>
        <v>0</v>
      </c>
      <c r="N311">
        <f>'Participant reporting'!N538</f>
        <v>0</v>
      </c>
      <c r="O311">
        <f>'Participant reporting'!O538</f>
        <v>0</v>
      </c>
    </row>
    <row r="312" spans="1:15" x14ac:dyDescent="0.25">
      <c r="A312">
        <f>'Participant reporting'!A539</f>
        <v>0</v>
      </c>
      <c r="B312">
        <f>'Participant reporting'!B539</f>
        <v>0</v>
      </c>
      <c r="C312">
        <f>'Participant reporting'!C539</f>
        <v>0</v>
      </c>
      <c r="D312">
        <f>'Participant reporting'!D539</f>
        <v>0</v>
      </c>
      <c r="E312" s="15">
        <f>'Participant reporting'!E539</f>
        <v>0</v>
      </c>
      <c r="F312">
        <f>'Participant reporting'!F539</f>
        <v>0</v>
      </c>
      <c r="G312">
        <f>'Participant reporting'!G539</f>
        <v>0</v>
      </c>
      <c r="H312">
        <f>'Participant reporting'!H539</f>
        <v>0</v>
      </c>
      <c r="I312">
        <f>'Participant reporting'!I539</f>
        <v>0</v>
      </c>
      <c r="J312">
        <f>'Participant reporting'!J539</f>
        <v>0</v>
      </c>
      <c r="K312">
        <f>'Participant reporting'!K539</f>
        <v>0</v>
      </c>
      <c r="L312">
        <f>'Participant reporting'!L539</f>
        <v>0</v>
      </c>
      <c r="M312">
        <f>'Participant reporting'!M539</f>
        <v>0</v>
      </c>
      <c r="N312">
        <f>'Participant reporting'!N539</f>
        <v>0</v>
      </c>
      <c r="O312">
        <f>'Participant reporting'!O539</f>
        <v>0</v>
      </c>
    </row>
    <row r="313" spans="1:15" x14ac:dyDescent="0.25">
      <c r="A313">
        <f>'Participant reporting'!A540</f>
        <v>0</v>
      </c>
      <c r="B313">
        <f>'Participant reporting'!B540</f>
        <v>0</v>
      </c>
      <c r="C313">
        <f>'Participant reporting'!C540</f>
        <v>0</v>
      </c>
      <c r="D313">
        <f>'Participant reporting'!D540</f>
        <v>0</v>
      </c>
      <c r="E313" s="15">
        <f>'Participant reporting'!E540</f>
        <v>0</v>
      </c>
      <c r="F313">
        <f>'Participant reporting'!F540</f>
        <v>0</v>
      </c>
      <c r="G313">
        <f>'Participant reporting'!G540</f>
        <v>0</v>
      </c>
      <c r="H313">
        <f>'Participant reporting'!H540</f>
        <v>0</v>
      </c>
      <c r="I313">
        <f>'Participant reporting'!I540</f>
        <v>0</v>
      </c>
      <c r="J313">
        <f>'Participant reporting'!J540</f>
        <v>0</v>
      </c>
      <c r="K313">
        <f>'Participant reporting'!K540</f>
        <v>0</v>
      </c>
      <c r="L313">
        <f>'Participant reporting'!L540</f>
        <v>0</v>
      </c>
      <c r="M313">
        <f>'Participant reporting'!M540</f>
        <v>0</v>
      </c>
      <c r="N313">
        <f>'Participant reporting'!N540</f>
        <v>0</v>
      </c>
      <c r="O313">
        <f>'Participant reporting'!O540</f>
        <v>0</v>
      </c>
    </row>
    <row r="314" spans="1:15" x14ac:dyDescent="0.25">
      <c r="A314">
        <f>'Participant reporting'!A541</f>
        <v>0</v>
      </c>
      <c r="B314">
        <f>'Participant reporting'!B541</f>
        <v>0</v>
      </c>
      <c r="C314">
        <f>'Participant reporting'!C541</f>
        <v>0</v>
      </c>
      <c r="D314">
        <f>'Participant reporting'!D541</f>
        <v>0</v>
      </c>
      <c r="E314" s="15">
        <f>'Participant reporting'!E541</f>
        <v>0</v>
      </c>
      <c r="F314">
        <f>'Participant reporting'!F541</f>
        <v>0</v>
      </c>
      <c r="G314">
        <f>'Participant reporting'!G541</f>
        <v>0</v>
      </c>
      <c r="H314">
        <f>'Participant reporting'!H541</f>
        <v>0</v>
      </c>
      <c r="I314">
        <f>'Participant reporting'!I541</f>
        <v>0</v>
      </c>
      <c r="J314">
        <f>'Participant reporting'!J541</f>
        <v>0</v>
      </c>
      <c r="K314">
        <f>'Participant reporting'!K541</f>
        <v>0</v>
      </c>
      <c r="L314">
        <f>'Participant reporting'!L541</f>
        <v>0</v>
      </c>
      <c r="M314">
        <f>'Participant reporting'!M541</f>
        <v>0</v>
      </c>
      <c r="N314">
        <f>'Participant reporting'!N541</f>
        <v>0</v>
      </c>
      <c r="O314">
        <f>'Participant reporting'!O541</f>
        <v>0</v>
      </c>
    </row>
    <row r="315" spans="1:15" x14ac:dyDescent="0.25">
      <c r="A315">
        <f>'Participant reporting'!A542</f>
        <v>0</v>
      </c>
      <c r="B315">
        <f>'Participant reporting'!B542</f>
        <v>0</v>
      </c>
      <c r="C315">
        <f>'Participant reporting'!C542</f>
        <v>0</v>
      </c>
      <c r="D315">
        <f>'Participant reporting'!D542</f>
        <v>0</v>
      </c>
      <c r="E315" s="15">
        <f>'Participant reporting'!E542</f>
        <v>0</v>
      </c>
      <c r="F315">
        <f>'Participant reporting'!F542</f>
        <v>0</v>
      </c>
      <c r="G315">
        <f>'Participant reporting'!G542</f>
        <v>0</v>
      </c>
      <c r="H315">
        <f>'Participant reporting'!H542</f>
        <v>0</v>
      </c>
      <c r="I315">
        <f>'Participant reporting'!I542</f>
        <v>0</v>
      </c>
      <c r="J315">
        <f>'Participant reporting'!J542</f>
        <v>0</v>
      </c>
      <c r="K315">
        <f>'Participant reporting'!K542</f>
        <v>0</v>
      </c>
      <c r="L315">
        <f>'Participant reporting'!L542</f>
        <v>0</v>
      </c>
      <c r="M315">
        <f>'Participant reporting'!M542</f>
        <v>0</v>
      </c>
      <c r="N315">
        <f>'Participant reporting'!N542</f>
        <v>0</v>
      </c>
      <c r="O315">
        <f>'Participant reporting'!O542</f>
        <v>0</v>
      </c>
    </row>
    <row r="316" spans="1:15" x14ac:dyDescent="0.25">
      <c r="A316">
        <f>'Participant reporting'!A543</f>
        <v>0</v>
      </c>
      <c r="B316">
        <f>'Participant reporting'!B543</f>
        <v>0</v>
      </c>
      <c r="C316">
        <f>'Participant reporting'!C543</f>
        <v>0</v>
      </c>
      <c r="D316">
        <f>'Participant reporting'!D543</f>
        <v>0</v>
      </c>
      <c r="E316" s="15">
        <f>'Participant reporting'!E543</f>
        <v>0</v>
      </c>
      <c r="F316">
        <f>'Participant reporting'!F543</f>
        <v>0</v>
      </c>
      <c r="G316">
        <f>'Participant reporting'!G543</f>
        <v>0</v>
      </c>
      <c r="H316">
        <f>'Participant reporting'!H543</f>
        <v>0</v>
      </c>
      <c r="I316">
        <f>'Participant reporting'!I543</f>
        <v>0</v>
      </c>
      <c r="J316">
        <f>'Participant reporting'!J543</f>
        <v>0</v>
      </c>
      <c r="K316">
        <f>'Participant reporting'!K543</f>
        <v>0</v>
      </c>
      <c r="L316">
        <f>'Participant reporting'!L543</f>
        <v>0</v>
      </c>
      <c r="M316">
        <f>'Participant reporting'!M543</f>
        <v>0</v>
      </c>
      <c r="N316">
        <f>'Participant reporting'!N543</f>
        <v>0</v>
      </c>
      <c r="O316">
        <f>'Participant reporting'!O543</f>
        <v>0</v>
      </c>
    </row>
    <row r="317" spans="1:15" x14ac:dyDescent="0.25">
      <c r="A317">
        <f>'Participant reporting'!A544</f>
        <v>0</v>
      </c>
      <c r="B317">
        <f>'Participant reporting'!B544</f>
        <v>0</v>
      </c>
      <c r="C317">
        <f>'Participant reporting'!C544</f>
        <v>0</v>
      </c>
      <c r="D317">
        <f>'Participant reporting'!D544</f>
        <v>0</v>
      </c>
      <c r="E317" s="15">
        <f>'Participant reporting'!E544</f>
        <v>0</v>
      </c>
      <c r="F317">
        <f>'Participant reporting'!F544</f>
        <v>0</v>
      </c>
      <c r="G317">
        <f>'Participant reporting'!G544</f>
        <v>0</v>
      </c>
      <c r="H317">
        <f>'Participant reporting'!H544</f>
        <v>0</v>
      </c>
      <c r="I317">
        <f>'Participant reporting'!I544</f>
        <v>0</v>
      </c>
      <c r="J317">
        <f>'Participant reporting'!J544</f>
        <v>0</v>
      </c>
      <c r="K317">
        <f>'Participant reporting'!K544</f>
        <v>0</v>
      </c>
      <c r="L317">
        <f>'Participant reporting'!L544</f>
        <v>0</v>
      </c>
      <c r="M317">
        <f>'Participant reporting'!M544</f>
        <v>0</v>
      </c>
      <c r="N317">
        <f>'Participant reporting'!N544</f>
        <v>0</v>
      </c>
      <c r="O317">
        <f>'Participant reporting'!O544</f>
        <v>0</v>
      </c>
    </row>
    <row r="318" spans="1:15" x14ac:dyDescent="0.25">
      <c r="A318">
        <f>'Participant reporting'!A545</f>
        <v>0</v>
      </c>
      <c r="B318">
        <f>'Participant reporting'!B545</f>
        <v>0</v>
      </c>
      <c r="C318">
        <f>'Participant reporting'!C545</f>
        <v>0</v>
      </c>
      <c r="D318">
        <f>'Participant reporting'!D545</f>
        <v>0</v>
      </c>
      <c r="E318" s="15">
        <f>'Participant reporting'!E545</f>
        <v>0</v>
      </c>
      <c r="F318">
        <f>'Participant reporting'!F545</f>
        <v>0</v>
      </c>
      <c r="G318">
        <f>'Participant reporting'!G545</f>
        <v>0</v>
      </c>
      <c r="H318">
        <f>'Participant reporting'!H545</f>
        <v>0</v>
      </c>
      <c r="I318">
        <f>'Participant reporting'!I545</f>
        <v>0</v>
      </c>
      <c r="J318">
        <f>'Participant reporting'!J545</f>
        <v>0</v>
      </c>
      <c r="K318">
        <f>'Participant reporting'!K545</f>
        <v>0</v>
      </c>
      <c r="L318">
        <f>'Participant reporting'!L545</f>
        <v>0</v>
      </c>
      <c r="M318">
        <f>'Participant reporting'!M545</f>
        <v>0</v>
      </c>
      <c r="N318">
        <f>'Participant reporting'!N545</f>
        <v>0</v>
      </c>
      <c r="O318">
        <f>'Participant reporting'!O545</f>
        <v>0</v>
      </c>
    </row>
    <row r="319" spans="1:15" x14ac:dyDescent="0.25">
      <c r="A319">
        <f>'Participant reporting'!A546</f>
        <v>0</v>
      </c>
      <c r="B319">
        <f>'Participant reporting'!B546</f>
        <v>0</v>
      </c>
      <c r="C319">
        <f>'Participant reporting'!C546</f>
        <v>0</v>
      </c>
      <c r="D319">
        <f>'Participant reporting'!D546</f>
        <v>0</v>
      </c>
      <c r="E319" s="15">
        <f>'Participant reporting'!E546</f>
        <v>0</v>
      </c>
      <c r="F319">
        <f>'Participant reporting'!F546</f>
        <v>0</v>
      </c>
      <c r="G319">
        <f>'Participant reporting'!G546</f>
        <v>0</v>
      </c>
      <c r="H319">
        <f>'Participant reporting'!H546</f>
        <v>0</v>
      </c>
      <c r="I319">
        <f>'Participant reporting'!I546</f>
        <v>0</v>
      </c>
      <c r="J319">
        <f>'Participant reporting'!J546</f>
        <v>0</v>
      </c>
      <c r="K319">
        <f>'Participant reporting'!K546</f>
        <v>0</v>
      </c>
      <c r="L319">
        <f>'Participant reporting'!L546</f>
        <v>0</v>
      </c>
      <c r="M319">
        <f>'Participant reporting'!M546</f>
        <v>0</v>
      </c>
      <c r="N319">
        <f>'Participant reporting'!N546</f>
        <v>0</v>
      </c>
      <c r="O319">
        <f>'Participant reporting'!O546</f>
        <v>0</v>
      </c>
    </row>
    <row r="320" spans="1:15" x14ac:dyDescent="0.25">
      <c r="A320">
        <f>'Participant reporting'!A547</f>
        <v>0</v>
      </c>
      <c r="B320">
        <f>'Participant reporting'!B547</f>
        <v>0</v>
      </c>
      <c r="C320">
        <f>'Participant reporting'!C547</f>
        <v>0</v>
      </c>
      <c r="D320">
        <f>'Participant reporting'!D547</f>
        <v>0</v>
      </c>
      <c r="E320" s="15">
        <f>'Participant reporting'!E547</f>
        <v>0</v>
      </c>
      <c r="F320">
        <f>'Participant reporting'!F547</f>
        <v>0</v>
      </c>
      <c r="G320">
        <f>'Participant reporting'!G547</f>
        <v>0</v>
      </c>
      <c r="H320">
        <f>'Participant reporting'!H547</f>
        <v>0</v>
      </c>
      <c r="I320">
        <f>'Participant reporting'!I547</f>
        <v>0</v>
      </c>
      <c r="J320">
        <f>'Participant reporting'!J547</f>
        <v>0</v>
      </c>
      <c r="K320">
        <f>'Participant reporting'!K547</f>
        <v>0</v>
      </c>
      <c r="L320">
        <f>'Participant reporting'!L547</f>
        <v>0</v>
      </c>
      <c r="M320">
        <f>'Participant reporting'!M547</f>
        <v>0</v>
      </c>
      <c r="N320">
        <f>'Participant reporting'!N547</f>
        <v>0</v>
      </c>
      <c r="O320">
        <f>'Participant reporting'!O547</f>
        <v>0</v>
      </c>
    </row>
    <row r="321" spans="1:15" x14ac:dyDescent="0.25">
      <c r="A321">
        <f>'Participant reporting'!A548</f>
        <v>0</v>
      </c>
      <c r="B321">
        <f>'Participant reporting'!B548</f>
        <v>0</v>
      </c>
      <c r="C321">
        <f>'Participant reporting'!C548</f>
        <v>0</v>
      </c>
      <c r="D321">
        <f>'Participant reporting'!D548</f>
        <v>0</v>
      </c>
      <c r="E321" s="15">
        <f>'Participant reporting'!E548</f>
        <v>0</v>
      </c>
      <c r="F321">
        <f>'Participant reporting'!F548</f>
        <v>0</v>
      </c>
      <c r="G321">
        <f>'Participant reporting'!G548</f>
        <v>0</v>
      </c>
      <c r="H321">
        <f>'Participant reporting'!H548</f>
        <v>0</v>
      </c>
      <c r="I321">
        <f>'Participant reporting'!I548</f>
        <v>0</v>
      </c>
      <c r="J321">
        <f>'Participant reporting'!J548</f>
        <v>0</v>
      </c>
      <c r="K321">
        <f>'Participant reporting'!K548</f>
        <v>0</v>
      </c>
      <c r="L321">
        <f>'Participant reporting'!L548</f>
        <v>0</v>
      </c>
      <c r="M321">
        <f>'Participant reporting'!M548</f>
        <v>0</v>
      </c>
      <c r="N321">
        <f>'Participant reporting'!N548</f>
        <v>0</v>
      </c>
      <c r="O321">
        <f>'Participant reporting'!O548</f>
        <v>0</v>
      </c>
    </row>
    <row r="322" spans="1:15" x14ac:dyDescent="0.25">
      <c r="A322">
        <f>'Participant reporting'!A549</f>
        <v>0</v>
      </c>
      <c r="B322">
        <f>'Participant reporting'!B549</f>
        <v>0</v>
      </c>
      <c r="C322">
        <f>'Participant reporting'!C549</f>
        <v>0</v>
      </c>
      <c r="D322">
        <f>'Participant reporting'!D549</f>
        <v>0</v>
      </c>
      <c r="E322" s="15">
        <f>'Participant reporting'!E549</f>
        <v>0</v>
      </c>
      <c r="F322">
        <f>'Participant reporting'!F549</f>
        <v>0</v>
      </c>
      <c r="G322">
        <f>'Participant reporting'!G549</f>
        <v>0</v>
      </c>
      <c r="H322">
        <f>'Participant reporting'!H549</f>
        <v>0</v>
      </c>
      <c r="I322">
        <f>'Participant reporting'!I549</f>
        <v>0</v>
      </c>
      <c r="J322">
        <f>'Participant reporting'!J549</f>
        <v>0</v>
      </c>
      <c r="K322">
        <f>'Participant reporting'!K549</f>
        <v>0</v>
      </c>
      <c r="L322">
        <f>'Participant reporting'!L549</f>
        <v>0</v>
      </c>
      <c r="M322">
        <f>'Participant reporting'!M549</f>
        <v>0</v>
      </c>
      <c r="N322">
        <f>'Participant reporting'!N549</f>
        <v>0</v>
      </c>
      <c r="O322">
        <f>'Participant reporting'!O549</f>
        <v>0</v>
      </c>
    </row>
    <row r="323" spans="1:15" x14ac:dyDescent="0.25">
      <c r="A323">
        <f>'Participant reporting'!A550</f>
        <v>0</v>
      </c>
      <c r="B323">
        <f>'Participant reporting'!B550</f>
        <v>0</v>
      </c>
      <c r="C323">
        <f>'Participant reporting'!C550</f>
        <v>0</v>
      </c>
      <c r="D323">
        <f>'Participant reporting'!D550</f>
        <v>0</v>
      </c>
      <c r="E323" s="15">
        <f>'Participant reporting'!E550</f>
        <v>0</v>
      </c>
      <c r="F323">
        <f>'Participant reporting'!F550</f>
        <v>0</v>
      </c>
      <c r="G323">
        <f>'Participant reporting'!G550</f>
        <v>0</v>
      </c>
      <c r="H323">
        <f>'Participant reporting'!H550</f>
        <v>0</v>
      </c>
      <c r="I323">
        <f>'Participant reporting'!I550</f>
        <v>0</v>
      </c>
      <c r="J323">
        <f>'Participant reporting'!J550</f>
        <v>0</v>
      </c>
      <c r="K323">
        <f>'Participant reporting'!K550</f>
        <v>0</v>
      </c>
      <c r="L323">
        <f>'Participant reporting'!L550</f>
        <v>0</v>
      </c>
      <c r="M323">
        <f>'Participant reporting'!M550</f>
        <v>0</v>
      </c>
      <c r="N323">
        <f>'Participant reporting'!N550</f>
        <v>0</v>
      </c>
      <c r="O323">
        <f>'Participant reporting'!O550</f>
        <v>0</v>
      </c>
    </row>
    <row r="324" spans="1:15" x14ac:dyDescent="0.25">
      <c r="A324">
        <f>'Participant reporting'!A551</f>
        <v>0</v>
      </c>
      <c r="B324">
        <f>'Participant reporting'!B551</f>
        <v>0</v>
      </c>
      <c r="C324">
        <f>'Participant reporting'!C551</f>
        <v>0</v>
      </c>
      <c r="D324">
        <f>'Participant reporting'!D551</f>
        <v>0</v>
      </c>
      <c r="E324" s="15">
        <f>'Participant reporting'!E551</f>
        <v>0</v>
      </c>
      <c r="F324">
        <f>'Participant reporting'!F551</f>
        <v>0</v>
      </c>
      <c r="G324">
        <f>'Participant reporting'!G551</f>
        <v>0</v>
      </c>
      <c r="H324">
        <f>'Participant reporting'!H551</f>
        <v>0</v>
      </c>
      <c r="I324">
        <f>'Participant reporting'!I551</f>
        <v>0</v>
      </c>
      <c r="J324">
        <f>'Participant reporting'!J551</f>
        <v>0</v>
      </c>
      <c r="K324">
        <f>'Participant reporting'!K551</f>
        <v>0</v>
      </c>
      <c r="L324">
        <f>'Participant reporting'!L551</f>
        <v>0</v>
      </c>
      <c r="M324">
        <f>'Participant reporting'!M551</f>
        <v>0</v>
      </c>
      <c r="N324">
        <f>'Participant reporting'!N551</f>
        <v>0</v>
      </c>
      <c r="O324">
        <f>'Participant reporting'!O551</f>
        <v>0</v>
      </c>
    </row>
    <row r="325" spans="1:15" x14ac:dyDescent="0.25">
      <c r="A325">
        <f>'Participant reporting'!A552</f>
        <v>0</v>
      </c>
      <c r="B325">
        <f>'Participant reporting'!B552</f>
        <v>0</v>
      </c>
      <c r="C325">
        <f>'Participant reporting'!C552</f>
        <v>0</v>
      </c>
      <c r="D325">
        <f>'Participant reporting'!D552</f>
        <v>0</v>
      </c>
      <c r="E325" s="15">
        <f>'Participant reporting'!E552</f>
        <v>0</v>
      </c>
      <c r="F325">
        <f>'Participant reporting'!F552</f>
        <v>0</v>
      </c>
      <c r="G325">
        <f>'Participant reporting'!G552</f>
        <v>0</v>
      </c>
      <c r="H325">
        <f>'Participant reporting'!H552</f>
        <v>0</v>
      </c>
      <c r="I325">
        <f>'Participant reporting'!I552</f>
        <v>0</v>
      </c>
      <c r="J325">
        <f>'Participant reporting'!J552</f>
        <v>0</v>
      </c>
      <c r="K325">
        <f>'Participant reporting'!K552</f>
        <v>0</v>
      </c>
      <c r="L325">
        <f>'Participant reporting'!L552</f>
        <v>0</v>
      </c>
      <c r="M325">
        <f>'Participant reporting'!M552</f>
        <v>0</v>
      </c>
      <c r="N325">
        <f>'Participant reporting'!N552</f>
        <v>0</v>
      </c>
      <c r="O325">
        <f>'Participant reporting'!O552</f>
        <v>0</v>
      </c>
    </row>
    <row r="326" spans="1:15" x14ac:dyDescent="0.25">
      <c r="A326">
        <f>'Participant reporting'!A553</f>
        <v>0</v>
      </c>
      <c r="B326">
        <f>'Participant reporting'!B553</f>
        <v>0</v>
      </c>
      <c r="C326">
        <f>'Participant reporting'!C553</f>
        <v>0</v>
      </c>
      <c r="D326">
        <f>'Participant reporting'!D553</f>
        <v>0</v>
      </c>
      <c r="E326" s="15">
        <f>'Participant reporting'!E553</f>
        <v>0</v>
      </c>
      <c r="F326">
        <f>'Participant reporting'!F553</f>
        <v>0</v>
      </c>
      <c r="G326">
        <f>'Participant reporting'!G553</f>
        <v>0</v>
      </c>
      <c r="H326">
        <f>'Participant reporting'!H553</f>
        <v>0</v>
      </c>
      <c r="I326">
        <f>'Participant reporting'!I553</f>
        <v>0</v>
      </c>
      <c r="J326">
        <f>'Participant reporting'!J553</f>
        <v>0</v>
      </c>
      <c r="K326">
        <f>'Participant reporting'!K553</f>
        <v>0</v>
      </c>
      <c r="L326">
        <f>'Participant reporting'!L553</f>
        <v>0</v>
      </c>
      <c r="M326">
        <f>'Participant reporting'!M553</f>
        <v>0</v>
      </c>
      <c r="N326">
        <f>'Participant reporting'!N553</f>
        <v>0</v>
      </c>
      <c r="O326">
        <f>'Participant reporting'!O553</f>
        <v>0</v>
      </c>
    </row>
    <row r="327" spans="1:15" x14ac:dyDescent="0.25">
      <c r="A327">
        <f>'Participant reporting'!A554</f>
        <v>0</v>
      </c>
      <c r="B327">
        <f>'Participant reporting'!B554</f>
        <v>0</v>
      </c>
      <c r="C327">
        <f>'Participant reporting'!C554</f>
        <v>0</v>
      </c>
      <c r="D327">
        <f>'Participant reporting'!D554</f>
        <v>0</v>
      </c>
      <c r="E327" s="15">
        <f>'Participant reporting'!E554</f>
        <v>0</v>
      </c>
      <c r="F327">
        <f>'Participant reporting'!F554</f>
        <v>0</v>
      </c>
      <c r="G327">
        <f>'Participant reporting'!G554</f>
        <v>0</v>
      </c>
      <c r="H327">
        <f>'Participant reporting'!H554</f>
        <v>0</v>
      </c>
      <c r="I327">
        <f>'Participant reporting'!I554</f>
        <v>0</v>
      </c>
      <c r="J327">
        <f>'Participant reporting'!J554</f>
        <v>0</v>
      </c>
      <c r="K327">
        <f>'Participant reporting'!K554</f>
        <v>0</v>
      </c>
      <c r="L327">
        <f>'Participant reporting'!L554</f>
        <v>0</v>
      </c>
      <c r="M327">
        <f>'Participant reporting'!M554</f>
        <v>0</v>
      </c>
      <c r="N327">
        <f>'Participant reporting'!N554</f>
        <v>0</v>
      </c>
      <c r="O327">
        <f>'Participant reporting'!O554</f>
        <v>0</v>
      </c>
    </row>
    <row r="328" spans="1:15" x14ac:dyDescent="0.25">
      <c r="A328">
        <f>'Participant reporting'!A555</f>
        <v>0</v>
      </c>
      <c r="B328">
        <f>'Participant reporting'!B555</f>
        <v>0</v>
      </c>
      <c r="C328">
        <f>'Participant reporting'!C555</f>
        <v>0</v>
      </c>
      <c r="D328">
        <f>'Participant reporting'!D555</f>
        <v>0</v>
      </c>
      <c r="E328" s="15">
        <f>'Participant reporting'!E555</f>
        <v>0</v>
      </c>
      <c r="F328">
        <f>'Participant reporting'!F555</f>
        <v>0</v>
      </c>
      <c r="G328">
        <f>'Participant reporting'!G555</f>
        <v>0</v>
      </c>
      <c r="H328">
        <f>'Participant reporting'!H555</f>
        <v>0</v>
      </c>
      <c r="I328">
        <f>'Participant reporting'!I555</f>
        <v>0</v>
      </c>
      <c r="J328">
        <f>'Participant reporting'!J555</f>
        <v>0</v>
      </c>
      <c r="K328">
        <f>'Participant reporting'!K555</f>
        <v>0</v>
      </c>
      <c r="L328">
        <f>'Participant reporting'!L555</f>
        <v>0</v>
      </c>
      <c r="M328">
        <f>'Participant reporting'!M555</f>
        <v>0</v>
      </c>
      <c r="N328">
        <f>'Participant reporting'!N555</f>
        <v>0</v>
      </c>
      <c r="O328">
        <f>'Participant reporting'!O555</f>
        <v>0</v>
      </c>
    </row>
    <row r="329" spans="1:15" x14ac:dyDescent="0.25">
      <c r="A329">
        <f>'Participant reporting'!A556</f>
        <v>0</v>
      </c>
      <c r="B329">
        <f>'Participant reporting'!B556</f>
        <v>0</v>
      </c>
      <c r="C329">
        <f>'Participant reporting'!C556</f>
        <v>0</v>
      </c>
      <c r="D329">
        <f>'Participant reporting'!D556</f>
        <v>0</v>
      </c>
      <c r="E329" s="15">
        <f>'Participant reporting'!E556</f>
        <v>0</v>
      </c>
      <c r="F329">
        <f>'Participant reporting'!F556</f>
        <v>0</v>
      </c>
      <c r="G329">
        <f>'Participant reporting'!G556</f>
        <v>0</v>
      </c>
      <c r="H329">
        <f>'Participant reporting'!H556</f>
        <v>0</v>
      </c>
      <c r="I329">
        <f>'Participant reporting'!I556</f>
        <v>0</v>
      </c>
      <c r="J329">
        <f>'Participant reporting'!J556</f>
        <v>0</v>
      </c>
      <c r="K329">
        <f>'Participant reporting'!K556</f>
        <v>0</v>
      </c>
      <c r="L329">
        <f>'Participant reporting'!L556</f>
        <v>0</v>
      </c>
      <c r="M329">
        <f>'Participant reporting'!M556</f>
        <v>0</v>
      </c>
      <c r="N329">
        <f>'Participant reporting'!N556</f>
        <v>0</v>
      </c>
      <c r="O329">
        <f>'Participant reporting'!O556</f>
        <v>0</v>
      </c>
    </row>
    <row r="330" spans="1:15" x14ac:dyDescent="0.25">
      <c r="A330">
        <f>'Participant reporting'!A557</f>
        <v>0</v>
      </c>
      <c r="B330">
        <f>'Participant reporting'!B557</f>
        <v>0</v>
      </c>
      <c r="C330">
        <f>'Participant reporting'!C557</f>
        <v>0</v>
      </c>
      <c r="D330">
        <f>'Participant reporting'!D557</f>
        <v>0</v>
      </c>
      <c r="E330" s="15">
        <f>'Participant reporting'!E557</f>
        <v>0</v>
      </c>
      <c r="F330">
        <f>'Participant reporting'!F557</f>
        <v>0</v>
      </c>
      <c r="G330">
        <f>'Participant reporting'!G557</f>
        <v>0</v>
      </c>
      <c r="H330">
        <f>'Participant reporting'!H557</f>
        <v>0</v>
      </c>
      <c r="I330">
        <f>'Participant reporting'!I557</f>
        <v>0</v>
      </c>
      <c r="J330">
        <f>'Participant reporting'!J557</f>
        <v>0</v>
      </c>
      <c r="K330">
        <f>'Participant reporting'!K557</f>
        <v>0</v>
      </c>
      <c r="L330">
        <f>'Participant reporting'!L557</f>
        <v>0</v>
      </c>
      <c r="M330">
        <f>'Participant reporting'!M557</f>
        <v>0</v>
      </c>
      <c r="N330">
        <f>'Participant reporting'!N557</f>
        <v>0</v>
      </c>
      <c r="O330">
        <f>'Participant reporting'!O557</f>
        <v>0</v>
      </c>
    </row>
    <row r="331" spans="1:15" x14ac:dyDescent="0.25">
      <c r="A331">
        <f>'Participant reporting'!A558</f>
        <v>0</v>
      </c>
      <c r="B331">
        <f>'Participant reporting'!B558</f>
        <v>0</v>
      </c>
      <c r="C331">
        <f>'Participant reporting'!C558</f>
        <v>0</v>
      </c>
      <c r="D331">
        <f>'Participant reporting'!D558</f>
        <v>0</v>
      </c>
      <c r="E331" s="15">
        <f>'Participant reporting'!E558</f>
        <v>0</v>
      </c>
      <c r="F331">
        <f>'Participant reporting'!F558</f>
        <v>0</v>
      </c>
      <c r="G331">
        <f>'Participant reporting'!G558</f>
        <v>0</v>
      </c>
      <c r="H331">
        <f>'Participant reporting'!H558</f>
        <v>0</v>
      </c>
      <c r="I331">
        <f>'Participant reporting'!I558</f>
        <v>0</v>
      </c>
      <c r="J331">
        <f>'Participant reporting'!J558</f>
        <v>0</v>
      </c>
      <c r="K331">
        <f>'Participant reporting'!K558</f>
        <v>0</v>
      </c>
      <c r="L331">
        <f>'Participant reporting'!L558</f>
        <v>0</v>
      </c>
      <c r="M331">
        <f>'Participant reporting'!M558</f>
        <v>0</v>
      </c>
      <c r="N331">
        <f>'Participant reporting'!N558</f>
        <v>0</v>
      </c>
      <c r="O331">
        <f>'Participant reporting'!O558</f>
        <v>0</v>
      </c>
    </row>
    <row r="332" spans="1:15" x14ac:dyDescent="0.25">
      <c r="A332">
        <f>'Participant reporting'!A559</f>
        <v>0</v>
      </c>
      <c r="B332">
        <f>'Participant reporting'!B559</f>
        <v>0</v>
      </c>
      <c r="C332">
        <f>'Participant reporting'!C559</f>
        <v>0</v>
      </c>
      <c r="D332">
        <f>'Participant reporting'!D559</f>
        <v>0</v>
      </c>
      <c r="E332" s="15">
        <f>'Participant reporting'!E559</f>
        <v>0</v>
      </c>
      <c r="F332">
        <f>'Participant reporting'!F559</f>
        <v>0</v>
      </c>
      <c r="G332">
        <f>'Participant reporting'!G559</f>
        <v>0</v>
      </c>
      <c r="H332">
        <f>'Participant reporting'!H559</f>
        <v>0</v>
      </c>
      <c r="I332">
        <f>'Participant reporting'!I559</f>
        <v>0</v>
      </c>
      <c r="J332">
        <f>'Participant reporting'!J559</f>
        <v>0</v>
      </c>
      <c r="K332">
        <f>'Participant reporting'!K559</f>
        <v>0</v>
      </c>
      <c r="L332">
        <f>'Participant reporting'!L559</f>
        <v>0</v>
      </c>
      <c r="M332">
        <f>'Participant reporting'!M559</f>
        <v>0</v>
      </c>
      <c r="N332">
        <f>'Participant reporting'!N559</f>
        <v>0</v>
      </c>
      <c r="O332">
        <f>'Participant reporting'!O559</f>
        <v>0</v>
      </c>
    </row>
    <row r="333" spans="1:15" x14ac:dyDescent="0.25">
      <c r="A333">
        <f>'Participant reporting'!A560</f>
        <v>0</v>
      </c>
      <c r="B333">
        <f>'Participant reporting'!B560</f>
        <v>0</v>
      </c>
      <c r="C333">
        <f>'Participant reporting'!C560</f>
        <v>0</v>
      </c>
      <c r="D333">
        <f>'Participant reporting'!D560</f>
        <v>0</v>
      </c>
      <c r="E333" s="15">
        <f>'Participant reporting'!E560</f>
        <v>0</v>
      </c>
      <c r="F333">
        <f>'Participant reporting'!F560</f>
        <v>0</v>
      </c>
      <c r="G333">
        <f>'Participant reporting'!G560</f>
        <v>0</v>
      </c>
      <c r="H333">
        <f>'Participant reporting'!H560</f>
        <v>0</v>
      </c>
      <c r="I333">
        <f>'Participant reporting'!I560</f>
        <v>0</v>
      </c>
      <c r="J333">
        <f>'Participant reporting'!J560</f>
        <v>0</v>
      </c>
      <c r="K333">
        <f>'Participant reporting'!K560</f>
        <v>0</v>
      </c>
      <c r="L333">
        <f>'Participant reporting'!L560</f>
        <v>0</v>
      </c>
      <c r="M333">
        <f>'Participant reporting'!M560</f>
        <v>0</v>
      </c>
      <c r="N333">
        <f>'Participant reporting'!N560</f>
        <v>0</v>
      </c>
      <c r="O333">
        <f>'Participant reporting'!O560</f>
        <v>0</v>
      </c>
    </row>
    <row r="334" spans="1:15" x14ac:dyDescent="0.25">
      <c r="A334">
        <f>'Participant reporting'!A561</f>
        <v>0</v>
      </c>
      <c r="B334">
        <f>'Participant reporting'!B561</f>
        <v>0</v>
      </c>
      <c r="C334">
        <f>'Participant reporting'!C561</f>
        <v>0</v>
      </c>
      <c r="D334">
        <f>'Participant reporting'!D561</f>
        <v>0</v>
      </c>
      <c r="E334" s="15">
        <f>'Participant reporting'!E561</f>
        <v>0</v>
      </c>
      <c r="F334">
        <f>'Participant reporting'!F561</f>
        <v>0</v>
      </c>
      <c r="G334">
        <f>'Participant reporting'!G561</f>
        <v>0</v>
      </c>
      <c r="H334">
        <f>'Participant reporting'!H561</f>
        <v>0</v>
      </c>
      <c r="I334">
        <f>'Participant reporting'!I561</f>
        <v>0</v>
      </c>
      <c r="J334">
        <f>'Participant reporting'!J561</f>
        <v>0</v>
      </c>
      <c r="K334">
        <f>'Participant reporting'!K561</f>
        <v>0</v>
      </c>
      <c r="L334">
        <f>'Participant reporting'!L561</f>
        <v>0</v>
      </c>
      <c r="M334">
        <f>'Participant reporting'!M561</f>
        <v>0</v>
      </c>
      <c r="N334">
        <f>'Participant reporting'!N561</f>
        <v>0</v>
      </c>
      <c r="O334">
        <f>'Participant reporting'!O561</f>
        <v>0</v>
      </c>
    </row>
    <row r="335" spans="1:15" x14ac:dyDescent="0.25">
      <c r="A335">
        <f>'Participant reporting'!A562</f>
        <v>0</v>
      </c>
      <c r="B335">
        <f>'Participant reporting'!B562</f>
        <v>0</v>
      </c>
      <c r="C335">
        <f>'Participant reporting'!C562</f>
        <v>0</v>
      </c>
      <c r="D335">
        <f>'Participant reporting'!D562</f>
        <v>0</v>
      </c>
      <c r="E335" s="15">
        <f>'Participant reporting'!E562</f>
        <v>0</v>
      </c>
      <c r="F335">
        <f>'Participant reporting'!F562</f>
        <v>0</v>
      </c>
      <c r="G335">
        <f>'Participant reporting'!G562</f>
        <v>0</v>
      </c>
      <c r="H335">
        <f>'Participant reporting'!H562</f>
        <v>0</v>
      </c>
      <c r="I335">
        <f>'Participant reporting'!I562</f>
        <v>0</v>
      </c>
      <c r="J335">
        <f>'Participant reporting'!J562</f>
        <v>0</v>
      </c>
      <c r="K335">
        <f>'Participant reporting'!K562</f>
        <v>0</v>
      </c>
      <c r="L335">
        <f>'Participant reporting'!L562</f>
        <v>0</v>
      </c>
      <c r="M335">
        <f>'Participant reporting'!M562</f>
        <v>0</v>
      </c>
      <c r="N335">
        <f>'Participant reporting'!N562</f>
        <v>0</v>
      </c>
      <c r="O335">
        <f>'Participant reporting'!O562</f>
        <v>0</v>
      </c>
    </row>
    <row r="336" spans="1:15" x14ac:dyDescent="0.25">
      <c r="A336">
        <f>'Participant reporting'!A563</f>
        <v>0</v>
      </c>
      <c r="B336">
        <f>'Participant reporting'!B563</f>
        <v>0</v>
      </c>
      <c r="C336">
        <f>'Participant reporting'!C563</f>
        <v>0</v>
      </c>
      <c r="D336">
        <f>'Participant reporting'!D563</f>
        <v>0</v>
      </c>
      <c r="E336" s="15">
        <f>'Participant reporting'!E563</f>
        <v>0</v>
      </c>
      <c r="F336">
        <f>'Participant reporting'!F563</f>
        <v>0</v>
      </c>
      <c r="G336">
        <f>'Participant reporting'!G563</f>
        <v>0</v>
      </c>
      <c r="H336">
        <f>'Participant reporting'!H563</f>
        <v>0</v>
      </c>
      <c r="I336">
        <f>'Participant reporting'!I563</f>
        <v>0</v>
      </c>
      <c r="J336">
        <f>'Participant reporting'!J563</f>
        <v>0</v>
      </c>
      <c r="K336">
        <f>'Participant reporting'!K563</f>
        <v>0</v>
      </c>
      <c r="L336">
        <f>'Participant reporting'!L563</f>
        <v>0</v>
      </c>
      <c r="M336">
        <f>'Participant reporting'!M563</f>
        <v>0</v>
      </c>
      <c r="N336">
        <f>'Participant reporting'!N563</f>
        <v>0</v>
      </c>
      <c r="O336">
        <f>'Participant reporting'!O563</f>
        <v>0</v>
      </c>
    </row>
    <row r="337" spans="1:15" x14ac:dyDescent="0.25">
      <c r="A337">
        <f>'Participant reporting'!A564</f>
        <v>0</v>
      </c>
      <c r="B337">
        <f>'Participant reporting'!B564</f>
        <v>0</v>
      </c>
      <c r="C337">
        <f>'Participant reporting'!C564</f>
        <v>0</v>
      </c>
      <c r="D337">
        <f>'Participant reporting'!D564</f>
        <v>0</v>
      </c>
      <c r="E337" s="15">
        <f>'Participant reporting'!E564</f>
        <v>0</v>
      </c>
      <c r="F337">
        <f>'Participant reporting'!F564</f>
        <v>0</v>
      </c>
      <c r="G337">
        <f>'Participant reporting'!G564</f>
        <v>0</v>
      </c>
      <c r="H337">
        <f>'Participant reporting'!H564</f>
        <v>0</v>
      </c>
      <c r="I337">
        <f>'Participant reporting'!I564</f>
        <v>0</v>
      </c>
      <c r="J337">
        <f>'Participant reporting'!J564</f>
        <v>0</v>
      </c>
      <c r="K337">
        <f>'Participant reporting'!K564</f>
        <v>0</v>
      </c>
      <c r="L337">
        <f>'Participant reporting'!L564</f>
        <v>0</v>
      </c>
      <c r="M337">
        <f>'Participant reporting'!M564</f>
        <v>0</v>
      </c>
      <c r="N337">
        <f>'Participant reporting'!N564</f>
        <v>0</v>
      </c>
      <c r="O337">
        <f>'Participant reporting'!O564</f>
        <v>0</v>
      </c>
    </row>
    <row r="338" spans="1:15" x14ac:dyDescent="0.25">
      <c r="A338">
        <f>'Participant reporting'!A565</f>
        <v>0</v>
      </c>
      <c r="B338">
        <f>'Participant reporting'!B565</f>
        <v>0</v>
      </c>
      <c r="C338">
        <f>'Participant reporting'!C565</f>
        <v>0</v>
      </c>
      <c r="D338">
        <f>'Participant reporting'!D565</f>
        <v>0</v>
      </c>
      <c r="E338" s="15">
        <f>'Participant reporting'!E565</f>
        <v>0</v>
      </c>
      <c r="F338">
        <f>'Participant reporting'!F565</f>
        <v>0</v>
      </c>
      <c r="G338">
        <f>'Participant reporting'!G565</f>
        <v>0</v>
      </c>
      <c r="H338">
        <f>'Participant reporting'!H565</f>
        <v>0</v>
      </c>
      <c r="I338">
        <f>'Participant reporting'!I565</f>
        <v>0</v>
      </c>
      <c r="J338">
        <f>'Participant reporting'!J565</f>
        <v>0</v>
      </c>
      <c r="K338">
        <f>'Participant reporting'!K565</f>
        <v>0</v>
      </c>
      <c r="L338">
        <f>'Participant reporting'!L565</f>
        <v>0</v>
      </c>
      <c r="M338">
        <f>'Participant reporting'!M565</f>
        <v>0</v>
      </c>
      <c r="N338">
        <f>'Participant reporting'!N565</f>
        <v>0</v>
      </c>
      <c r="O338">
        <f>'Participant reporting'!O565</f>
        <v>0</v>
      </c>
    </row>
    <row r="339" spans="1:15" x14ac:dyDescent="0.25">
      <c r="A339">
        <f>'Participant reporting'!A566</f>
        <v>0</v>
      </c>
      <c r="B339">
        <f>'Participant reporting'!B566</f>
        <v>0</v>
      </c>
      <c r="C339">
        <f>'Participant reporting'!C566</f>
        <v>0</v>
      </c>
      <c r="D339">
        <f>'Participant reporting'!D566</f>
        <v>0</v>
      </c>
      <c r="E339" s="15">
        <f>'Participant reporting'!E566</f>
        <v>0</v>
      </c>
      <c r="F339">
        <f>'Participant reporting'!F566</f>
        <v>0</v>
      </c>
      <c r="G339">
        <f>'Participant reporting'!G566</f>
        <v>0</v>
      </c>
      <c r="H339">
        <f>'Participant reporting'!H566</f>
        <v>0</v>
      </c>
      <c r="I339">
        <f>'Participant reporting'!I566</f>
        <v>0</v>
      </c>
      <c r="J339">
        <f>'Participant reporting'!J566</f>
        <v>0</v>
      </c>
      <c r="K339">
        <f>'Participant reporting'!K566</f>
        <v>0</v>
      </c>
      <c r="L339">
        <f>'Participant reporting'!L566</f>
        <v>0</v>
      </c>
      <c r="M339">
        <f>'Participant reporting'!M566</f>
        <v>0</v>
      </c>
      <c r="N339">
        <f>'Participant reporting'!N566</f>
        <v>0</v>
      </c>
      <c r="O339">
        <f>'Participant reporting'!O566</f>
        <v>0</v>
      </c>
    </row>
    <row r="340" spans="1:15" x14ac:dyDescent="0.25">
      <c r="A340">
        <f>'Participant reporting'!A567</f>
        <v>0</v>
      </c>
      <c r="B340">
        <f>'Participant reporting'!B567</f>
        <v>0</v>
      </c>
      <c r="C340">
        <f>'Participant reporting'!C567</f>
        <v>0</v>
      </c>
      <c r="D340">
        <f>'Participant reporting'!D567</f>
        <v>0</v>
      </c>
      <c r="E340" s="15">
        <f>'Participant reporting'!E567</f>
        <v>0</v>
      </c>
      <c r="F340">
        <f>'Participant reporting'!F567</f>
        <v>0</v>
      </c>
      <c r="G340">
        <f>'Participant reporting'!G567</f>
        <v>0</v>
      </c>
      <c r="H340">
        <f>'Participant reporting'!H567</f>
        <v>0</v>
      </c>
      <c r="I340">
        <f>'Participant reporting'!I567</f>
        <v>0</v>
      </c>
      <c r="J340">
        <f>'Participant reporting'!J567</f>
        <v>0</v>
      </c>
      <c r="K340">
        <f>'Participant reporting'!K567</f>
        <v>0</v>
      </c>
      <c r="L340">
        <f>'Participant reporting'!L567</f>
        <v>0</v>
      </c>
      <c r="M340">
        <f>'Participant reporting'!M567</f>
        <v>0</v>
      </c>
      <c r="N340">
        <f>'Participant reporting'!N567</f>
        <v>0</v>
      </c>
      <c r="O340">
        <f>'Participant reporting'!O567</f>
        <v>0</v>
      </c>
    </row>
    <row r="341" spans="1:15" x14ac:dyDescent="0.25">
      <c r="A341">
        <f>'Participant reporting'!A568</f>
        <v>0</v>
      </c>
      <c r="B341">
        <f>'Participant reporting'!B568</f>
        <v>0</v>
      </c>
      <c r="C341">
        <f>'Participant reporting'!C568</f>
        <v>0</v>
      </c>
      <c r="D341">
        <f>'Participant reporting'!D568</f>
        <v>0</v>
      </c>
      <c r="E341" s="15">
        <f>'Participant reporting'!E568</f>
        <v>0</v>
      </c>
      <c r="F341">
        <f>'Participant reporting'!F568</f>
        <v>0</v>
      </c>
      <c r="G341">
        <f>'Participant reporting'!G568</f>
        <v>0</v>
      </c>
      <c r="H341">
        <f>'Participant reporting'!H568</f>
        <v>0</v>
      </c>
      <c r="I341">
        <f>'Participant reporting'!I568</f>
        <v>0</v>
      </c>
      <c r="J341">
        <f>'Participant reporting'!J568</f>
        <v>0</v>
      </c>
      <c r="K341">
        <f>'Participant reporting'!K568</f>
        <v>0</v>
      </c>
      <c r="L341">
        <f>'Participant reporting'!L568</f>
        <v>0</v>
      </c>
      <c r="M341">
        <f>'Participant reporting'!M568</f>
        <v>0</v>
      </c>
      <c r="N341">
        <f>'Participant reporting'!N568</f>
        <v>0</v>
      </c>
      <c r="O341">
        <f>'Participant reporting'!O568</f>
        <v>0</v>
      </c>
    </row>
    <row r="342" spans="1:15" x14ac:dyDescent="0.25">
      <c r="A342">
        <f>'Participant reporting'!A569</f>
        <v>0</v>
      </c>
      <c r="B342">
        <f>'Participant reporting'!B569</f>
        <v>0</v>
      </c>
      <c r="C342">
        <f>'Participant reporting'!C569</f>
        <v>0</v>
      </c>
      <c r="D342">
        <f>'Participant reporting'!D569</f>
        <v>0</v>
      </c>
      <c r="E342" s="15">
        <f>'Participant reporting'!E569</f>
        <v>0</v>
      </c>
      <c r="F342">
        <f>'Participant reporting'!F569</f>
        <v>0</v>
      </c>
      <c r="G342">
        <f>'Participant reporting'!G569</f>
        <v>0</v>
      </c>
      <c r="H342">
        <f>'Participant reporting'!H569</f>
        <v>0</v>
      </c>
      <c r="I342">
        <f>'Participant reporting'!I569</f>
        <v>0</v>
      </c>
      <c r="J342">
        <f>'Participant reporting'!J569</f>
        <v>0</v>
      </c>
      <c r="K342">
        <f>'Participant reporting'!K569</f>
        <v>0</v>
      </c>
      <c r="L342">
        <f>'Participant reporting'!L569</f>
        <v>0</v>
      </c>
      <c r="M342">
        <f>'Participant reporting'!M569</f>
        <v>0</v>
      </c>
      <c r="N342">
        <f>'Participant reporting'!N569</f>
        <v>0</v>
      </c>
      <c r="O342">
        <f>'Participant reporting'!O569</f>
        <v>0</v>
      </c>
    </row>
    <row r="343" spans="1:15" x14ac:dyDescent="0.25">
      <c r="A343">
        <f>'Participant reporting'!A570</f>
        <v>0</v>
      </c>
      <c r="B343">
        <f>'Participant reporting'!B570</f>
        <v>0</v>
      </c>
      <c r="C343">
        <f>'Participant reporting'!C570</f>
        <v>0</v>
      </c>
      <c r="D343">
        <f>'Participant reporting'!D570</f>
        <v>0</v>
      </c>
      <c r="E343" s="15">
        <f>'Participant reporting'!E570</f>
        <v>0</v>
      </c>
      <c r="F343">
        <f>'Participant reporting'!F570</f>
        <v>0</v>
      </c>
      <c r="G343">
        <f>'Participant reporting'!G570</f>
        <v>0</v>
      </c>
      <c r="H343">
        <f>'Participant reporting'!H570</f>
        <v>0</v>
      </c>
      <c r="I343">
        <f>'Participant reporting'!I570</f>
        <v>0</v>
      </c>
      <c r="J343">
        <f>'Participant reporting'!J570</f>
        <v>0</v>
      </c>
      <c r="K343">
        <f>'Participant reporting'!K570</f>
        <v>0</v>
      </c>
      <c r="L343">
        <f>'Participant reporting'!L570</f>
        <v>0</v>
      </c>
      <c r="M343">
        <f>'Participant reporting'!M570</f>
        <v>0</v>
      </c>
      <c r="N343">
        <f>'Participant reporting'!N570</f>
        <v>0</v>
      </c>
      <c r="O343">
        <f>'Participant reporting'!O570</f>
        <v>0</v>
      </c>
    </row>
    <row r="344" spans="1:15" x14ac:dyDescent="0.25">
      <c r="A344">
        <f>'Participant reporting'!A571</f>
        <v>0</v>
      </c>
      <c r="B344">
        <f>'Participant reporting'!B571</f>
        <v>0</v>
      </c>
      <c r="C344">
        <f>'Participant reporting'!C571</f>
        <v>0</v>
      </c>
      <c r="D344">
        <f>'Participant reporting'!D571</f>
        <v>0</v>
      </c>
      <c r="E344" s="15">
        <f>'Participant reporting'!E571</f>
        <v>0</v>
      </c>
      <c r="F344">
        <f>'Participant reporting'!F571</f>
        <v>0</v>
      </c>
      <c r="G344">
        <f>'Participant reporting'!G571</f>
        <v>0</v>
      </c>
      <c r="H344">
        <f>'Participant reporting'!H571</f>
        <v>0</v>
      </c>
      <c r="I344">
        <f>'Participant reporting'!I571</f>
        <v>0</v>
      </c>
      <c r="J344">
        <f>'Participant reporting'!J571</f>
        <v>0</v>
      </c>
      <c r="K344">
        <f>'Participant reporting'!K571</f>
        <v>0</v>
      </c>
      <c r="L344">
        <f>'Participant reporting'!L571</f>
        <v>0</v>
      </c>
      <c r="M344">
        <f>'Participant reporting'!M571</f>
        <v>0</v>
      </c>
      <c r="N344">
        <f>'Participant reporting'!N571</f>
        <v>0</v>
      </c>
      <c r="O344">
        <f>'Participant reporting'!O571</f>
        <v>0</v>
      </c>
    </row>
    <row r="345" spans="1:15" x14ac:dyDescent="0.25">
      <c r="A345">
        <f>'Participant reporting'!A572</f>
        <v>0</v>
      </c>
      <c r="B345">
        <f>'Participant reporting'!B572</f>
        <v>0</v>
      </c>
      <c r="C345">
        <f>'Participant reporting'!C572</f>
        <v>0</v>
      </c>
      <c r="D345">
        <f>'Participant reporting'!D572</f>
        <v>0</v>
      </c>
      <c r="E345" s="15">
        <f>'Participant reporting'!E572</f>
        <v>0</v>
      </c>
      <c r="F345">
        <f>'Participant reporting'!F572</f>
        <v>0</v>
      </c>
      <c r="G345">
        <f>'Participant reporting'!G572</f>
        <v>0</v>
      </c>
      <c r="H345">
        <f>'Participant reporting'!H572</f>
        <v>0</v>
      </c>
      <c r="I345">
        <f>'Participant reporting'!I572</f>
        <v>0</v>
      </c>
      <c r="J345">
        <f>'Participant reporting'!J572</f>
        <v>0</v>
      </c>
      <c r="K345">
        <f>'Participant reporting'!K572</f>
        <v>0</v>
      </c>
      <c r="L345">
        <f>'Participant reporting'!L572</f>
        <v>0</v>
      </c>
      <c r="M345">
        <f>'Participant reporting'!M572</f>
        <v>0</v>
      </c>
      <c r="N345">
        <f>'Participant reporting'!N572</f>
        <v>0</v>
      </c>
      <c r="O345">
        <f>'Participant reporting'!O572</f>
        <v>0</v>
      </c>
    </row>
    <row r="346" spans="1:15" x14ac:dyDescent="0.25">
      <c r="A346">
        <f>'Participant reporting'!A573</f>
        <v>0</v>
      </c>
      <c r="B346">
        <f>'Participant reporting'!B573</f>
        <v>0</v>
      </c>
      <c r="C346">
        <f>'Participant reporting'!C573</f>
        <v>0</v>
      </c>
      <c r="D346">
        <f>'Participant reporting'!D573</f>
        <v>0</v>
      </c>
      <c r="E346" s="15">
        <f>'Participant reporting'!E573</f>
        <v>0</v>
      </c>
      <c r="F346">
        <f>'Participant reporting'!F573</f>
        <v>0</v>
      </c>
      <c r="G346">
        <f>'Participant reporting'!G573</f>
        <v>0</v>
      </c>
      <c r="H346">
        <f>'Participant reporting'!H573</f>
        <v>0</v>
      </c>
      <c r="I346">
        <f>'Participant reporting'!I573</f>
        <v>0</v>
      </c>
      <c r="J346">
        <f>'Participant reporting'!J573</f>
        <v>0</v>
      </c>
      <c r="K346">
        <f>'Participant reporting'!K573</f>
        <v>0</v>
      </c>
      <c r="L346">
        <f>'Participant reporting'!L573</f>
        <v>0</v>
      </c>
      <c r="M346">
        <f>'Participant reporting'!M573</f>
        <v>0</v>
      </c>
      <c r="N346">
        <f>'Participant reporting'!N573</f>
        <v>0</v>
      </c>
      <c r="O346">
        <f>'Participant reporting'!O573</f>
        <v>0</v>
      </c>
    </row>
    <row r="347" spans="1:15" x14ac:dyDescent="0.25">
      <c r="A347">
        <f>'Participant reporting'!A574</f>
        <v>0</v>
      </c>
      <c r="B347">
        <f>'Participant reporting'!B574</f>
        <v>0</v>
      </c>
      <c r="C347">
        <f>'Participant reporting'!C574</f>
        <v>0</v>
      </c>
      <c r="D347">
        <f>'Participant reporting'!D574</f>
        <v>0</v>
      </c>
      <c r="E347" s="15">
        <f>'Participant reporting'!E574</f>
        <v>0</v>
      </c>
      <c r="F347">
        <f>'Participant reporting'!F574</f>
        <v>0</v>
      </c>
      <c r="G347">
        <f>'Participant reporting'!G574</f>
        <v>0</v>
      </c>
      <c r="H347">
        <f>'Participant reporting'!H574</f>
        <v>0</v>
      </c>
      <c r="I347">
        <f>'Participant reporting'!I574</f>
        <v>0</v>
      </c>
      <c r="J347">
        <f>'Participant reporting'!J574</f>
        <v>0</v>
      </c>
      <c r="K347">
        <f>'Participant reporting'!K574</f>
        <v>0</v>
      </c>
      <c r="L347">
        <f>'Participant reporting'!L574</f>
        <v>0</v>
      </c>
      <c r="M347">
        <f>'Participant reporting'!M574</f>
        <v>0</v>
      </c>
      <c r="N347">
        <f>'Participant reporting'!N574</f>
        <v>0</v>
      </c>
      <c r="O347">
        <f>'Participant reporting'!O574</f>
        <v>0</v>
      </c>
    </row>
    <row r="348" spans="1:15" x14ac:dyDescent="0.25">
      <c r="A348">
        <f>'Participant reporting'!A575</f>
        <v>0</v>
      </c>
      <c r="B348">
        <f>'Participant reporting'!B575</f>
        <v>0</v>
      </c>
      <c r="C348">
        <f>'Participant reporting'!C575</f>
        <v>0</v>
      </c>
      <c r="D348">
        <f>'Participant reporting'!D575</f>
        <v>0</v>
      </c>
      <c r="E348" s="15">
        <f>'Participant reporting'!E575</f>
        <v>0</v>
      </c>
      <c r="F348">
        <f>'Participant reporting'!F575</f>
        <v>0</v>
      </c>
      <c r="G348">
        <f>'Participant reporting'!G575</f>
        <v>0</v>
      </c>
      <c r="H348">
        <f>'Participant reporting'!H575</f>
        <v>0</v>
      </c>
      <c r="I348">
        <f>'Participant reporting'!I575</f>
        <v>0</v>
      </c>
      <c r="J348">
        <f>'Participant reporting'!J575</f>
        <v>0</v>
      </c>
      <c r="K348">
        <f>'Participant reporting'!K575</f>
        <v>0</v>
      </c>
      <c r="L348">
        <f>'Participant reporting'!L575</f>
        <v>0</v>
      </c>
      <c r="M348">
        <f>'Participant reporting'!M575</f>
        <v>0</v>
      </c>
      <c r="N348">
        <f>'Participant reporting'!N575</f>
        <v>0</v>
      </c>
      <c r="O348">
        <f>'Participant reporting'!O575</f>
        <v>0</v>
      </c>
    </row>
    <row r="349" spans="1:15" x14ac:dyDescent="0.25">
      <c r="A349">
        <f>'Participant reporting'!A576</f>
        <v>0</v>
      </c>
      <c r="B349">
        <f>'Participant reporting'!B576</f>
        <v>0</v>
      </c>
      <c r="C349">
        <f>'Participant reporting'!C576</f>
        <v>0</v>
      </c>
      <c r="D349">
        <f>'Participant reporting'!D576</f>
        <v>0</v>
      </c>
      <c r="E349" s="15">
        <f>'Participant reporting'!E576</f>
        <v>0</v>
      </c>
      <c r="F349">
        <f>'Participant reporting'!F576</f>
        <v>0</v>
      </c>
      <c r="G349">
        <f>'Participant reporting'!G576</f>
        <v>0</v>
      </c>
      <c r="H349">
        <f>'Participant reporting'!H576</f>
        <v>0</v>
      </c>
      <c r="I349">
        <f>'Participant reporting'!I576</f>
        <v>0</v>
      </c>
      <c r="J349">
        <f>'Participant reporting'!J576</f>
        <v>0</v>
      </c>
      <c r="K349">
        <f>'Participant reporting'!K576</f>
        <v>0</v>
      </c>
      <c r="L349">
        <f>'Participant reporting'!L576</f>
        <v>0</v>
      </c>
      <c r="M349">
        <f>'Participant reporting'!M576</f>
        <v>0</v>
      </c>
      <c r="N349">
        <f>'Participant reporting'!N576</f>
        <v>0</v>
      </c>
      <c r="O349">
        <f>'Participant reporting'!O576</f>
        <v>0</v>
      </c>
    </row>
    <row r="350" spans="1:15" x14ac:dyDescent="0.25">
      <c r="A350">
        <f>'Participant reporting'!A577</f>
        <v>0</v>
      </c>
      <c r="B350">
        <f>'Participant reporting'!B577</f>
        <v>0</v>
      </c>
      <c r="C350">
        <f>'Participant reporting'!C577</f>
        <v>0</v>
      </c>
      <c r="D350">
        <f>'Participant reporting'!D577</f>
        <v>0</v>
      </c>
      <c r="E350" s="15">
        <f>'Participant reporting'!E577</f>
        <v>0</v>
      </c>
      <c r="F350">
        <f>'Participant reporting'!F577</f>
        <v>0</v>
      </c>
      <c r="G350">
        <f>'Participant reporting'!G577</f>
        <v>0</v>
      </c>
      <c r="H350">
        <f>'Participant reporting'!H577</f>
        <v>0</v>
      </c>
      <c r="I350">
        <f>'Participant reporting'!I577</f>
        <v>0</v>
      </c>
      <c r="J350">
        <f>'Participant reporting'!J577</f>
        <v>0</v>
      </c>
      <c r="K350">
        <f>'Participant reporting'!K577</f>
        <v>0</v>
      </c>
      <c r="L350">
        <f>'Participant reporting'!L577</f>
        <v>0</v>
      </c>
      <c r="M350">
        <f>'Participant reporting'!M577</f>
        <v>0</v>
      </c>
      <c r="N350">
        <f>'Participant reporting'!N577</f>
        <v>0</v>
      </c>
      <c r="O350">
        <f>'Participant reporting'!O577</f>
        <v>0</v>
      </c>
    </row>
    <row r="351" spans="1:15" x14ac:dyDescent="0.25">
      <c r="A351">
        <f>'Participant reporting'!A578</f>
        <v>0</v>
      </c>
      <c r="B351">
        <f>'Participant reporting'!B578</f>
        <v>0</v>
      </c>
      <c r="C351">
        <f>'Participant reporting'!C578</f>
        <v>0</v>
      </c>
      <c r="D351">
        <f>'Participant reporting'!D578</f>
        <v>0</v>
      </c>
      <c r="E351" s="15">
        <f>'Participant reporting'!E578</f>
        <v>0</v>
      </c>
      <c r="F351">
        <f>'Participant reporting'!F578</f>
        <v>0</v>
      </c>
      <c r="G351">
        <f>'Participant reporting'!G578</f>
        <v>0</v>
      </c>
      <c r="H351">
        <f>'Participant reporting'!H578</f>
        <v>0</v>
      </c>
      <c r="I351">
        <f>'Participant reporting'!I578</f>
        <v>0</v>
      </c>
      <c r="J351">
        <f>'Participant reporting'!J578</f>
        <v>0</v>
      </c>
      <c r="K351">
        <f>'Participant reporting'!K578</f>
        <v>0</v>
      </c>
      <c r="L351">
        <f>'Participant reporting'!L578</f>
        <v>0</v>
      </c>
      <c r="M351">
        <f>'Participant reporting'!M578</f>
        <v>0</v>
      </c>
      <c r="N351">
        <f>'Participant reporting'!N578</f>
        <v>0</v>
      </c>
      <c r="O351">
        <f>'Participant reporting'!O578</f>
        <v>0</v>
      </c>
    </row>
    <row r="352" spans="1:15" x14ac:dyDescent="0.25">
      <c r="A352">
        <f>'Participant reporting'!A579</f>
        <v>0</v>
      </c>
      <c r="B352">
        <f>'Participant reporting'!B579</f>
        <v>0</v>
      </c>
      <c r="C352">
        <f>'Participant reporting'!C579</f>
        <v>0</v>
      </c>
      <c r="D352">
        <f>'Participant reporting'!D579</f>
        <v>0</v>
      </c>
      <c r="E352" s="15">
        <f>'Participant reporting'!E579</f>
        <v>0</v>
      </c>
      <c r="F352">
        <f>'Participant reporting'!F579</f>
        <v>0</v>
      </c>
      <c r="G352">
        <f>'Participant reporting'!G579</f>
        <v>0</v>
      </c>
      <c r="H352">
        <f>'Participant reporting'!H579</f>
        <v>0</v>
      </c>
      <c r="I352">
        <f>'Participant reporting'!I579</f>
        <v>0</v>
      </c>
      <c r="J352">
        <f>'Participant reporting'!J579</f>
        <v>0</v>
      </c>
      <c r="K352">
        <f>'Participant reporting'!K579</f>
        <v>0</v>
      </c>
      <c r="L352">
        <f>'Participant reporting'!L579</f>
        <v>0</v>
      </c>
      <c r="M352">
        <f>'Participant reporting'!M579</f>
        <v>0</v>
      </c>
      <c r="N352">
        <f>'Participant reporting'!N579</f>
        <v>0</v>
      </c>
      <c r="O352">
        <f>'Participant reporting'!O579</f>
        <v>0</v>
      </c>
    </row>
    <row r="353" spans="1:15" x14ac:dyDescent="0.25">
      <c r="A353">
        <f>'Participant reporting'!A580</f>
        <v>0</v>
      </c>
      <c r="B353">
        <f>'Participant reporting'!B580</f>
        <v>0</v>
      </c>
      <c r="C353">
        <f>'Participant reporting'!C580</f>
        <v>0</v>
      </c>
      <c r="D353">
        <f>'Participant reporting'!D580</f>
        <v>0</v>
      </c>
      <c r="E353" s="15">
        <f>'Participant reporting'!E580</f>
        <v>0</v>
      </c>
      <c r="F353">
        <f>'Participant reporting'!F580</f>
        <v>0</v>
      </c>
      <c r="G353">
        <f>'Participant reporting'!G580</f>
        <v>0</v>
      </c>
      <c r="H353">
        <f>'Participant reporting'!H580</f>
        <v>0</v>
      </c>
      <c r="I353">
        <f>'Participant reporting'!I580</f>
        <v>0</v>
      </c>
      <c r="J353">
        <f>'Participant reporting'!J580</f>
        <v>0</v>
      </c>
      <c r="K353">
        <f>'Participant reporting'!K580</f>
        <v>0</v>
      </c>
      <c r="L353">
        <f>'Participant reporting'!L580</f>
        <v>0</v>
      </c>
      <c r="M353">
        <f>'Participant reporting'!M580</f>
        <v>0</v>
      </c>
      <c r="N353">
        <f>'Participant reporting'!N580</f>
        <v>0</v>
      </c>
      <c r="O353">
        <f>'Participant reporting'!O580</f>
        <v>0</v>
      </c>
    </row>
    <row r="354" spans="1:15" x14ac:dyDescent="0.25">
      <c r="A354">
        <f>'Participant reporting'!A581</f>
        <v>0</v>
      </c>
      <c r="B354">
        <f>'Participant reporting'!B581</f>
        <v>0</v>
      </c>
      <c r="C354">
        <f>'Participant reporting'!C581</f>
        <v>0</v>
      </c>
      <c r="D354">
        <f>'Participant reporting'!D581</f>
        <v>0</v>
      </c>
      <c r="E354" s="15">
        <f>'Participant reporting'!E581</f>
        <v>0</v>
      </c>
      <c r="F354">
        <f>'Participant reporting'!F581</f>
        <v>0</v>
      </c>
      <c r="G354">
        <f>'Participant reporting'!G581</f>
        <v>0</v>
      </c>
      <c r="H354">
        <f>'Participant reporting'!H581</f>
        <v>0</v>
      </c>
      <c r="I354">
        <f>'Participant reporting'!I581</f>
        <v>0</v>
      </c>
      <c r="J354">
        <f>'Participant reporting'!J581</f>
        <v>0</v>
      </c>
      <c r="K354">
        <f>'Participant reporting'!K581</f>
        <v>0</v>
      </c>
      <c r="L354">
        <f>'Participant reporting'!L581</f>
        <v>0</v>
      </c>
      <c r="M354">
        <f>'Participant reporting'!M581</f>
        <v>0</v>
      </c>
      <c r="N354">
        <f>'Participant reporting'!N581</f>
        <v>0</v>
      </c>
      <c r="O354">
        <f>'Participant reporting'!O581</f>
        <v>0</v>
      </c>
    </row>
    <row r="355" spans="1:15" x14ac:dyDescent="0.25">
      <c r="A355">
        <f>'Participant reporting'!A582</f>
        <v>0</v>
      </c>
      <c r="B355">
        <f>'Participant reporting'!B582</f>
        <v>0</v>
      </c>
      <c r="C355">
        <f>'Participant reporting'!C582</f>
        <v>0</v>
      </c>
      <c r="D355">
        <f>'Participant reporting'!D582</f>
        <v>0</v>
      </c>
      <c r="E355" s="15">
        <f>'Participant reporting'!E582</f>
        <v>0</v>
      </c>
      <c r="F355">
        <f>'Participant reporting'!F582</f>
        <v>0</v>
      </c>
      <c r="G355">
        <f>'Participant reporting'!G582</f>
        <v>0</v>
      </c>
      <c r="H355">
        <f>'Participant reporting'!H582</f>
        <v>0</v>
      </c>
      <c r="I355">
        <f>'Participant reporting'!I582</f>
        <v>0</v>
      </c>
      <c r="J355">
        <f>'Participant reporting'!J582</f>
        <v>0</v>
      </c>
      <c r="K355">
        <f>'Participant reporting'!K582</f>
        <v>0</v>
      </c>
      <c r="L355">
        <f>'Participant reporting'!L582</f>
        <v>0</v>
      </c>
      <c r="M355">
        <f>'Participant reporting'!M582</f>
        <v>0</v>
      </c>
      <c r="N355">
        <f>'Participant reporting'!N582</f>
        <v>0</v>
      </c>
      <c r="O355">
        <f>'Participant reporting'!O582</f>
        <v>0</v>
      </c>
    </row>
    <row r="356" spans="1:15" x14ac:dyDescent="0.25">
      <c r="A356">
        <f>'Participant reporting'!A583</f>
        <v>0</v>
      </c>
      <c r="B356">
        <f>'Participant reporting'!B583</f>
        <v>0</v>
      </c>
      <c r="C356">
        <f>'Participant reporting'!C583</f>
        <v>0</v>
      </c>
      <c r="D356">
        <f>'Participant reporting'!D583</f>
        <v>0</v>
      </c>
      <c r="E356" s="15">
        <f>'Participant reporting'!E583</f>
        <v>0</v>
      </c>
      <c r="F356">
        <f>'Participant reporting'!F583</f>
        <v>0</v>
      </c>
      <c r="G356">
        <f>'Participant reporting'!G583</f>
        <v>0</v>
      </c>
      <c r="H356">
        <f>'Participant reporting'!H583</f>
        <v>0</v>
      </c>
      <c r="I356">
        <f>'Participant reporting'!I583</f>
        <v>0</v>
      </c>
      <c r="J356">
        <f>'Participant reporting'!J583</f>
        <v>0</v>
      </c>
      <c r="K356">
        <f>'Participant reporting'!K583</f>
        <v>0</v>
      </c>
      <c r="L356">
        <f>'Participant reporting'!L583</f>
        <v>0</v>
      </c>
      <c r="M356">
        <f>'Participant reporting'!M583</f>
        <v>0</v>
      </c>
      <c r="N356">
        <f>'Participant reporting'!N583</f>
        <v>0</v>
      </c>
      <c r="O356">
        <f>'Participant reporting'!O583</f>
        <v>0</v>
      </c>
    </row>
    <row r="357" spans="1:15" x14ac:dyDescent="0.25">
      <c r="A357">
        <f>'Participant reporting'!A584</f>
        <v>0</v>
      </c>
      <c r="B357">
        <f>'Participant reporting'!B584</f>
        <v>0</v>
      </c>
      <c r="C357">
        <f>'Participant reporting'!C584</f>
        <v>0</v>
      </c>
      <c r="D357">
        <f>'Participant reporting'!D584</f>
        <v>0</v>
      </c>
      <c r="E357" s="15">
        <f>'Participant reporting'!E584</f>
        <v>0</v>
      </c>
      <c r="F357">
        <f>'Participant reporting'!F584</f>
        <v>0</v>
      </c>
      <c r="G357">
        <f>'Participant reporting'!G584</f>
        <v>0</v>
      </c>
      <c r="H357">
        <f>'Participant reporting'!H584</f>
        <v>0</v>
      </c>
      <c r="I357">
        <f>'Participant reporting'!I584</f>
        <v>0</v>
      </c>
      <c r="J357">
        <f>'Participant reporting'!J584</f>
        <v>0</v>
      </c>
      <c r="K357">
        <f>'Participant reporting'!K584</f>
        <v>0</v>
      </c>
      <c r="L357">
        <f>'Participant reporting'!L584</f>
        <v>0</v>
      </c>
      <c r="M357">
        <f>'Participant reporting'!M584</f>
        <v>0</v>
      </c>
      <c r="N357">
        <f>'Participant reporting'!N584</f>
        <v>0</v>
      </c>
      <c r="O357">
        <f>'Participant reporting'!O584</f>
        <v>0</v>
      </c>
    </row>
    <row r="358" spans="1:15" x14ac:dyDescent="0.25">
      <c r="A358">
        <f>'Participant reporting'!A585</f>
        <v>0</v>
      </c>
      <c r="B358">
        <f>'Participant reporting'!B585</f>
        <v>0</v>
      </c>
      <c r="C358">
        <f>'Participant reporting'!C585</f>
        <v>0</v>
      </c>
      <c r="D358">
        <f>'Participant reporting'!D585</f>
        <v>0</v>
      </c>
      <c r="E358" s="15">
        <f>'Participant reporting'!E585</f>
        <v>0</v>
      </c>
      <c r="F358">
        <f>'Participant reporting'!F585</f>
        <v>0</v>
      </c>
      <c r="G358">
        <f>'Participant reporting'!G585</f>
        <v>0</v>
      </c>
      <c r="H358">
        <f>'Participant reporting'!H585</f>
        <v>0</v>
      </c>
      <c r="I358">
        <f>'Participant reporting'!I585</f>
        <v>0</v>
      </c>
      <c r="J358">
        <f>'Participant reporting'!J585</f>
        <v>0</v>
      </c>
      <c r="K358">
        <f>'Participant reporting'!K585</f>
        <v>0</v>
      </c>
      <c r="L358">
        <f>'Participant reporting'!L585</f>
        <v>0</v>
      </c>
      <c r="M358">
        <f>'Participant reporting'!M585</f>
        <v>0</v>
      </c>
      <c r="N358">
        <f>'Participant reporting'!N585</f>
        <v>0</v>
      </c>
      <c r="O358">
        <f>'Participant reporting'!O585</f>
        <v>0</v>
      </c>
    </row>
    <row r="359" spans="1:15" x14ac:dyDescent="0.25">
      <c r="A359">
        <f>'Participant reporting'!A586</f>
        <v>0</v>
      </c>
      <c r="B359">
        <f>'Participant reporting'!B586</f>
        <v>0</v>
      </c>
      <c r="C359">
        <f>'Participant reporting'!C586</f>
        <v>0</v>
      </c>
      <c r="D359">
        <f>'Participant reporting'!D586</f>
        <v>0</v>
      </c>
      <c r="E359" s="15">
        <f>'Participant reporting'!E586</f>
        <v>0</v>
      </c>
      <c r="F359">
        <f>'Participant reporting'!F586</f>
        <v>0</v>
      </c>
      <c r="G359">
        <f>'Participant reporting'!G586</f>
        <v>0</v>
      </c>
      <c r="H359">
        <f>'Participant reporting'!H586</f>
        <v>0</v>
      </c>
      <c r="I359">
        <f>'Participant reporting'!I586</f>
        <v>0</v>
      </c>
      <c r="J359">
        <f>'Participant reporting'!J586</f>
        <v>0</v>
      </c>
      <c r="K359">
        <f>'Participant reporting'!K586</f>
        <v>0</v>
      </c>
      <c r="L359">
        <f>'Participant reporting'!L586</f>
        <v>0</v>
      </c>
      <c r="M359">
        <f>'Participant reporting'!M586</f>
        <v>0</v>
      </c>
      <c r="N359">
        <f>'Participant reporting'!N586</f>
        <v>0</v>
      </c>
      <c r="O359">
        <f>'Participant reporting'!O586</f>
        <v>0</v>
      </c>
    </row>
    <row r="360" spans="1:15" x14ac:dyDescent="0.25">
      <c r="A360">
        <f>'Participant reporting'!A587</f>
        <v>0</v>
      </c>
      <c r="B360">
        <f>'Participant reporting'!B587</f>
        <v>0</v>
      </c>
      <c r="C360">
        <f>'Participant reporting'!C587</f>
        <v>0</v>
      </c>
      <c r="D360">
        <f>'Participant reporting'!D587</f>
        <v>0</v>
      </c>
      <c r="E360" s="15">
        <f>'Participant reporting'!E587</f>
        <v>0</v>
      </c>
      <c r="F360">
        <f>'Participant reporting'!F587</f>
        <v>0</v>
      </c>
      <c r="G360">
        <f>'Participant reporting'!G587</f>
        <v>0</v>
      </c>
      <c r="H360">
        <f>'Participant reporting'!H587</f>
        <v>0</v>
      </c>
      <c r="I360">
        <f>'Participant reporting'!I587</f>
        <v>0</v>
      </c>
      <c r="J360">
        <f>'Participant reporting'!J587</f>
        <v>0</v>
      </c>
      <c r="K360">
        <f>'Participant reporting'!K587</f>
        <v>0</v>
      </c>
      <c r="L360">
        <f>'Participant reporting'!L587</f>
        <v>0</v>
      </c>
      <c r="M360">
        <f>'Participant reporting'!M587</f>
        <v>0</v>
      </c>
      <c r="N360">
        <f>'Participant reporting'!N587</f>
        <v>0</v>
      </c>
      <c r="O360">
        <f>'Participant reporting'!O587</f>
        <v>0</v>
      </c>
    </row>
    <row r="361" spans="1:15" x14ac:dyDescent="0.25">
      <c r="A361">
        <f>'Participant reporting'!A588</f>
        <v>0</v>
      </c>
      <c r="B361">
        <f>'Participant reporting'!B588</f>
        <v>0</v>
      </c>
      <c r="C361">
        <f>'Participant reporting'!C588</f>
        <v>0</v>
      </c>
      <c r="D361">
        <f>'Participant reporting'!D588</f>
        <v>0</v>
      </c>
      <c r="E361" s="15">
        <f>'Participant reporting'!E588</f>
        <v>0</v>
      </c>
      <c r="F361">
        <f>'Participant reporting'!F588</f>
        <v>0</v>
      </c>
      <c r="G361">
        <f>'Participant reporting'!G588</f>
        <v>0</v>
      </c>
      <c r="H361">
        <f>'Participant reporting'!H588</f>
        <v>0</v>
      </c>
      <c r="I361">
        <f>'Participant reporting'!I588</f>
        <v>0</v>
      </c>
      <c r="J361">
        <f>'Participant reporting'!J588</f>
        <v>0</v>
      </c>
      <c r="K361">
        <f>'Participant reporting'!K588</f>
        <v>0</v>
      </c>
      <c r="L361">
        <f>'Participant reporting'!L588</f>
        <v>0</v>
      </c>
      <c r="M361">
        <f>'Participant reporting'!M588</f>
        <v>0</v>
      </c>
      <c r="N361">
        <f>'Participant reporting'!N588</f>
        <v>0</v>
      </c>
      <c r="O361">
        <f>'Participant reporting'!O588</f>
        <v>0</v>
      </c>
    </row>
    <row r="362" spans="1:15" x14ac:dyDescent="0.25">
      <c r="A362">
        <f>'Participant reporting'!A589</f>
        <v>0</v>
      </c>
      <c r="B362">
        <f>'Participant reporting'!B589</f>
        <v>0</v>
      </c>
      <c r="C362">
        <f>'Participant reporting'!C589</f>
        <v>0</v>
      </c>
      <c r="D362">
        <f>'Participant reporting'!D589</f>
        <v>0</v>
      </c>
      <c r="E362" s="15">
        <f>'Participant reporting'!E589</f>
        <v>0</v>
      </c>
      <c r="F362">
        <f>'Participant reporting'!F589</f>
        <v>0</v>
      </c>
      <c r="G362">
        <f>'Participant reporting'!G589</f>
        <v>0</v>
      </c>
      <c r="H362">
        <f>'Participant reporting'!H589</f>
        <v>0</v>
      </c>
      <c r="I362">
        <f>'Participant reporting'!I589</f>
        <v>0</v>
      </c>
      <c r="J362">
        <f>'Participant reporting'!J589</f>
        <v>0</v>
      </c>
      <c r="K362">
        <f>'Participant reporting'!K589</f>
        <v>0</v>
      </c>
      <c r="L362">
        <f>'Participant reporting'!L589</f>
        <v>0</v>
      </c>
      <c r="M362">
        <f>'Participant reporting'!M589</f>
        <v>0</v>
      </c>
      <c r="N362">
        <f>'Participant reporting'!N589</f>
        <v>0</v>
      </c>
      <c r="O362">
        <f>'Participant reporting'!O589</f>
        <v>0</v>
      </c>
    </row>
    <row r="363" spans="1:15" x14ac:dyDescent="0.25">
      <c r="A363">
        <f>'Participant reporting'!A590</f>
        <v>0</v>
      </c>
      <c r="B363">
        <f>'Participant reporting'!B590</f>
        <v>0</v>
      </c>
      <c r="C363">
        <f>'Participant reporting'!C590</f>
        <v>0</v>
      </c>
      <c r="D363">
        <f>'Participant reporting'!D590</f>
        <v>0</v>
      </c>
      <c r="E363" s="15">
        <f>'Participant reporting'!E590</f>
        <v>0</v>
      </c>
      <c r="F363">
        <f>'Participant reporting'!F590</f>
        <v>0</v>
      </c>
      <c r="G363">
        <f>'Participant reporting'!G590</f>
        <v>0</v>
      </c>
      <c r="H363">
        <f>'Participant reporting'!H590</f>
        <v>0</v>
      </c>
      <c r="I363">
        <f>'Participant reporting'!I590</f>
        <v>0</v>
      </c>
      <c r="J363">
        <f>'Participant reporting'!J590</f>
        <v>0</v>
      </c>
      <c r="K363">
        <f>'Participant reporting'!K590</f>
        <v>0</v>
      </c>
      <c r="L363">
        <f>'Participant reporting'!L590</f>
        <v>0</v>
      </c>
      <c r="M363">
        <f>'Participant reporting'!M590</f>
        <v>0</v>
      </c>
      <c r="N363">
        <f>'Participant reporting'!N590</f>
        <v>0</v>
      </c>
      <c r="O363">
        <f>'Participant reporting'!O590</f>
        <v>0</v>
      </c>
    </row>
    <row r="364" spans="1:15" x14ac:dyDescent="0.25">
      <c r="A364">
        <f>'Participant reporting'!A591</f>
        <v>0</v>
      </c>
      <c r="B364">
        <f>'Participant reporting'!B591</f>
        <v>0</v>
      </c>
      <c r="C364">
        <f>'Participant reporting'!C591</f>
        <v>0</v>
      </c>
      <c r="D364">
        <f>'Participant reporting'!D591</f>
        <v>0</v>
      </c>
      <c r="E364" s="15">
        <f>'Participant reporting'!E591</f>
        <v>0</v>
      </c>
      <c r="F364">
        <f>'Participant reporting'!F591</f>
        <v>0</v>
      </c>
      <c r="G364">
        <f>'Participant reporting'!G591</f>
        <v>0</v>
      </c>
      <c r="H364">
        <f>'Participant reporting'!H591</f>
        <v>0</v>
      </c>
      <c r="I364">
        <f>'Participant reporting'!I591</f>
        <v>0</v>
      </c>
      <c r="J364">
        <f>'Participant reporting'!J591</f>
        <v>0</v>
      </c>
      <c r="K364">
        <f>'Participant reporting'!K591</f>
        <v>0</v>
      </c>
      <c r="L364">
        <f>'Participant reporting'!L591</f>
        <v>0</v>
      </c>
      <c r="M364">
        <f>'Participant reporting'!M591</f>
        <v>0</v>
      </c>
      <c r="N364">
        <f>'Participant reporting'!N591</f>
        <v>0</v>
      </c>
      <c r="O364">
        <f>'Participant reporting'!O591</f>
        <v>0</v>
      </c>
    </row>
    <row r="365" spans="1:15" x14ac:dyDescent="0.25">
      <c r="A365">
        <f>'Participant reporting'!A592</f>
        <v>0</v>
      </c>
      <c r="B365">
        <f>'Participant reporting'!B592</f>
        <v>0</v>
      </c>
      <c r="C365">
        <f>'Participant reporting'!C592</f>
        <v>0</v>
      </c>
      <c r="D365">
        <f>'Participant reporting'!D592</f>
        <v>0</v>
      </c>
      <c r="E365" s="15">
        <f>'Participant reporting'!E592</f>
        <v>0</v>
      </c>
      <c r="F365">
        <f>'Participant reporting'!F592</f>
        <v>0</v>
      </c>
      <c r="G365">
        <f>'Participant reporting'!G592</f>
        <v>0</v>
      </c>
      <c r="H365">
        <f>'Participant reporting'!H592</f>
        <v>0</v>
      </c>
      <c r="I365">
        <f>'Participant reporting'!I592</f>
        <v>0</v>
      </c>
      <c r="J365">
        <f>'Participant reporting'!J592</f>
        <v>0</v>
      </c>
      <c r="K365">
        <f>'Participant reporting'!K592</f>
        <v>0</v>
      </c>
      <c r="L365">
        <f>'Participant reporting'!L592</f>
        <v>0</v>
      </c>
      <c r="M365">
        <f>'Participant reporting'!M592</f>
        <v>0</v>
      </c>
      <c r="N365">
        <f>'Participant reporting'!N592</f>
        <v>0</v>
      </c>
      <c r="O365">
        <f>'Participant reporting'!O592</f>
        <v>0</v>
      </c>
    </row>
    <row r="366" spans="1:15" x14ac:dyDescent="0.25">
      <c r="A366">
        <f>'Participant reporting'!A593</f>
        <v>0</v>
      </c>
      <c r="B366">
        <f>'Participant reporting'!B593</f>
        <v>0</v>
      </c>
      <c r="C366">
        <f>'Participant reporting'!C593</f>
        <v>0</v>
      </c>
      <c r="D366">
        <f>'Participant reporting'!D593</f>
        <v>0</v>
      </c>
      <c r="E366" s="15">
        <f>'Participant reporting'!E593</f>
        <v>0</v>
      </c>
      <c r="F366">
        <f>'Participant reporting'!F593</f>
        <v>0</v>
      </c>
      <c r="G366">
        <f>'Participant reporting'!G593</f>
        <v>0</v>
      </c>
      <c r="H366">
        <f>'Participant reporting'!H593</f>
        <v>0</v>
      </c>
      <c r="I366">
        <f>'Participant reporting'!I593</f>
        <v>0</v>
      </c>
      <c r="J366">
        <f>'Participant reporting'!J593</f>
        <v>0</v>
      </c>
      <c r="K366">
        <f>'Participant reporting'!K593</f>
        <v>0</v>
      </c>
      <c r="L366">
        <f>'Participant reporting'!L593</f>
        <v>0</v>
      </c>
      <c r="M366">
        <f>'Participant reporting'!M593</f>
        <v>0</v>
      </c>
      <c r="N366">
        <f>'Participant reporting'!N593</f>
        <v>0</v>
      </c>
      <c r="O366">
        <f>'Participant reporting'!O593</f>
        <v>0</v>
      </c>
    </row>
    <row r="367" spans="1:15" x14ac:dyDescent="0.25">
      <c r="A367">
        <f>'Participant reporting'!A594</f>
        <v>0</v>
      </c>
      <c r="B367">
        <f>'Participant reporting'!B594</f>
        <v>0</v>
      </c>
      <c r="C367">
        <f>'Participant reporting'!C594</f>
        <v>0</v>
      </c>
      <c r="D367">
        <f>'Participant reporting'!D594</f>
        <v>0</v>
      </c>
      <c r="E367" s="15">
        <f>'Participant reporting'!E594</f>
        <v>0</v>
      </c>
      <c r="F367">
        <f>'Participant reporting'!F594</f>
        <v>0</v>
      </c>
      <c r="G367">
        <f>'Participant reporting'!G594</f>
        <v>0</v>
      </c>
      <c r="H367">
        <f>'Participant reporting'!H594</f>
        <v>0</v>
      </c>
      <c r="I367">
        <f>'Participant reporting'!I594</f>
        <v>0</v>
      </c>
      <c r="J367">
        <f>'Participant reporting'!J594</f>
        <v>0</v>
      </c>
      <c r="K367">
        <f>'Participant reporting'!K594</f>
        <v>0</v>
      </c>
      <c r="L367">
        <f>'Participant reporting'!L594</f>
        <v>0</v>
      </c>
      <c r="M367">
        <f>'Participant reporting'!M594</f>
        <v>0</v>
      </c>
      <c r="N367">
        <f>'Participant reporting'!N594</f>
        <v>0</v>
      </c>
      <c r="O367">
        <f>'Participant reporting'!O594</f>
        <v>0</v>
      </c>
    </row>
    <row r="368" spans="1:15" x14ac:dyDescent="0.25">
      <c r="A368">
        <f>'Participant reporting'!A595</f>
        <v>0</v>
      </c>
      <c r="B368">
        <f>'Participant reporting'!B595</f>
        <v>0</v>
      </c>
      <c r="C368">
        <f>'Participant reporting'!C595</f>
        <v>0</v>
      </c>
      <c r="D368">
        <f>'Participant reporting'!D595</f>
        <v>0</v>
      </c>
      <c r="E368" s="15">
        <f>'Participant reporting'!E595</f>
        <v>0</v>
      </c>
      <c r="F368">
        <f>'Participant reporting'!F595</f>
        <v>0</v>
      </c>
      <c r="G368">
        <f>'Participant reporting'!G595</f>
        <v>0</v>
      </c>
      <c r="H368">
        <f>'Participant reporting'!H595</f>
        <v>0</v>
      </c>
      <c r="I368">
        <f>'Participant reporting'!I595</f>
        <v>0</v>
      </c>
      <c r="J368">
        <f>'Participant reporting'!J595</f>
        <v>0</v>
      </c>
      <c r="K368">
        <f>'Participant reporting'!K595</f>
        <v>0</v>
      </c>
      <c r="L368">
        <f>'Participant reporting'!L595</f>
        <v>0</v>
      </c>
      <c r="M368">
        <f>'Participant reporting'!M595</f>
        <v>0</v>
      </c>
      <c r="N368">
        <f>'Participant reporting'!N595</f>
        <v>0</v>
      </c>
      <c r="O368">
        <f>'Participant reporting'!O595</f>
        <v>0</v>
      </c>
    </row>
    <row r="369" spans="1:15" x14ac:dyDescent="0.25">
      <c r="A369">
        <f>'Participant reporting'!A596</f>
        <v>0</v>
      </c>
      <c r="B369">
        <f>'Participant reporting'!B596</f>
        <v>0</v>
      </c>
      <c r="C369">
        <f>'Participant reporting'!C596</f>
        <v>0</v>
      </c>
      <c r="D369">
        <f>'Participant reporting'!D596</f>
        <v>0</v>
      </c>
      <c r="E369" s="15">
        <f>'Participant reporting'!E596</f>
        <v>0</v>
      </c>
      <c r="F369">
        <f>'Participant reporting'!F596</f>
        <v>0</v>
      </c>
      <c r="G369">
        <f>'Participant reporting'!G596</f>
        <v>0</v>
      </c>
      <c r="H369">
        <f>'Participant reporting'!H596</f>
        <v>0</v>
      </c>
      <c r="I369">
        <f>'Participant reporting'!I596</f>
        <v>0</v>
      </c>
      <c r="J369">
        <f>'Participant reporting'!J596</f>
        <v>0</v>
      </c>
      <c r="K369">
        <f>'Participant reporting'!K596</f>
        <v>0</v>
      </c>
      <c r="L369">
        <f>'Participant reporting'!L596</f>
        <v>0</v>
      </c>
      <c r="M369">
        <f>'Participant reporting'!M596</f>
        <v>0</v>
      </c>
      <c r="N369">
        <f>'Participant reporting'!N596</f>
        <v>0</v>
      </c>
      <c r="O369">
        <f>'Participant reporting'!O596</f>
        <v>0</v>
      </c>
    </row>
    <row r="370" spans="1:15" x14ac:dyDescent="0.25">
      <c r="A370">
        <f>'Participant reporting'!A597</f>
        <v>0</v>
      </c>
      <c r="B370">
        <f>'Participant reporting'!B597</f>
        <v>0</v>
      </c>
      <c r="C370">
        <f>'Participant reporting'!C597</f>
        <v>0</v>
      </c>
      <c r="D370">
        <f>'Participant reporting'!D597</f>
        <v>0</v>
      </c>
      <c r="E370" s="15">
        <f>'Participant reporting'!E597</f>
        <v>0</v>
      </c>
      <c r="F370">
        <f>'Participant reporting'!F597</f>
        <v>0</v>
      </c>
      <c r="G370">
        <f>'Participant reporting'!G597</f>
        <v>0</v>
      </c>
      <c r="H370">
        <f>'Participant reporting'!H597</f>
        <v>0</v>
      </c>
      <c r="I370">
        <f>'Participant reporting'!I597</f>
        <v>0</v>
      </c>
      <c r="J370">
        <f>'Participant reporting'!J597</f>
        <v>0</v>
      </c>
      <c r="K370">
        <f>'Participant reporting'!K597</f>
        <v>0</v>
      </c>
      <c r="L370">
        <f>'Participant reporting'!L597</f>
        <v>0</v>
      </c>
      <c r="M370">
        <f>'Participant reporting'!M597</f>
        <v>0</v>
      </c>
      <c r="N370">
        <f>'Participant reporting'!N597</f>
        <v>0</v>
      </c>
      <c r="O370">
        <f>'Participant reporting'!O597</f>
        <v>0</v>
      </c>
    </row>
    <row r="371" spans="1:15" x14ac:dyDescent="0.25">
      <c r="A371">
        <f>'Participant reporting'!A598</f>
        <v>0</v>
      </c>
      <c r="B371">
        <f>'Participant reporting'!B598</f>
        <v>0</v>
      </c>
      <c r="C371">
        <f>'Participant reporting'!C598</f>
        <v>0</v>
      </c>
      <c r="D371">
        <f>'Participant reporting'!D598</f>
        <v>0</v>
      </c>
      <c r="E371" s="15">
        <f>'Participant reporting'!E598</f>
        <v>0</v>
      </c>
      <c r="F371">
        <f>'Participant reporting'!F598</f>
        <v>0</v>
      </c>
      <c r="G371">
        <f>'Participant reporting'!G598</f>
        <v>0</v>
      </c>
      <c r="H371">
        <f>'Participant reporting'!H598</f>
        <v>0</v>
      </c>
      <c r="I371">
        <f>'Participant reporting'!I598</f>
        <v>0</v>
      </c>
      <c r="J371">
        <f>'Participant reporting'!J598</f>
        <v>0</v>
      </c>
      <c r="K371">
        <f>'Participant reporting'!K598</f>
        <v>0</v>
      </c>
      <c r="L371">
        <f>'Participant reporting'!L598</f>
        <v>0</v>
      </c>
      <c r="M371">
        <f>'Participant reporting'!M598</f>
        <v>0</v>
      </c>
      <c r="N371">
        <f>'Participant reporting'!N598</f>
        <v>0</v>
      </c>
      <c r="O371">
        <f>'Participant reporting'!O598</f>
        <v>0</v>
      </c>
    </row>
    <row r="372" spans="1:15" x14ac:dyDescent="0.25">
      <c r="A372">
        <f>'Participant reporting'!A599</f>
        <v>0</v>
      </c>
      <c r="B372">
        <f>'Participant reporting'!B599</f>
        <v>0</v>
      </c>
      <c r="C372">
        <f>'Participant reporting'!C599</f>
        <v>0</v>
      </c>
      <c r="D372">
        <f>'Participant reporting'!D599</f>
        <v>0</v>
      </c>
      <c r="E372" s="15">
        <f>'Participant reporting'!E599</f>
        <v>0</v>
      </c>
      <c r="F372">
        <f>'Participant reporting'!F599</f>
        <v>0</v>
      </c>
      <c r="G372">
        <f>'Participant reporting'!G599</f>
        <v>0</v>
      </c>
      <c r="H372">
        <f>'Participant reporting'!H599</f>
        <v>0</v>
      </c>
      <c r="I372">
        <f>'Participant reporting'!I599</f>
        <v>0</v>
      </c>
      <c r="J372">
        <f>'Participant reporting'!J599</f>
        <v>0</v>
      </c>
      <c r="K372">
        <f>'Participant reporting'!K599</f>
        <v>0</v>
      </c>
      <c r="L372">
        <f>'Participant reporting'!L599</f>
        <v>0</v>
      </c>
      <c r="M372">
        <f>'Participant reporting'!M599</f>
        <v>0</v>
      </c>
      <c r="N372">
        <f>'Participant reporting'!N599</f>
        <v>0</v>
      </c>
      <c r="O372">
        <f>'Participant reporting'!O599</f>
        <v>0</v>
      </c>
    </row>
    <row r="373" spans="1:15" x14ac:dyDescent="0.25">
      <c r="A373">
        <f>'Participant reporting'!A600</f>
        <v>0</v>
      </c>
      <c r="B373">
        <f>'Participant reporting'!B600</f>
        <v>0</v>
      </c>
      <c r="C373">
        <f>'Participant reporting'!C600</f>
        <v>0</v>
      </c>
      <c r="D373">
        <f>'Participant reporting'!D600</f>
        <v>0</v>
      </c>
      <c r="E373" s="15">
        <f>'Participant reporting'!E600</f>
        <v>0</v>
      </c>
      <c r="F373">
        <f>'Participant reporting'!F600</f>
        <v>0</v>
      </c>
      <c r="G373">
        <f>'Participant reporting'!G600</f>
        <v>0</v>
      </c>
      <c r="H373">
        <f>'Participant reporting'!H600</f>
        <v>0</v>
      </c>
      <c r="I373">
        <f>'Participant reporting'!I600</f>
        <v>0</v>
      </c>
      <c r="J373">
        <f>'Participant reporting'!J600</f>
        <v>0</v>
      </c>
      <c r="K373">
        <f>'Participant reporting'!K600</f>
        <v>0</v>
      </c>
      <c r="L373">
        <f>'Participant reporting'!L600</f>
        <v>0</v>
      </c>
      <c r="M373">
        <f>'Participant reporting'!M600</f>
        <v>0</v>
      </c>
      <c r="N373">
        <f>'Participant reporting'!N600</f>
        <v>0</v>
      </c>
      <c r="O373">
        <f>'Participant reporting'!O600</f>
        <v>0</v>
      </c>
    </row>
    <row r="374" spans="1:15" x14ac:dyDescent="0.25">
      <c r="A374">
        <f>'Participant reporting'!A601</f>
        <v>0</v>
      </c>
      <c r="B374">
        <f>'Participant reporting'!B601</f>
        <v>0</v>
      </c>
      <c r="C374">
        <f>'Participant reporting'!C601</f>
        <v>0</v>
      </c>
      <c r="D374">
        <f>'Participant reporting'!D601</f>
        <v>0</v>
      </c>
      <c r="E374" s="15">
        <f>'Participant reporting'!E601</f>
        <v>0</v>
      </c>
      <c r="F374">
        <f>'Participant reporting'!F601</f>
        <v>0</v>
      </c>
      <c r="G374">
        <f>'Participant reporting'!G601</f>
        <v>0</v>
      </c>
      <c r="H374">
        <f>'Participant reporting'!H601</f>
        <v>0</v>
      </c>
      <c r="I374">
        <f>'Participant reporting'!I601</f>
        <v>0</v>
      </c>
      <c r="J374">
        <f>'Participant reporting'!J601</f>
        <v>0</v>
      </c>
      <c r="K374">
        <f>'Participant reporting'!K601</f>
        <v>0</v>
      </c>
      <c r="L374">
        <f>'Participant reporting'!L601</f>
        <v>0</v>
      </c>
      <c r="M374">
        <f>'Participant reporting'!M601</f>
        <v>0</v>
      </c>
      <c r="N374">
        <f>'Participant reporting'!N601</f>
        <v>0</v>
      </c>
      <c r="O374">
        <f>'Participant reporting'!O601</f>
        <v>0</v>
      </c>
    </row>
    <row r="375" spans="1:15" x14ac:dyDescent="0.25">
      <c r="A375">
        <f>'Participant reporting'!A602</f>
        <v>0</v>
      </c>
      <c r="B375">
        <f>'Participant reporting'!B602</f>
        <v>0</v>
      </c>
      <c r="C375">
        <f>'Participant reporting'!C602</f>
        <v>0</v>
      </c>
      <c r="D375">
        <f>'Participant reporting'!D602</f>
        <v>0</v>
      </c>
      <c r="E375" s="15">
        <f>'Participant reporting'!E602</f>
        <v>0</v>
      </c>
      <c r="F375">
        <f>'Participant reporting'!F602</f>
        <v>0</v>
      </c>
      <c r="G375">
        <f>'Participant reporting'!G602</f>
        <v>0</v>
      </c>
      <c r="H375">
        <f>'Participant reporting'!H602</f>
        <v>0</v>
      </c>
      <c r="I375">
        <f>'Participant reporting'!I602</f>
        <v>0</v>
      </c>
      <c r="J375">
        <f>'Participant reporting'!J602</f>
        <v>0</v>
      </c>
      <c r="K375">
        <f>'Participant reporting'!K602</f>
        <v>0</v>
      </c>
      <c r="L375">
        <f>'Participant reporting'!L602</f>
        <v>0</v>
      </c>
      <c r="M375">
        <f>'Participant reporting'!M602</f>
        <v>0</v>
      </c>
      <c r="N375">
        <f>'Participant reporting'!N602</f>
        <v>0</v>
      </c>
      <c r="O375">
        <f>'Participant reporting'!O602</f>
        <v>0</v>
      </c>
    </row>
    <row r="376" spans="1:15" x14ac:dyDescent="0.25">
      <c r="A376">
        <f>'Participant reporting'!A603</f>
        <v>0</v>
      </c>
      <c r="B376">
        <f>'Participant reporting'!B603</f>
        <v>0</v>
      </c>
      <c r="C376">
        <f>'Participant reporting'!C603</f>
        <v>0</v>
      </c>
      <c r="D376">
        <f>'Participant reporting'!D603</f>
        <v>0</v>
      </c>
      <c r="E376" s="15">
        <f>'Participant reporting'!E603</f>
        <v>0</v>
      </c>
      <c r="F376">
        <f>'Participant reporting'!F603</f>
        <v>0</v>
      </c>
      <c r="G376">
        <f>'Participant reporting'!G603</f>
        <v>0</v>
      </c>
      <c r="H376">
        <f>'Participant reporting'!H603</f>
        <v>0</v>
      </c>
      <c r="I376">
        <f>'Participant reporting'!I603</f>
        <v>0</v>
      </c>
      <c r="J376">
        <f>'Participant reporting'!J603</f>
        <v>0</v>
      </c>
      <c r="K376">
        <f>'Participant reporting'!K603</f>
        <v>0</v>
      </c>
      <c r="L376">
        <f>'Participant reporting'!L603</f>
        <v>0</v>
      </c>
      <c r="M376">
        <f>'Participant reporting'!M603</f>
        <v>0</v>
      </c>
      <c r="N376">
        <f>'Participant reporting'!N603</f>
        <v>0</v>
      </c>
      <c r="O376">
        <f>'Participant reporting'!O603</f>
        <v>0</v>
      </c>
    </row>
    <row r="377" spans="1:15" x14ac:dyDescent="0.25">
      <c r="A377">
        <f>'Participant reporting'!A604</f>
        <v>0</v>
      </c>
      <c r="B377">
        <f>'Participant reporting'!B604</f>
        <v>0</v>
      </c>
      <c r="C377">
        <f>'Participant reporting'!C604</f>
        <v>0</v>
      </c>
      <c r="D377">
        <f>'Participant reporting'!D604</f>
        <v>0</v>
      </c>
      <c r="E377" s="15">
        <f>'Participant reporting'!E604</f>
        <v>0</v>
      </c>
      <c r="F377">
        <f>'Participant reporting'!F604</f>
        <v>0</v>
      </c>
      <c r="G377">
        <f>'Participant reporting'!G604</f>
        <v>0</v>
      </c>
      <c r="H377">
        <f>'Participant reporting'!H604</f>
        <v>0</v>
      </c>
      <c r="I377">
        <f>'Participant reporting'!I604</f>
        <v>0</v>
      </c>
      <c r="J377">
        <f>'Participant reporting'!J604</f>
        <v>0</v>
      </c>
      <c r="K377">
        <f>'Participant reporting'!K604</f>
        <v>0</v>
      </c>
      <c r="L377">
        <f>'Participant reporting'!L604</f>
        <v>0</v>
      </c>
      <c r="M377">
        <f>'Participant reporting'!M604</f>
        <v>0</v>
      </c>
      <c r="N377">
        <f>'Participant reporting'!N604</f>
        <v>0</v>
      </c>
      <c r="O377">
        <f>'Participant reporting'!O604</f>
        <v>0</v>
      </c>
    </row>
    <row r="378" spans="1:15" x14ac:dyDescent="0.25">
      <c r="A378">
        <f>'Participant reporting'!A605</f>
        <v>0</v>
      </c>
      <c r="B378">
        <f>'Participant reporting'!B605</f>
        <v>0</v>
      </c>
      <c r="C378">
        <f>'Participant reporting'!C605</f>
        <v>0</v>
      </c>
      <c r="D378">
        <f>'Participant reporting'!D605</f>
        <v>0</v>
      </c>
      <c r="E378" s="15">
        <f>'Participant reporting'!E605</f>
        <v>0</v>
      </c>
      <c r="F378">
        <f>'Participant reporting'!F605</f>
        <v>0</v>
      </c>
      <c r="G378">
        <f>'Participant reporting'!G605</f>
        <v>0</v>
      </c>
      <c r="H378">
        <f>'Participant reporting'!H605</f>
        <v>0</v>
      </c>
      <c r="I378">
        <f>'Participant reporting'!I605</f>
        <v>0</v>
      </c>
      <c r="J378">
        <f>'Participant reporting'!J605</f>
        <v>0</v>
      </c>
      <c r="K378">
        <f>'Participant reporting'!K605</f>
        <v>0</v>
      </c>
      <c r="L378">
        <f>'Participant reporting'!L605</f>
        <v>0</v>
      </c>
      <c r="M378">
        <f>'Participant reporting'!M605</f>
        <v>0</v>
      </c>
      <c r="N378">
        <f>'Participant reporting'!N605</f>
        <v>0</v>
      </c>
      <c r="O378">
        <f>'Participant reporting'!O605</f>
        <v>0</v>
      </c>
    </row>
    <row r="379" spans="1:15" x14ac:dyDescent="0.25">
      <c r="A379">
        <f>'Participant reporting'!A606</f>
        <v>0</v>
      </c>
      <c r="B379">
        <f>'Participant reporting'!B606</f>
        <v>0</v>
      </c>
      <c r="C379">
        <f>'Participant reporting'!C606</f>
        <v>0</v>
      </c>
      <c r="D379">
        <f>'Participant reporting'!D606</f>
        <v>0</v>
      </c>
      <c r="E379" s="15">
        <f>'Participant reporting'!E606</f>
        <v>0</v>
      </c>
      <c r="F379">
        <f>'Participant reporting'!F606</f>
        <v>0</v>
      </c>
      <c r="G379">
        <f>'Participant reporting'!G606</f>
        <v>0</v>
      </c>
      <c r="H379">
        <f>'Participant reporting'!H606</f>
        <v>0</v>
      </c>
      <c r="I379">
        <f>'Participant reporting'!I606</f>
        <v>0</v>
      </c>
      <c r="J379">
        <f>'Participant reporting'!J606</f>
        <v>0</v>
      </c>
      <c r="K379">
        <f>'Participant reporting'!K606</f>
        <v>0</v>
      </c>
      <c r="L379">
        <f>'Participant reporting'!L606</f>
        <v>0</v>
      </c>
      <c r="M379">
        <f>'Participant reporting'!M606</f>
        <v>0</v>
      </c>
      <c r="N379">
        <f>'Participant reporting'!N606</f>
        <v>0</v>
      </c>
      <c r="O379">
        <f>'Participant reporting'!O606</f>
        <v>0</v>
      </c>
    </row>
    <row r="380" spans="1:15" x14ac:dyDescent="0.25">
      <c r="A380">
        <f>'Participant reporting'!A607</f>
        <v>0</v>
      </c>
      <c r="B380">
        <f>'Participant reporting'!B607</f>
        <v>0</v>
      </c>
      <c r="C380">
        <f>'Participant reporting'!C607</f>
        <v>0</v>
      </c>
      <c r="D380">
        <f>'Participant reporting'!D607</f>
        <v>0</v>
      </c>
      <c r="E380" s="15">
        <f>'Participant reporting'!E607</f>
        <v>0</v>
      </c>
      <c r="F380">
        <f>'Participant reporting'!F607</f>
        <v>0</v>
      </c>
      <c r="G380">
        <f>'Participant reporting'!G607</f>
        <v>0</v>
      </c>
      <c r="H380">
        <f>'Participant reporting'!H607</f>
        <v>0</v>
      </c>
      <c r="I380">
        <f>'Participant reporting'!I607</f>
        <v>0</v>
      </c>
      <c r="J380">
        <f>'Participant reporting'!J607</f>
        <v>0</v>
      </c>
      <c r="K380">
        <f>'Participant reporting'!K607</f>
        <v>0</v>
      </c>
      <c r="L380">
        <f>'Participant reporting'!L607</f>
        <v>0</v>
      </c>
      <c r="M380">
        <f>'Participant reporting'!M607</f>
        <v>0</v>
      </c>
      <c r="N380">
        <f>'Participant reporting'!N607</f>
        <v>0</v>
      </c>
      <c r="O380">
        <f>'Participant reporting'!O607</f>
        <v>0</v>
      </c>
    </row>
    <row r="381" spans="1:15" x14ac:dyDescent="0.25">
      <c r="A381">
        <f>'Participant reporting'!A608</f>
        <v>0</v>
      </c>
      <c r="B381">
        <f>'Participant reporting'!B608</f>
        <v>0</v>
      </c>
      <c r="C381">
        <f>'Participant reporting'!C608</f>
        <v>0</v>
      </c>
      <c r="D381">
        <f>'Participant reporting'!D608</f>
        <v>0</v>
      </c>
      <c r="E381" s="15">
        <f>'Participant reporting'!E608</f>
        <v>0</v>
      </c>
      <c r="F381">
        <f>'Participant reporting'!F608</f>
        <v>0</v>
      </c>
      <c r="G381">
        <f>'Participant reporting'!G608</f>
        <v>0</v>
      </c>
      <c r="H381">
        <f>'Participant reporting'!H608</f>
        <v>0</v>
      </c>
      <c r="I381">
        <f>'Participant reporting'!I608</f>
        <v>0</v>
      </c>
      <c r="J381">
        <f>'Participant reporting'!J608</f>
        <v>0</v>
      </c>
      <c r="K381">
        <f>'Participant reporting'!K608</f>
        <v>0</v>
      </c>
      <c r="L381">
        <f>'Participant reporting'!L608</f>
        <v>0</v>
      </c>
      <c r="M381">
        <f>'Participant reporting'!M608</f>
        <v>0</v>
      </c>
      <c r="N381">
        <f>'Participant reporting'!N608</f>
        <v>0</v>
      </c>
      <c r="O381">
        <f>'Participant reporting'!O608</f>
        <v>0</v>
      </c>
    </row>
    <row r="382" spans="1:15" x14ac:dyDescent="0.25">
      <c r="A382">
        <f>'Participant reporting'!A609</f>
        <v>0</v>
      </c>
      <c r="B382">
        <f>'Participant reporting'!B609</f>
        <v>0</v>
      </c>
      <c r="C382">
        <f>'Participant reporting'!C609</f>
        <v>0</v>
      </c>
      <c r="D382">
        <f>'Participant reporting'!D609</f>
        <v>0</v>
      </c>
      <c r="E382" s="15">
        <f>'Participant reporting'!E609</f>
        <v>0</v>
      </c>
      <c r="F382">
        <f>'Participant reporting'!F609</f>
        <v>0</v>
      </c>
      <c r="G382">
        <f>'Participant reporting'!G609</f>
        <v>0</v>
      </c>
      <c r="H382">
        <f>'Participant reporting'!H609</f>
        <v>0</v>
      </c>
      <c r="I382">
        <f>'Participant reporting'!I609</f>
        <v>0</v>
      </c>
      <c r="J382">
        <f>'Participant reporting'!J609</f>
        <v>0</v>
      </c>
      <c r="K382">
        <f>'Participant reporting'!K609</f>
        <v>0</v>
      </c>
      <c r="L382">
        <f>'Participant reporting'!L609</f>
        <v>0</v>
      </c>
      <c r="M382">
        <f>'Participant reporting'!M609</f>
        <v>0</v>
      </c>
      <c r="N382">
        <f>'Participant reporting'!N609</f>
        <v>0</v>
      </c>
      <c r="O382">
        <f>'Participant reporting'!O609</f>
        <v>0</v>
      </c>
    </row>
    <row r="383" spans="1:15" x14ac:dyDescent="0.25">
      <c r="A383">
        <f>'Participant reporting'!A610</f>
        <v>0</v>
      </c>
      <c r="B383">
        <f>'Participant reporting'!B610</f>
        <v>0</v>
      </c>
      <c r="C383">
        <f>'Participant reporting'!C610</f>
        <v>0</v>
      </c>
      <c r="D383">
        <f>'Participant reporting'!D610</f>
        <v>0</v>
      </c>
      <c r="E383" s="15">
        <f>'Participant reporting'!E610</f>
        <v>0</v>
      </c>
      <c r="F383">
        <f>'Participant reporting'!F610</f>
        <v>0</v>
      </c>
      <c r="G383">
        <f>'Participant reporting'!G610</f>
        <v>0</v>
      </c>
      <c r="H383">
        <f>'Participant reporting'!H610</f>
        <v>0</v>
      </c>
      <c r="I383">
        <f>'Participant reporting'!I610</f>
        <v>0</v>
      </c>
      <c r="J383">
        <f>'Participant reporting'!J610</f>
        <v>0</v>
      </c>
      <c r="K383">
        <f>'Participant reporting'!K610</f>
        <v>0</v>
      </c>
      <c r="L383">
        <f>'Participant reporting'!L610</f>
        <v>0</v>
      </c>
      <c r="M383">
        <f>'Participant reporting'!M610</f>
        <v>0</v>
      </c>
      <c r="N383">
        <f>'Participant reporting'!N610</f>
        <v>0</v>
      </c>
      <c r="O383">
        <f>'Participant reporting'!O610</f>
        <v>0</v>
      </c>
    </row>
    <row r="384" spans="1:15" x14ac:dyDescent="0.25">
      <c r="A384">
        <f>'Participant reporting'!A611</f>
        <v>0</v>
      </c>
      <c r="B384">
        <f>'Participant reporting'!B611</f>
        <v>0</v>
      </c>
      <c r="C384">
        <f>'Participant reporting'!C611</f>
        <v>0</v>
      </c>
      <c r="D384">
        <f>'Participant reporting'!D611</f>
        <v>0</v>
      </c>
      <c r="E384" s="15">
        <f>'Participant reporting'!E611</f>
        <v>0</v>
      </c>
      <c r="F384">
        <f>'Participant reporting'!F611</f>
        <v>0</v>
      </c>
      <c r="G384">
        <f>'Participant reporting'!G611</f>
        <v>0</v>
      </c>
      <c r="H384">
        <f>'Participant reporting'!H611</f>
        <v>0</v>
      </c>
      <c r="I384">
        <f>'Participant reporting'!I611</f>
        <v>0</v>
      </c>
      <c r="J384">
        <f>'Participant reporting'!J611</f>
        <v>0</v>
      </c>
      <c r="K384">
        <f>'Participant reporting'!K611</f>
        <v>0</v>
      </c>
      <c r="L384">
        <f>'Participant reporting'!L611</f>
        <v>0</v>
      </c>
      <c r="M384">
        <f>'Participant reporting'!M611</f>
        <v>0</v>
      </c>
      <c r="N384">
        <f>'Participant reporting'!N611</f>
        <v>0</v>
      </c>
      <c r="O384">
        <f>'Participant reporting'!O611</f>
        <v>0</v>
      </c>
    </row>
    <row r="385" spans="1:15" x14ac:dyDescent="0.25">
      <c r="A385">
        <f>'Participant reporting'!A612</f>
        <v>0</v>
      </c>
      <c r="B385">
        <f>'Participant reporting'!B612</f>
        <v>0</v>
      </c>
      <c r="C385">
        <f>'Participant reporting'!C612</f>
        <v>0</v>
      </c>
      <c r="D385">
        <f>'Participant reporting'!D612</f>
        <v>0</v>
      </c>
      <c r="E385" s="15">
        <f>'Participant reporting'!E612</f>
        <v>0</v>
      </c>
      <c r="F385">
        <f>'Participant reporting'!F612</f>
        <v>0</v>
      </c>
      <c r="G385">
        <f>'Participant reporting'!G612</f>
        <v>0</v>
      </c>
      <c r="H385">
        <f>'Participant reporting'!H612</f>
        <v>0</v>
      </c>
      <c r="I385">
        <f>'Participant reporting'!I612</f>
        <v>0</v>
      </c>
      <c r="J385">
        <f>'Participant reporting'!J612</f>
        <v>0</v>
      </c>
      <c r="K385">
        <f>'Participant reporting'!K612</f>
        <v>0</v>
      </c>
      <c r="L385">
        <f>'Participant reporting'!L612</f>
        <v>0</v>
      </c>
      <c r="M385">
        <f>'Participant reporting'!M612</f>
        <v>0</v>
      </c>
      <c r="N385">
        <f>'Participant reporting'!N612</f>
        <v>0</v>
      </c>
      <c r="O385">
        <f>'Participant reporting'!O612</f>
        <v>0</v>
      </c>
    </row>
    <row r="386" spans="1:15" x14ac:dyDescent="0.25">
      <c r="A386">
        <f>'Participant reporting'!A613</f>
        <v>0</v>
      </c>
      <c r="B386">
        <f>'Participant reporting'!B613</f>
        <v>0</v>
      </c>
      <c r="C386">
        <f>'Participant reporting'!C613</f>
        <v>0</v>
      </c>
      <c r="D386">
        <f>'Participant reporting'!D613</f>
        <v>0</v>
      </c>
      <c r="E386" s="15">
        <f>'Participant reporting'!E613</f>
        <v>0</v>
      </c>
      <c r="F386">
        <f>'Participant reporting'!F613</f>
        <v>0</v>
      </c>
      <c r="G386">
        <f>'Participant reporting'!G613</f>
        <v>0</v>
      </c>
      <c r="H386">
        <f>'Participant reporting'!H613</f>
        <v>0</v>
      </c>
      <c r="I386">
        <f>'Participant reporting'!I613</f>
        <v>0</v>
      </c>
      <c r="J386">
        <f>'Participant reporting'!J613</f>
        <v>0</v>
      </c>
      <c r="K386">
        <f>'Participant reporting'!K613</f>
        <v>0</v>
      </c>
      <c r="L386">
        <f>'Participant reporting'!L613</f>
        <v>0</v>
      </c>
      <c r="M386">
        <f>'Participant reporting'!M613</f>
        <v>0</v>
      </c>
      <c r="N386">
        <f>'Participant reporting'!N613</f>
        <v>0</v>
      </c>
      <c r="O386">
        <f>'Participant reporting'!O613</f>
        <v>0</v>
      </c>
    </row>
    <row r="387" spans="1:15" x14ac:dyDescent="0.25">
      <c r="A387">
        <f>'Participant reporting'!A614</f>
        <v>0</v>
      </c>
      <c r="B387">
        <f>'Participant reporting'!B614</f>
        <v>0</v>
      </c>
      <c r="C387">
        <f>'Participant reporting'!C614</f>
        <v>0</v>
      </c>
      <c r="D387">
        <f>'Participant reporting'!D614</f>
        <v>0</v>
      </c>
      <c r="E387" s="15">
        <f>'Participant reporting'!E614</f>
        <v>0</v>
      </c>
      <c r="F387">
        <f>'Participant reporting'!F614</f>
        <v>0</v>
      </c>
      <c r="G387">
        <f>'Participant reporting'!G614</f>
        <v>0</v>
      </c>
      <c r="H387">
        <f>'Participant reporting'!H614</f>
        <v>0</v>
      </c>
      <c r="I387">
        <f>'Participant reporting'!I614</f>
        <v>0</v>
      </c>
      <c r="J387">
        <f>'Participant reporting'!J614</f>
        <v>0</v>
      </c>
      <c r="K387">
        <f>'Participant reporting'!K614</f>
        <v>0</v>
      </c>
      <c r="L387">
        <f>'Participant reporting'!L614</f>
        <v>0</v>
      </c>
      <c r="M387">
        <f>'Participant reporting'!M614</f>
        <v>0</v>
      </c>
      <c r="N387">
        <f>'Participant reporting'!N614</f>
        <v>0</v>
      </c>
      <c r="O387">
        <f>'Participant reporting'!O614</f>
        <v>0</v>
      </c>
    </row>
    <row r="388" spans="1:15" x14ac:dyDescent="0.25">
      <c r="A388">
        <f>'Participant reporting'!A615</f>
        <v>0</v>
      </c>
      <c r="B388">
        <f>'Participant reporting'!B615</f>
        <v>0</v>
      </c>
      <c r="C388">
        <f>'Participant reporting'!C615</f>
        <v>0</v>
      </c>
      <c r="D388">
        <f>'Participant reporting'!D615</f>
        <v>0</v>
      </c>
      <c r="E388" s="15">
        <f>'Participant reporting'!E615</f>
        <v>0</v>
      </c>
      <c r="F388">
        <f>'Participant reporting'!F615</f>
        <v>0</v>
      </c>
      <c r="G388">
        <f>'Participant reporting'!G615</f>
        <v>0</v>
      </c>
      <c r="H388">
        <f>'Participant reporting'!H615</f>
        <v>0</v>
      </c>
      <c r="I388">
        <f>'Participant reporting'!I615</f>
        <v>0</v>
      </c>
      <c r="J388">
        <f>'Participant reporting'!J615</f>
        <v>0</v>
      </c>
      <c r="K388">
        <f>'Participant reporting'!K615</f>
        <v>0</v>
      </c>
      <c r="L388">
        <f>'Participant reporting'!L615</f>
        <v>0</v>
      </c>
      <c r="M388">
        <f>'Participant reporting'!M615</f>
        <v>0</v>
      </c>
      <c r="N388">
        <f>'Participant reporting'!N615</f>
        <v>0</v>
      </c>
      <c r="O388">
        <f>'Participant reporting'!O615</f>
        <v>0</v>
      </c>
    </row>
    <row r="389" spans="1:15" x14ac:dyDescent="0.25">
      <c r="A389">
        <f>'Participant reporting'!A616</f>
        <v>0</v>
      </c>
      <c r="B389">
        <f>'Participant reporting'!B616</f>
        <v>0</v>
      </c>
      <c r="C389">
        <f>'Participant reporting'!C616</f>
        <v>0</v>
      </c>
      <c r="D389">
        <f>'Participant reporting'!D616</f>
        <v>0</v>
      </c>
      <c r="E389" s="15">
        <f>'Participant reporting'!E616</f>
        <v>0</v>
      </c>
      <c r="F389">
        <f>'Participant reporting'!F616</f>
        <v>0</v>
      </c>
      <c r="G389">
        <f>'Participant reporting'!G616</f>
        <v>0</v>
      </c>
      <c r="H389">
        <f>'Participant reporting'!H616</f>
        <v>0</v>
      </c>
      <c r="I389">
        <f>'Participant reporting'!I616</f>
        <v>0</v>
      </c>
      <c r="J389">
        <f>'Participant reporting'!J616</f>
        <v>0</v>
      </c>
      <c r="K389">
        <f>'Participant reporting'!K616</f>
        <v>0</v>
      </c>
      <c r="L389">
        <f>'Participant reporting'!L616</f>
        <v>0</v>
      </c>
      <c r="M389">
        <f>'Participant reporting'!M616</f>
        <v>0</v>
      </c>
      <c r="N389">
        <f>'Participant reporting'!N616</f>
        <v>0</v>
      </c>
      <c r="O389">
        <f>'Participant reporting'!O616</f>
        <v>0</v>
      </c>
    </row>
    <row r="390" spans="1:15" x14ac:dyDescent="0.25">
      <c r="A390">
        <f>'Participant reporting'!A617</f>
        <v>0</v>
      </c>
      <c r="B390">
        <f>'Participant reporting'!B617</f>
        <v>0</v>
      </c>
      <c r="C390">
        <f>'Participant reporting'!C617</f>
        <v>0</v>
      </c>
      <c r="D390">
        <f>'Participant reporting'!D617</f>
        <v>0</v>
      </c>
      <c r="E390" s="15">
        <f>'Participant reporting'!E617</f>
        <v>0</v>
      </c>
      <c r="F390">
        <f>'Participant reporting'!F617</f>
        <v>0</v>
      </c>
      <c r="G390">
        <f>'Participant reporting'!G617</f>
        <v>0</v>
      </c>
      <c r="H390">
        <f>'Participant reporting'!H617</f>
        <v>0</v>
      </c>
      <c r="I390">
        <f>'Participant reporting'!I617</f>
        <v>0</v>
      </c>
      <c r="J390">
        <f>'Participant reporting'!J617</f>
        <v>0</v>
      </c>
      <c r="K390">
        <f>'Participant reporting'!K617</f>
        <v>0</v>
      </c>
      <c r="L390">
        <f>'Participant reporting'!L617</f>
        <v>0</v>
      </c>
      <c r="M390">
        <f>'Participant reporting'!M617</f>
        <v>0</v>
      </c>
      <c r="N390">
        <f>'Participant reporting'!N617</f>
        <v>0</v>
      </c>
      <c r="O390">
        <f>'Participant reporting'!O617</f>
        <v>0</v>
      </c>
    </row>
    <row r="391" spans="1:15" x14ac:dyDescent="0.25">
      <c r="A391">
        <f>'Participant reporting'!A618</f>
        <v>0</v>
      </c>
      <c r="B391">
        <f>'Participant reporting'!B618</f>
        <v>0</v>
      </c>
      <c r="C391">
        <f>'Participant reporting'!C618</f>
        <v>0</v>
      </c>
      <c r="D391">
        <f>'Participant reporting'!D618</f>
        <v>0</v>
      </c>
      <c r="E391" s="15">
        <f>'Participant reporting'!E618</f>
        <v>0</v>
      </c>
      <c r="F391">
        <f>'Participant reporting'!F618</f>
        <v>0</v>
      </c>
      <c r="G391">
        <f>'Participant reporting'!G618</f>
        <v>0</v>
      </c>
      <c r="H391">
        <f>'Participant reporting'!H618</f>
        <v>0</v>
      </c>
      <c r="I391">
        <f>'Participant reporting'!I618</f>
        <v>0</v>
      </c>
      <c r="J391">
        <f>'Participant reporting'!J618</f>
        <v>0</v>
      </c>
      <c r="K391">
        <f>'Participant reporting'!K618</f>
        <v>0</v>
      </c>
      <c r="L391">
        <f>'Participant reporting'!L618</f>
        <v>0</v>
      </c>
      <c r="M391">
        <f>'Participant reporting'!M618</f>
        <v>0</v>
      </c>
      <c r="N391">
        <f>'Participant reporting'!N618</f>
        <v>0</v>
      </c>
      <c r="O391">
        <f>'Participant reporting'!O618</f>
        <v>0</v>
      </c>
    </row>
    <row r="392" spans="1:15" x14ac:dyDescent="0.25">
      <c r="A392">
        <f>'Participant reporting'!A619</f>
        <v>0</v>
      </c>
      <c r="B392">
        <f>'Participant reporting'!B619</f>
        <v>0</v>
      </c>
      <c r="C392">
        <f>'Participant reporting'!C619</f>
        <v>0</v>
      </c>
      <c r="D392">
        <f>'Participant reporting'!D619</f>
        <v>0</v>
      </c>
      <c r="E392" s="15">
        <f>'Participant reporting'!E619</f>
        <v>0</v>
      </c>
      <c r="F392">
        <f>'Participant reporting'!F619</f>
        <v>0</v>
      </c>
      <c r="G392">
        <f>'Participant reporting'!G619</f>
        <v>0</v>
      </c>
      <c r="H392">
        <f>'Participant reporting'!H619</f>
        <v>0</v>
      </c>
      <c r="I392">
        <f>'Participant reporting'!I619</f>
        <v>0</v>
      </c>
      <c r="J392">
        <f>'Participant reporting'!J619</f>
        <v>0</v>
      </c>
      <c r="K392">
        <f>'Participant reporting'!K619</f>
        <v>0</v>
      </c>
      <c r="L392">
        <f>'Participant reporting'!L619</f>
        <v>0</v>
      </c>
      <c r="M392">
        <f>'Participant reporting'!M619</f>
        <v>0</v>
      </c>
      <c r="N392">
        <f>'Participant reporting'!N619</f>
        <v>0</v>
      </c>
      <c r="O392">
        <f>'Participant reporting'!O619</f>
        <v>0</v>
      </c>
    </row>
    <row r="393" spans="1:15" x14ac:dyDescent="0.25">
      <c r="A393">
        <f>'Participant reporting'!A620</f>
        <v>0</v>
      </c>
      <c r="B393">
        <f>'Participant reporting'!B620</f>
        <v>0</v>
      </c>
      <c r="C393">
        <f>'Participant reporting'!C620</f>
        <v>0</v>
      </c>
      <c r="D393">
        <f>'Participant reporting'!D620</f>
        <v>0</v>
      </c>
      <c r="E393" s="15">
        <f>'Participant reporting'!E620</f>
        <v>0</v>
      </c>
      <c r="F393">
        <f>'Participant reporting'!F620</f>
        <v>0</v>
      </c>
      <c r="G393">
        <f>'Participant reporting'!G620</f>
        <v>0</v>
      </c>
      <c r="H393">
        <f>'Participant reporting'!H620</f>
        <v>0</v>
      </c>
      <c r="I393">
        <f>'Participant reporting'!I620</f>
        <v>0</v>
      </c>
      <c r="J393">
        <f>'Participant reporting'!J620</f>
        <v>0</v>
      </c>
      <c r="K393">
        <f>'Participant reporting'!K620</f>
        <v>0</v>
      </c>
      <c r="L393">
        <f>'Participant reporting'!L620</f>
        <v>0</v>
      </c>
      <c r="M393">
        <f>'Participant reporting'!M620</f>
        <v>0</v>
      </c>
      <c r="N393">
        <f>'Participant reporting'!N620</f>
        <v>0</v>
      </c>
      <c r="O393">
        <f>'Participant reporting'!O620</f>
        <v>0</v>
      </c>
    </row>
    <row r="394" spans="1:15" x14ac:dyDescent="0.25">
      <c r="A394">
        <f>'Participant reporting'!A621</f>
        <v>0</v>
      </c>
      <c r="B394">
        <f>'Participant reporting'!B621</f>
        <v>0</v>
      </c>
      <c r="C394">
        <f>'Participant reporting'!C621</f>
        <v>0</v>
      </c>
      <c r="D394">
        <f>'Participant reporting'!D621</f>
        <v>0</v>
      </c>
      <c r="E394" s="15">
        <f>'Participant reporting'!E621</f>
        <v>0</v>
      </c>
      <c r="F394">
        <f>'Participant reporting'!F621</f>
        <v>0</v>
      </c>
      <c r="G394">
        <f>'Participant reporting'!G621</f>
        <v>0</v>
      </c>
      <c r="H394">
        <f>'Participant reporting'!H621</f>
        <v>0</v>
      </c>
      <c r="I394">
        <f>'Participant reporting'!I621</f>
        <v>0</v>
      </c>
      <c r="J394">
        <f>'Participant reporting'!J621</f>
        <v>0</v>
      </c>
      <c r="K394">
        <f>'Participant reporting'!K621</f>
        <v>0</v>
      </c>
      <c r="L394">
        <f>'Participant reporting'!L621</f>
        <v>0</v>
      </c>
      <c r="M394">
        <f>'Participant reporting'!M621</f>
        <v>0</v>
      </c>
      <c r="N394">
        <f>'Participant reporting'!N621</f>
        <v>0</v>
      </c>
      <c r="O394">
        <f>'Participant reporting'!O621</f>
        <v>0</v>
      </c>
    </row>
    <row r="395" spans="1:15" x14ac:dyDescent="0.25">
      <c r="A395">
        <f>'Participant reporting'!A622</f>
        <v>0</v>
      </c>
      <c r="B395">
        <f>'Participant reporting'!B622</f>
        <v>0</v>
      </c>
      <c r="C395">
        <f>'Participant reporting'!C622</f>
        <v>0</v>
      </c>
      <c r="D395">
        <f>'Participant reporting'!D622</f>
        <v>0</v>
      </c>
      <c r="E395" s="15">
        <f>'Participant reporting'!E622</f>
        <v>0</v>
      </c>
      <c r="F395">
        <f>'Participant reporting'!F622</f>
        <v>0</v>
      </c>
      <c r="G395">
        <f>'Participant reporting'!G622</f>
        <v>0</v>
      </c>
      <c r="H395">
        <f>'Participant reporting'!H622</f>
        <v>0</v>
      </c>
      <c r="I395">
        <f>'Participant reporting'!I622</f>
        <v>0</v>
      </c>
      <c r="J395">
        <f>'Participant reporting'!J622</f>
        <v>0</v>
      </c>
      <c r="K395">
        <f>'Participant reporting'!K622</f>
        <v>0</v>
      </c>
      <c r="L395">
        <f>'Participant reporting'!L622</f>
        <v>0</v>
      </c>
      <c r="M395">
        <f>'Participant reporting'!M622</f>
        <v>0</v>
      </c>
      <c r="N395">
        <f>'Participant reporting'!N622</f>
        <v>0</v>
      </c>
      <c r="O395">
        <f>'Participant reporting'!O622</f>
        <v>0</v>
      </c>
    </row>
    <row r="396" spans="1:15" x14ac:dyDescent="0.25">
      <c r="A396">
        <f>'Participant reporting'!A623</f>
        <v>0</v>
      </c>
      <c r="B396">
        <f>'Participant reporting'!B623</f>
        <v>0</v>
      </c>
      <c r="C396">
        <f>'Participant reporting'!C623</f>
        <v>0</v>
      </c>
      <c r="D396">
        <f>'Participant reporting'!D623</f>
        <v>0</v>
      </c>
      <c r="E396" s="15">
        <f>'Participant reporting'!E623</f>
        <v>0</v>
      </c>
      <c r="F396">
        <f>'Participant reporting'!F623</f>
        <v>0</v>
      </c>
      <c r="G396">
        <f>'Participant reporting'!G623</f>
        <v>0</v>
      </c>
      <c r="H396">
        <f>'Participant reporting'!H623</f>
        <v>0</v>
      </c>
      <c r="I396">
        <f>'Participant reporting'!I623</f>
        <v>0</v>
      </c>
      <c r="J396">
        <f>'Participant reporting'!J623</f>
        <v>0</v>
      </c>
      <c r="K396">
        <f>'Participant reporting'!K623</f>
        <v>0</v>
      </c>
      <c r="L396">
        <f>'Participant reporting'!L623</f>
        <v>0</v>
      </c>
      <c r="M396">
        <f>'Participant reporting'!M623</f>
        <v>0</v>
      </c>
      <c r="N396">
        <f>'Participant reporting'!N623</f>
        <v>0</v>
      </c>
      <c r="O396">
        <f>'Participant reporting'!O623</f>
        <v>0</v>
      </c>
    </row>
    <row r="397" spans="1:15" x14ac:dyDescent="0.25">
      <c r="A397">
        <f>'Participant reporting'!A624</f>
        <v>0</v>
      </c>
      <c r="B397">
        <f>'Participant reporting'!B624</f>
        <v>0</v>
      </c>
      <c r="C397">
        <f>'Participant reporting'!C624</f>
        <v>0</v>
      </c>
      <c r="D397">
        <f>'Participant reporting'!D624</f>
        <v>0</v>
      </c>
      <c r="E397" s="15">
        <f>'Participant reporting'!E624</f>
        <v>0</v>
      </c>
      <c r="F397">
        <f>'Participant reporting'!F624</f>
        <v>0</v>
      </c>
      <c r="G397">
        <f>'Participant reporting'!G624</f>
        <v>0</v>
      </c>
      <c r="H397">
        <f>'Participant reporting'!H624</f>
        <v>0</v>
      </c>
      <c r="I397">
        <f>'Participant reporting'!I624</f>
        <v>0</v>
      </c>
      <c r="J397">
        <f>'Participant reporting'!J624</f>
        <v>0</v>
      </c>
      <c r="K397">
        <f>'Participant reporting'!K624</f>
        <v>0</v>
      </c>
      <c r="L397">
        <f>'Participant reporting'!L624</f>
        <v>0</v>
      </c>
      <c r="M397">
        <f>'Participant reporting'!M624</f>
        <v>0</v>
      </c>
      <c r="N397">
        <f>'Participant reporting'!N624</f>
        <v>0</v>
      </c>
      <c r="O397">
        <f>'Participant reporting'!O624</f>
        <v>0</v>
      </c>
    </row>
    <row r="398" spans="1:15" x14ac:dyDescent="0.25">
      <c r="A398">
        <f>'Participant reporting'!A625</f>
        <v>0</v>
      </c>
      <c r="B398">
        <f>'Participant reporting'!B625</f>
        <v>0</v>
      </c>
      <c r="C398">
        <f>'Participant reporting'!C625</f>
        <v>0</v>
      </c>
      <c r="D398">
        <f>'Participant reporting'!D625</f>
        <v>0</v>
      </c>
      <c r="E398" s="15">
        <f>'Participant reporting'!E625</f>
        <v>0</v>
      </c>
      <c r="F398">
        <f>'Participant reporting'!F625</f>
        <v>0</v>
      </c>
      <c r="G398">
        <f>'Participant reporting'!G625</f>
        <v>0</v>
      </c>
      <c r="H398">
        <f>'Participant reporting'!H625</f>
        <v>0</v>
      </c>
      <c r="I398">
        <f>'Participant reporting'!I625</f>
        <v>0</v>
      </c>
      <c r="J398">
        <f>'Participant reporting'!J625</f>
        <v>0</v>
      </c>
      <c r="K398">
        <f>'Participant reporting'!K625</f>
        <v>0</v>
      </c>
      <c r="L398">
        <f>'Participant reporting'!L625</f>
        <v>0</v>
      </c>
      <c r="M398">
        <f>'Participant reporting'!M625</f>
        <v>0</v>
      </c>
      <c r="N398">
        <f>'Participant reporting'!N625</f>
        <v>0</v>
      </c>
      <c r="O398">
        <f>'Participant reporting'!O625</f>
        <v>0</v>
      </c>
    </row>
    <row r="399" spans="1:15" x14ac:dyDescent="0.25">
      <c r="A399">
        <f>'Participant reporting'!A626</f>
        <v>0</v>
      </c>
      <c r="B399">
        <f>'Participant reporting'!B626</f>
        <v>0</v>
      </c>
      <c r="C399">
        <f>'Participant reporting'!C626</f>
        <v>0</v>
      </c>
      <c r="D399">
        <f>'Participant reporting'!D626</f>
        <v>0</v>
      </c>
      <c r="E399" s="15">
        <f>'Participant reporting'!E626</f>
        <v>0</v>
      </c>
      <c r="F399">
        <f>'Participant reporting'!F626</f>
        <v>0</v>
      </c>
      <c r="G399">
        <f>'Participant reporting'!G626</f>
        <v>0</v>
      </c>
      <c r="H399">
        <f>'Participant reporting'!H626</f>
        <v>0</v>
      </c>
      <c r="I399">
        <f>'Participant reporting'!I626</f>
        <v>0</v>
      </c>
      <c r="J399">
        <f>'Participant reporting'!J626</f>
        <v>0</v>
      </c>
      <c r="K399">
        <f>'Participant reporting'!K626</f>
        <v>0</v>
      </c>
      <c r="L399">
        <f>'Participant reporting'!L626</f>
        <v>0</v>
      </c>
      <c r="M399">
        <f>'Participant reporting'!M626</f>
        <v>0</v>
      </c>
      <c r="N399">
        <f>'Participant reporting'!N626</f>
        <v>0</v>
      </c>
      <c r="O399">
        <f>'Participant reporting'!O626</f>
        <v>0</v>
      </c>
    </row>
    <row r="400" spans="1:15" x14ac:dyDescent="0.25">
      <c r="A400">
        <f>'Participant reporting'!A627</f>
        <v>0</v>
      </c>
      <c r="B400">
        <f>'Participant reporting'!B627</f>
        <v>0</v>
      </c>
      <c r="C400">
        <f>'Participant reporting'!C627</f>
        <v>0</v>
      </c>
      <c r="D400">
        <f>'Participant reporting'!D627</f>
        <v>0</v>
      </c>
      <c r="E400" s="15">
        <f>'Participant reporting'!E627</f>
        <v>0</v>
      </c>
      <c r="F400">
        <f>'Participant reporting'!F627</f>
        <v>0</v>
      </c>
      <c r="G400">
        <f>'Participant reporting'!G627</f>
        <v>0</v>
      </c>
      <c r="H400">
        <f>'Participant reporting'!H627</f>
        <v>0</v>
      </c>
      <c r="I400">
        <f>'Participant reporting'!I627</f>
        <v>0</v>
      </c>
      <c r="J400">
        <f>'Participant reporting'!J627</f>
        <v>0</v>
      </c>
      <c r="K400">
        <f>'Participant reporting'!K627</f>
        <v>0</v>
      </c>
      <c r="L400">
        <f>'Participant reporting'!L627</f>
        <v>0</v>
      </c>
      <c r="M400">
        <f>'Participant reporting'!M627</f>
        <v>0</v>
      </c>
      <c r="N400">
        <f>'Participant reporting'!N627</f>
        <v>0</v>
      </c>
      <c r="O400">
        <f>'Participant reporting'!O627</f>
        <v>0</v>
      </c>
    </row>
    <row r="401" spans="1:15" x14ac:dyDescent="0.25">
      <c r="A401">
        <f>'Participant reporting'!A628</f>
        <v>0</v>
      </c>
      <c r="B401">
        <f>'Participant reporting'!B628</f>
        <v>0</v>
      </c>
      <c r="C401">
        <f>'Participant reporting'!C628</f>
        <v>0</v>
      </c>
      <c r="D401">
        <f>'Participant reporting'!D628</f>
        <v>0</v>
      </c>
      <c r="E401" s="15">
        <f>'Participant reporting'!E628</f>
        <v>0</v>
      </c>
      <c r="F401">
        <f>'Participant reporting'!F628</f>
        <v>0</v>
      </c>
      <c r="G401">
        <f>'Participant reporting'!G628</f>
        <v>0</v>
      </c>
      <c r="H401">
        <f>'Participant reporting'!H628</f>
        <v>0</v>
      </c>
      <c r="I401">
        <f>'Participant reporting'!I628</f>
        <v>0</v>
      </c>
      <c r="J401">
        <f>'Participant reporting'!J628</f>
        <v>0</v>
      </c>
      <c r="K401">
        <f>'Participant reporting'!K628</f>
        <v>0</v>
      </c>
      <c r="L401">
        <f>'Participant reporting'!L628</f>
        <v>0</v>
      </c>
      <c r="M401">
        <f>'Participant reporting'!M628</f>
        <v>0</v>
      </c>
      <c r="N401">
        <f>'Participant reporting'!N628</f>
        <v>0</v>
      </c>
      <c r="O401">
        <f>'Participant reporting'!O628</f>
        <v>0</v>
      </c>
    </row>
    <row r="402" spans="1:15" x14ac:dyDescent="0.25">
      <c r="A402">
        <f>'Participant reporting'!A629</f>
        <v>0</v>
      </c>
      <c r="B402">
        <f>'Participant reporting'!B629</f>
        <v>0</v>
      </c>
      <c r="C402">
        <f>'Participant reporting'!C629</f>
        <v>0</v>
      </c>
      <c r="D402">
        <f>'Participant reporting'!D629</f>
        <v>0</v>
      </c>
      <c r="E402" s="15">
        <f>'Participant reporting'!E629</f>
        <v>0</v>
      </c>
      <c r="F402">
        <f>'Participant reporting'!F629</f>
        <v>0</v>
      </c>
      <c r="G402">
        <f>'Participant reporting'!G629</f>
        <v>0</v>
      </c>
      <c r="H402">
        <f>'Participant reporting'!H629</f>
        <v>0</v>
      </c>
      <c r="I402">
        <f>'Participant reporting'!I629</f>
        <v>0</v>
      </c>
      <c r="J402">
        <f>'Participant reporting'!J629</f>
        <v>0</v>
      </c>
      <c r="K402">
        <f>'Participant reporting'!K629</f>
        <v>0</v>
      </c>
      <c r="L402">
        <f>'Participant reporting'!L629</f>
        <v>0</v>
      </c>
      <c r="M402">
        <f>'Participant reporting'!M629</f>
        <v>0</v>
      </c>
      <c r="N402">
        <f>'Participant reporting'!N629</f>
        <v>0</v>
      </c>
      <c r="O402">
        <f>'Participant reporting'!O629</f>
        <v>0</v>
      </c>
    </row>
    <row r="403" spans="1:15" x14ac:dyDescent="0.25">
      <c r="A403">
        <f>'Participant reporting'!A630</f>
        <v>0</v>
      </c>
      <c r="B403">
        <f>'Participant reporting'!B630</f>
        <v>0</v>
      </c>
      <c r="C403">
        <f>'Participant reporting'!C630</f>
        <v>0</v>
      </c>
      <c r="D403">
        <f>'Participant reporting'!D630</f>
        <v>0</v>
      </c>
      <c r="E403" s="15">
        <f>'Participant reporting'!E630</f>
        <v>0</v>
      </c>
      <c r="F403">
        <f>'Participant reporting'!F630</f>
        <v>0</v>
      </c>
      <c r="G403">
        <f>'Participant reporting'!G630</f>
        <v>0</v>
      </c>
      <c r="H403">
        <f>'Participant reporting'!H630</f>
        <v>0</v>
      </c>
      <c r="I403">
        <f>'Participant reporting'!I630</f>
        <v>0</v>
      </c>
      <c r="J403">
        <f>'Participant reporting'!J630</f>
        <v>0</v>
      </c>
      <c r="K403">
        <f>'Participant reporting'!K630</f>
        <v>0</v>
      </c>
      <c r="L403">
        <f>'Participant reporting'!L630</f>
        <v>0</v>
      </c>
      <c r="M403">
        <f>'Participant reporting'!M630</f>
        <v>0</v>
      </c>
      <c r="N403">
        <f>'Participant reporting'!N630</f>
        <v>0</v>
      </c>
      <c r="O403">
        <f>'Participant reporting'!O630</f>
        <v>0</v>
      </c>
    </row>
    <row r="404" spans="1:15" x14ac:dyDescent="0.25">
      <c r="A404">
        <f>'Participant reporting'!A631</f>
        <v>0</v>
      </c>
      <c r="B404">
        <f>'Participant reporting'!B631</f>
        <v>0</v>
      </c>
      <c r="C404">
        <f>'Participant reporting'!C631</f>
        <v>0</v>
      </c>
      <c r="D404">
        <f>'Participant reporting'!D631</f>
        <v>0</v>
      </c>
      <c r="E404" s="15">
        <f>'Participant reporting'!E631</f>
        <v>0</v>
      </c>
      <c r="F404">
        <f>'Participant reporting'!F631</f>
        <v>0</v>
      </c>
      <c r="G404">
        <f>'Participant reporting'!G631</f>
        <v>0</v>
      </c>
      <c r="H404">
        <f>'Participant reporting'!H631</f>
        <v>0</v>
      </c>
      <c r="I404">
        <f>'Participant reporting'!I631</f>
        <v>0</v>
      </c>
      <c r="J404">
        <f>'Participant reporting'!J631</f>
        <v>0</v>
      </c>
      <c r="K404">
        <f>'Participant reporting'!K631</f>
        <v>0</v>
      </c>
      <c r="L404">
        <f>'Participant reporting'!L631</f>
        <v>0</v>
      </c>
      <c r="M404">
        <f>'Participant reporting'!M631</f>
        <v>0</v>
      </c>
      <c r="N404">
        <f>'Participant reporting'!N631</f>
        <v>0</v>
      </c>
      <c r="O404">
        <f>'Participant reporting'!O631</f>
        <v>0</v>
      </c>
    </row>
    <row r="405" spans="1:15" x14ac:dyDescent="0.25">
      <c r="A405">
        <f>'Participant reporting'!A632</f>
        <v>0</v>
      </c>
      <c r="B405">
        <f>'Participant reporting'!B632</f>
        <v>0</v>
      </c>
      <c r="C405">
        <f>'Participant reporting'!C632</f>
        <v>0</v>
      </c>
      <c r="D405">
        <f>'Participant reporting'!D632</f>
        <v>0</v>
      </c>
      <c r="E405" s="15">
        <f>'Participant reporting'!E632</f>
        <v>0</v>
      </c>
      <c r="F405">
        <f>'Participant reporting'!F632</f>
        <v>0</v>
      </c>
      <c r="G405">
        <f>'Participant reporting'!G632</f>
        <v>0</v>
      </c>
      <c r="H405">
        <f>'Participant reporting'!H632</f>
        <v>0</v>
      </c>
      <c r="I405">
        <f>'Participant reporting'!I632</f>
        <v>0</v>
      </c>
      <c r="J405">
        <f>'Participant reporting'!J632</f>
        <v>0</v>
      </c>
      <c r="K405">
        <f>'Participant reporting'!K632</f>
        <v>0</v>
      </c>
      <c r="L405">
        <f>'Participant reporting'!L632</f>
        <v>0</v>
      </c>
      <c r="M405">
        <f>'Participant reporting'!M632</f>
        <v>0</v>
      </c>
      <c r="N405">
        <f>'Participant reporting'!N632</f>
        <v>0</v>
      </c>
      <c r="O405">
        <f>'Participant reporting'!O632</f>
        <v>0</v>
      </c>
    </row>
    <row r="406" spans="1:15" x14ac:dyDescent="0.25">
      <c r="A406">
        <f>'Participant reporting'!A633</f>
        <v>0</v>
      </c>
      <c r="B406">
        <f>'Participant reporting'!B633</f>
        <v>0</v>
      </c>
      <c r="C406">
        <f>'Participant reporting'!C633</f>
        <v>0</v>
      </c>
      <c r="D406">
        <f>'Participant reporting'!D633</f>
        <v>0</v>
      </c>
      <c r="E406" s="15">
        <f>'Participant reporting'!E633</f>
        <v>0</v>
      </c>
      <c r="F406">
        <f>'Participant reporting'!F633</f>
        <v>0</v>
      </c>
      <c r="G406">
        <f>'Participant reporting'!G633</f>
        <v>0</v>
      </c>
      <c r="H406">
        <f>'Participant reporting'!H633</f>
        <v>0</v>
      </c>
      <c r="I406">
        <f>'Participant reporting'!I633</f>
        <v>0</v>
      </c>
      <c r="J406">
        <f>'Participant reporting'!J633</f>
        <v>0</v>
      </c>
      <c r="K406">
        <f>'Participant reporting'!K633</f>
        <v>0</v>
      </c>
      <c r="L406">
        <f>'Participant reporting'!L633</f>
        <v>0</v>
      </c>
      <c r="M406">
        <f>'Participant reporting'!M633</f>
        <v>0</v>
      </c>
      <c r="N406">
        <f>'Participant reporting'!N633</f>
        <v>0</v>
      </c>
      <c r="O406">
        <f>'Participant reporting'!O633</f>
        <v>0</v>
      </c>
    </row>
    <row r="407" spans="1:15" x14ac:dyDescent="0.25">
      <c r="A407">
        <f>'Participant reporting'!A634</f>
        <v>0</v>
      </c>
      <c r="B407">
        <f>'Participant reporting'!B634</f>
        <v>0</v>
      </c>
      <c r="C407">
        <f>'Participant reporting'!C634</f>
        <v>0</v>
      </c>
      <c r="D407">
        <f>'Participant reporting'!D634</f>
        <v>0</v>
      </c>
      <c r="E407" s="15">
        <f>'Participant reporting'!E634</f>
        <v>0</v>
      </c>
      <c r="F407">
        <f>'Participant reporting'!F634</f>
        <v>0</v>
      </c>
      <c r="G407">
        <f>'Participant reporting'!G634</f>
        <v>0</v>
      </c>
      <c r="H407">
        <f>'Participant reporting'!H634</f>
        <v>0</v>
      </c>
      <c r="I407">
        <f>'Participant reporting'!I634</f>
        <v>0</v>
      </c>
      <c r="J407">
        <f>'Participant reporting'!J634</f>
        <v>0</v>
      </c>
      <c r="K407">
        <f>'Participant reporting'!K634</f>
        <v>0</v>
      </c>
      <c r="L407">
        <f>'Participant reporting'!L634</f>
        <v>0</v>
      </c>
      <c r="M407">
        <f>'Participant reporting'!M634</f>
        <v>0</v>
      </c>
      <c r="N407">
        <f>'Participant reporting'!N634</f>
        <v>0</v>
      </c>
      <c r="O407">
        <f>'Participant reporting'!O634</f>
        <v>0</v>
      </c>
    </row>
    <row r="408" spans="1:15" x14ac:dyDescent="0.25">
      <c r="A408">
        <f>'Participant reporting'!A635</f>
        <v>0</v>
      </c>
      <c r="B408">
        <f>'Participant reporting'!B635</f>
        <v>0</v>
      </c>
      <c r="C408">
        <f>'Participant reporting'!C635</f>
        <v>0</v>
      </c>
      <c r="D408">
        <f>'Participant reporting'!D635</f>
        <v>0</v>
      </c>
      <c r="E408" s="15">
        <f>'Participant reporting'!E635</f>
        <v>0</v>
      </c>
      <c r="F408">
        <f>'Participant reporting'!F635</f>
        <v>0</v>
      </c>
      <c r="G408">
        <f>'Participant reporting'!G635</f>
        <v>0</v>
      </c>
      <c r="H408">
        <f>'Participant reporting'!H635</f>
        <v>0</v>
      </c>
      <c r="I408">
        <f>'Participant reporting'!I635</f>
        <v>0</v>
      </c>
      <c r="J408">
        <f>'Participant reporting'!J635</f>
        <v>0</v>
      </c>
      <c r="K408">
        <f>'Participant reporting'!K635</f>
        <v>0</v>
      </c>
      <c r="L408">
        <f>'Participant reporting'!L635</f>
        <v>0</v>
      </c>
      <c r="M408">
        <f>'Participant reporting'!M635</f>
        <v>0</v>
      </c>
      <c r="N408">
        <f>'Participant reporting'!N635</f>
        <v>0</v>
      </c>
      <c r="O408">
        <f>'Participant reporting'!O635</f>
        <v>0</v>
      </c>
    </row>
    <row r="409" spans="1:15" x14ac:dyDescent="0.25">
      <c r="A409">
        <f>'Participant reporting'!A636</f>
        <v>0</v>
      </c>
      <c r="B409">
        <f>'Participant reporting'!B636</f>
        <v>0</v>
      </c>
      <c r="C409">
        <f>'Participant reporting'!C636</f>
        <v>0</v>
      </c>
      <c r="D409">
        <f>'Participant reporting'!D636</f>
        <v>0</v>
      </c>
      <c r="E409" s="15">
        <f>'Participant reporting'!E636</f>
        <v>0</v>
      </c>
      <c r="F409">
        <f>'Participant reporting'!F636</f>
        <v>0</v>
      </c>
      <c r="G409">
        <f>'Participant reporting'!G636</f>
        <v>0</v>
      </c>
      <c r="H409">
        <f>'Participant reporting'!H636</f>
        <v>0</v>
      </c>
      <c r="I409">
        <f>'Participant reporting'!I636</f>
        <v>0</v>
      </c>
      <c r="J409">
        <f>'Participant reporting'!J636</f>
        <v>0</v>
      </c>
      <c r="K409">
        <f>'Participant reporting'!K636</f>
        <v>0</v>
      </c>
      <c r="L409">
        <f>'Participant reporting'!L636</f>
        <v>0</v>
      </c>
      <c r="M409">
        <f>'Participant reporting'!M636</f>
        <v>0</v>
      </c>
      <c r="N409">
        <f>'Participant reporting'!N636</f>
        <v>0</v>
      </c>
      <c r="O409">
        <f>'Participant reporting'!O636</f>
        <v>0</v>
      </c>
    </row>
    <row r="410" spans="1:15" x14ac:dyDescent="0.25">
      <c r="A410">
        <f>'Participant reporting'!A637</f>
        <v>0</v>
      </c>
      <c r="B410">
        <f>'Participant reporting'!B637</f>
        <v>0</v>
      </c>
      <c r="C410">
        <f>'Participant reporting'!C637</f>
        <v>0</v>
      </c>
      <c r="D410">
        <f>'Participant reporting'!D637</f>
        <v>0</v>
      </c>
      <c r="E410" s="15">
        <f>'Participant reporting'!E637</f>
        <v>0</v>
      </c>
      <c r="F410">
        <f>'Participant reporting'!F637</f>
        <v>0</v>
      </c>
      <c r="G410">
        <f>'Participant reporting'!G637</f>
        <v>0</v>
      </c>
      <c r="H410">
        <f>'Participant reporting'!H637</f>
        <v>0</v>
      </c>
      <c r="I410">
        <f>'Participant reporting'!I637</f>
        <v>0</v>
      </c>
      <c r="J410">
        <f>'Participant reporting'!J637</f>
        <v>0</v>
      </c>
      <c r="K410">
        <f>'Participant reporting'!K637</f>
        <v>0</v>
      </c>
      <c r="L410">
        <f>'Participant reporting'!L637</f>
        <v>0</v>
      </c>
      <c r="M410">
        <f>'Participant reporting'!M637</f>
        <v>0</v>
      </c>
      <c r="N410">
        <f>'Participant reporting'!N637</f>
        <v>0</v>
      </c>
      <c r="O410">
        <f>'Participant reporting'!O637</f>
        <v>0</v>
      </c>
    </row>
    <row r="411" spans="1:15" x14ac:dyDescent="0.25">
      <c r="A411">
        <f>'Participant reporting'!A638</f>
        <v>0</v>
      </c>
      <c r="B411">
        <f>'Participant reporting'!B638</f>
        <v>0</v>
      </c>
      <c r="C411">
        <f>'Participant reporting'!C638</f>
        <v>0</v>
      </c>
      <c r="D411">
        <f>'Participant reporting'!D638</f>
        <v>0</v>
      </c>
      <c r="E411" s="15">
        <f>'Participant reporting'!E638</f>
        <v>0</v>
      </c>
      <c r="F411">
        <f>'Participant reporting'!F638</f>
        <v>0</v>
      </c>
      <c r="G411">
        <f>'Participant reporting'!G638</f>
        <v>0</v>
      </c>
      <c r="H411">
        <f>'Participant reporting'!H638</f>
        <v>0</v>
      </c>
      <c r="I411">
        <f>'Participant reporting'!I638</f>
        <v>0</v>
      </c>
      <c r="J411">
        <f>'Participant reporting'!J638</f>
        <v>0</v>
      </c>
      <c r="K411">
        <f>'Participant reporting'!K638</f>
        <v>0</v>
      </c>
      <c r="L411">
        <f>'Participant reporting'!L638</f>
        <v>0</v>
      </c>
      <c r="M411">
        <f>'Participant reporting'!M638</f>
        <v>0</v>
      </c>
      <c r="N411">
        <f>'Participant reporting'!N638</f>
        <v>0</v>
      </c>
      <c r="O411">
        <f>'Participant reporting'!O638</f>
        <v>0</v>
      </c>
    </row>
    <row r="412" spans="1:15" x14ac:dyDescent="0.25">
      <c r="A412">
        <f>'Participant reporting'!A639</f>
        <v>0</v>
      </c>
      <c r="B412">
        <f>'Participant reporting'!B639</f>
        <v>0</v>
      </c>
      <c r="C412">
        <f>'Participant reporting'!C639</f>
        <v>0</v>
      </c>
      <c r="D412">
        <f>'Participant reporting'!D639</f>
        <v>0</v>
      </c>
      <c r="E412" s="15">
        <f>'Participant reporting'!E639</f>
        <v>0</v>
      </c>
      <c r="F412">
        <f>'Participant reporting'!F639</f>
        <v>0</v>
      </c>
      <c r="G412">
        <f>'Participant reporting'!G639</f>
        <v>0</v>
      </c>
      <c r="H412">
        <f>'Participant reporting'!H639</f>
        <v>0</v>
      </c>
      <c r="I412">
        <f>'Participant reporting'!I639</f>
        <v>0</v>
      </c>
      <c r="J412">
        <f>'Participant reporting'!J639</f>
        <v>0</v>
      </c>
      <c r="K412">
        <f>'Participant reporting'!K639</f>
        <v>0</v>
      </c>
      <c r="L412">
        <f>'Participant reporting'!L639</f>
        <v>0</v>
      </c>
      <c r="M412">
        <f>'Participant reporting'!M639</f>
        <v>0</v>
      </c>
      <c r="N412">
        <f>'Participant reporting'!N639</f>
        <v>0</v>
      </c>
      <c r="O412">
        <f>'Participant reporting'!O639</f>
        <v>0</v>
      </c>
    </row>
    <row r="413" spans="1:15" x14ac:dyDescent="0.25">
      <c r="A413">
        <f>'Participant reporting'!A640</f>
        <v>0</v>
      </c>
      <c r="B413">
        <f>'Participant reporting'!B640</f>
        <v>0</v>
      </c>
      <c r="C413">
        <f>'Participant reporting'!C640</f>
        <v>0</v>
      </c>
      <c r="D413">
        <f>'Participant reporting'!D640</f>
        <v>0</v>
      </c>
      <c r="E413" s="15">
        <f>'Participant reporting'!E640</f>
        <v>0</v>
      </c>
      <c r="F413">
        <f>'Participant reporting'!F640</f>
        <v>0</v>
      </c>
      <c r="G413">
        <f>'Participant reporting'!G640</f>
        <v>0</v>
      </c>
      <c r="H413">
        <f>'Participant reporting'!H640</f>
        <v>0</v>
      </c>
      <c r="I413">
        <f>'Participant reporting'!I640</f>
        <v>0</v>
      </c>
      <c r="J413">
        <f>'Participant reporting'!J640</f>
        <v>0</v>
      </c>
      <c r="K413">
        <f>'Participant reporting'!K640</f>
        <v>0</v>
      </c>
      <c r="L413">
        <f>'Participant reporting'!L640</f>
        <v>0</v>
      </c>
      <c r="M413">
        <f>'Participant reporting'!M640</f>
        <v>0</v>
      </c>
      <c r="N413">
        <f>'Participant reporting'!N640</f>
        <v>0</v>
      </c>
      <c r="O413">
        <f>'Participant reporting'!O640</f>
        <v>0</v>
      </c>
    </row>
    <row r="414" spans="1:15" x14ac:dyDescent="0.25">
      <c r="A414">
        <f>'Participant reporting'!A641</f>
        <v>0</v>
      </c>
      <c r="B414">
        <f>'Participant reporting'!B641</f>
        <v>0</v>
      </c>
      <c r="C414">
        <f>'Participant reporting'!C641</f>
        <v>0</v>
      </c>
      <c r="D414">
        <f>'Participant reporting'!D641</f>
        <v>0</v>
      </c>
      <c r="E414" s="15">
        <f>'Participant reporting'!E641</f>
        <v>0</v>
      </c>
      <c r="F414">
        <f>'Participant reporting'!F641</f>
        <v>0</v>
      </c>
      <c r="G414">
        <f>'Participant reporting'!G641</f>
        <v>0</v>
      </c>
      <c r="H414">
        <f>'Participant reporting'!H641</f>
        <v>0</v>
      </c>
      <c r="I414">
        <f>'Participant reporting'!I641</f>
        <v>0</v>
      </c>
      <c r="J414">
        <f>'Participant reporting'!J641</f>
        <v>0</v>
      </c>
      <c r="K414">
        <f>'Participant reporting'!K641</f>
        <v>0</v>
      </c>
      <c r="L414">
        <f>'Participant reporting'!L641</f>
        <v>0</v>
      </c>
      <c r="M414">
        <f>'Participant reporting'!M641</f>
        <v>0</v>
      </c>
      <c r="N414">
        <f>'Participant reporting'!N641</f>
        <v>0</v>
      </c>
      <c r="O414">
        <f>'Participant reporting'!O641</f>
        <v>0</v>
      </c>
    </row>
    <row r="415" spans="1:15" x14ac:dyDescent="0.25">
      <c r="A415">
        <f>'Participant reporting'!A642</f>
        <v>0</v>
      </c>
      <c r="B415">
        <f>'Participant reporting'!B642</f>
        <v>0</v>
      </c>
      <c r="C415">
        <f>'Participant reporting'!C642</f>
        <v>0</v>
      </c>
      <c r="D415">
        <f>'Participant reporting'!D642</f>
        <v>0</v>
      </c>
      <c r="E415" s="15">
        <f>'Participant reporting'!E642</f>
        <v>0</v>
      </c>
      <c r="F415">
        <f>'Participant reporting'!F642</f>
        <v>0</v>
      </c>
      <c r="G415">
        <f>'Participant reporting'!G642</f>
        <v>0</v>
      </c>
      <c r="H415">
        <f>'Participant reporting'!H642</f>
        <v>0</v>
      </c>
      <c r="I415">
        <f>'Participant reporting'!I642</f>
        <v>0</v>
      </c>
      <c r="J415">
        <f>'Participant reporting'!J642</f>
        <v>0</v>
      </c>
      <c r="K415">
        <f>'Participant reporting'!K642</f>
        <v>0</v>
      </c>
      <c r="L415">
        <f>'Participant reporting'!L642</f>
        <v>0</v>
      </c>
      <c r="M415">
        <f>'Participant reporting'!M642</f>
        <v>0</v>
      </c>
      <c r="N415">
        <f>'Participant reporting'!N642</f>
        <v>0</v>
      </c>
      <c r="O415">
        <f>'Participant reporting'!O642</f>
        <v>0</v>
      </c>
    </row>
    <row r="416" spans="1:15" x14ac:dyDescent="0.25">
      <c r="A416">
        <f>'Participant reporting'!A643</f>
        <v>0</v>
      </c>
      <c r="B416">
        <f>'Participant reporting'!B643</f>
        <v>0</v>
      </c>
      <c r="C416">
        <f>'Participant reporting'!C643</f>
        <v>0</v>
      </c>
      <c r="D416">
        <f>'Participant reporting'!D643</f>
        <v>0</v>
      </c>
      <c r="E416" s="15">
        <f>'Participant reporting'!E643</f>
        <v>0</v>
      </c>
      <c r="F416">
        <f>'Participant reporting'!F643</f>
        <v>0</v>
      </c>
      <c r="G416">
        <f>'Participant reporting'!G643</f>
        <v>0</v>
      </c>
      <c r="H416">
        <f>'Participant reporting'!H643</f>
        <v>0</v>
      </c>
      <c r="I416">
        <f>'Participant reporting'!I643</f>
        <v>0</v>
      </c>
      <c r="J416">
        <f>'Participant reporting'!J643</f>
        <v>0</v>
      </c>
      <c r="K416">
        <f>'Participant reporting'!K643</f>
        <v>0</v>
      </c>
      <c r="L416">
        <f>'Participant reporting'!L643</f>
        <v>0</v>
      </c>
      <c r="M416">
        <f>'Participant reporting'!M643</f>
        <v>0</v>
      </c>
      <c r="N416">
        <f>'Participant reporting'!N643</f>
        <v>0</v>
      </c>
      <c r="O416">
        <f>'Participant reporting'!O643</f>
        <v>0</v>
      </c>
    </row>
    <row r="417" spans="1:15" x14ac:dyDescent="0.25">
      <c r="A417">
        <f>'Participant reporting'!A644</f>
        <v>0</v>
      </c>
      <c r="B417">
        <f>'Participant reporting'!B644</f>
        <v>0</v>
      </c>
      <c r="C417">
        <f>'Participant reporting'!C644</f>
        <v>0</v>
      </c>
      <c r="D417">
        <f>'Participant reporting'!D644</f>
        <v>0</v>
      </c>
      <c r="E417" s="15">
        <f>'Participant reporting'!E644</f>
        <v>0</v>
      </c>
      <c r="F417">
        <f>'Participant reporting'!F644</f>
        <v>0</v>
      </c>
      <c r="G417">
        <f>'Participant reporting'!G644</f>
        <v>0</v>
      </c>
      <c r="H417">
        <f>'Participant reporting'!H644</f>
        <v>0</v>
      </c>
      <c r="I417">
        <f>'Participant reporting'!I644</f>
        <v>0</v>
      </c>
      <c r="J417">
        <f>'Participant reporting'!J644</f>
        <v>0</v>
      </c>
      <c r="K417">
        <f>'Participant reporting'!K644</f>
        <v>0</v>
      </c>
      <c r="L417">
        <f>'Participant reporting'!L644</f>
        <v>0</v>
      </c>
      <c r="M417">
        <f>'Participant reporting'!M644</f>
        <v>0</v>
      </c>
      <c r="N417">
        <f>'Participant reporting'!N644</f>
        <v>0</v>
      </c>
      <c r="O417">
        <f>'Participant reporting'!O644</f>
        <v>0</v>
      </c>
    </row>
    <row r="418" spans="1:15" x14ac:dyDescent="0.25">
      <c r="A418">
        <f>'Participant reporting'!A645</f>
        <v>0</v>
      </c>
      <c r="B418">
        <f>'Participant reporting'!B645</f>
        <v>0</v>
      </c>
      <c r="C418">
        <f>'Participant reporting'!C645</f>
        <v>0</v>
      </c>
      <c r="D418">
        <f>'Participant reporting'!D645</f>
        <v>0</v>
      </c>
      <c r="E418" s="15">
        <f>'Participant reporting'!E645</f>
        <v>0</v>
      </c>
      <c r="F418">
        <f>'Participant reporting'!F645</f>
        <v>0</v>
      </c>
      <c r="G418">
        <f>'Participant reporting'!G645</f>
        <v>0</v>
      </c>
      <c r="H418">
        <f>'Participant reporting'!H645</f>
        <v>0</v>
      </c>
      <c r="I418">
        <f>'Participant reporting'!I645</f>
        <v>0</v>
      </c>
      <c r="J418">
        <f>'Participant reporting'!J645</f>
        <v>0</v>
      </c>
      <c r="K418">
        <f>'Participant reporting'!K645</f>
        <v>0</v>
      </c>
      <c r="L418">
        <f>'Participant reporting'!L645</f>
        <v>0</v>
      </c>
      <c r="M418">
        <f>'Participant reporting'!M645</f>
        <v>0</v>
      </c>
      <c r="N418">
        <f>'Participant reporting'!N645</f>
        <v>0</v>
      </c>
      <c r="O418">
        <f>'Participant reporting'!O645</f>
        <v>0</v>
      </c>
    </row>
    <row r="419" spans="1:15" x14ac:dyDescent="0.25">
      <c r="A419">
        <f>'Participant reporting'!A646</f>
        <v>0</v>
      </c>
      <c r="B419">
        <f>'Participant reporting'!B646</f>
        <v>0</v>
      </c>
      <c r="C419">
        <f>'Participant reporting'!C646</f>
        <v>0</v>
      </c>
      <c r="D419">
        <f>'Participant reporting'!D646</f>
        <v>0</v>
      </c>
      <c r="E419" s="15">
        <f>'Participant reporting'!E646</f>
        <v>0</v>
      </c>
      <c r="F419">
        <f>'Participant reporting'!F646</f>
        <v>0</v>
      </c>
      <c r="G419">
        <f>'Participant reporting'!G646</f>
        <v>0</v>
      </c>
      <c r="H419">
        <f>'Participant reporting'!H646</f>
        <v>0</v>
      </c>
      <c r="I419">
        <f>'Participant reporting'!I646</f>
        <v>0</v>
      </c>
      <c r="J419">
        <f>'Participant reporting'!J646</f>
        <v>0</v>
      </c>
      <c r="K419">
        <f>'Participant reporting'!K646</f>
        <v>0</v>
      </c>
      <c r="L419">
        <f>'Participant reporting'!L646</f>
        <v>0</v>
      </c>
      <c r="M419">
        <f>'Participant reporting'!M646</f>
        <v>0</v>
      </c>
      <c r="N419">
        <f>'Participant reporting'!N646</f>
        <v>0</v>
      </c>
      <c r="O419">
        <f>'Participant reporting'!O646</f>
        <v>0</v>
      </c>
    </row>
    <row r="420" spans="1:15" x14ac:dyDescent="0.25">
      <c r="A420">
        <f>'Participant reporting'!A647</f>
        <v>0</v>
      </c>
      <c r="B420">
        <f>'Participant reporting'!B647</f>
        <v>0</v>
      </c>
      <c r="C420">
        <f>'Participant reporting'!C647</f>
        <v>0</v>
      </c>
      <c r="D420">
        <f>'Participant reporting'!D647</f>
        <v>0</v>
      </c>
      <c r="E420" s="15">
        <f>'Participant reporting'!E647</f>
        <v>0</v>
      </c>
      <c r="F420">
        <f>'Participant reporting'!F647</f>
        <v>0</v>
      </c>
      <c r="G420">
        <f>'Participant reporting'!G647</f>
        <v>0</v>
      </c>
      <c r="H420">
        <f>'Participant reporting'!H647</f>
        <v>0</v>
      </c>
      <c r="I420">
        <f>'Participant reporting'!I647</f>
        <v>0</v>
      </c>
      <c r="J420">
        <f>'Participant reporting'!J647</f>
        <v>0</v>
      </c>
      <c r="K420">
        <f>'Participant reporting'!K647</f>
        <v>0</v>
      </c>
      <c r="L420">
        <f>'Participant reporting'!L647</f>
        <v>0</v>
      </c>
      <c r="M420">
        <f>'Participant reporting'!M647</f>
        <v>0</v>
      </c>
      <c r="N420">
        <f>'Participant reporting'!N647</f>
        <v>0</v>
      </c>
      <c r="O420">
        <f>'Participant reporting'!O647</f>
        <v>0</v>
      </c>
    </row>
    <row r="421" spans="1:15" x14ac:dyDescent="0.25">
      <c r="A421">
        <f>'Participant reporting'!A648</f>
        <v>0</v>
      </c>
      <c r="B421">
        <f>'Participant reporting'!B648</f>
        <v>0</v>
      </c>
      <c r="C421">
        <f>'Participant reporting'!C648</f>
        <v>0</v>
      </c>
      <c r="D421">
        <f>'Participant reporting'!D648</f>
        <v>0</v>
      </c>
      <c r="E421" s="15">
        <f>'Participant reporting'!E648</f>
        <v>0</v>
      </c>
      <c r="F421">
        <f>'Participant reporting'!F648</f>
        <v>0</v>
      </c>
      <c r="G421">
        <f>'Participant reporting'!G648</f>
        <v>0</v>
      </c>
      <c r="H421">
        <f>'Participant reporting'!H648</f>
        <v>0</v>
      </c>
      <c r="I421">
        <f>'Participant reporting'!I648</f>
        <v>0</v>
      </c>
      <c r="J421">
        <f>'Participant reporting'!J648</f>
        <v>0</v>
      </c>
      <c r="K421">
        <f>'Participant reporting'!K648</f>
        <v>0</v>
      </c>
      <c r="L421">
        <f>'Participant reporting'!L648</f>
        <v>0</v>
      </c>
      <c r="M421">
        <f>'Participant reporting'!M648</f>
        <v>0</v>
      </c>
      <c r="N421">
        <f>'Participant reporting'!N648</f>
        <v>0</v>
      </c>
      <c r="O421">
        <f>'Participant reporting'!O648</f>
        <v>0</v>
      </c>
    </row>
    <row r="422" spans="1:15" x14ac:dyDescent="0.25">
      <c r="A422">
        <f>'Participant reporting'!A649</f>
        <v>0</v>
      </c>
      <c r="B422">
        <f>'Participant reporting'!B649</f>
        <v>0</v>
      </c>
      <c r="C422">
        <f>'Participant reporting'!C649</f>
        <v>0</v>
      </c>
      <c r="D422">
        <f>'Participant reporting'!D649</f>
        <v>0</v>
      </c>
      <c r="E422" s="15">
        <f>'Participant reporting'!E649</f>
        <v>0</v>
      </c>
      <c r="F422">
        <f>'Participant reporting'!F649</f>
        <v>0</v>
      </c>
      <c r="G422">
        <f>'Participant reporting'!G649</f>
        <v>0</v>
      </c>
      <c r="H422">
        <f>'Participant reporting'!H649</f>
        <v>0</v>
      </c>
      <c r="I422">
        <f>'Participant reporting'!I649</f>
        <v>0</v>
      </c>
      <c r="J422">
        <f>'Participant reporting'!J649</f>
        <v>0</v>
      </c>
      <c r="K422">
        <f>'Participant reporting'!K649</f>
        <v>0</v>
      </c>
      <c r="L422">
        <f>'Participant reporting'!L649</f>
        <v>0</v>
      </c>
      <c r="M422">
        <f>'Participant reporting'!M649</f>
        <v>0</v>
      </c>
      <c r="N422">
        <f>'Participant reporting'!N649</f>
        <v>0</v>
      </c>
      <c r="O422">
        <f>'Participant reporting'!O649</f>
        <v>0</v>
      </c>
    </row>
    <row r="423" spans="1:15" x14ac:dyDescent="0.25">
      <c r="A423">
        <f>'Participant reporting'!A650</f>
        <v>0</v>
      </c>
      <c r="B423">
        <f>'Participant reporting'!B650</f>
        <v>0</v>
      </c>
      <c r="C423">
        <f>'Participant reporting'!C650</f>
        <v>0</v>
      </c>
      <c r="D423">
        <f>'Participant reporting'!D650</f>
        <v>0</v>
      </c>
      <c r="E423" s="15">
        <f>'Participant reporting'!E650</f>
        <v>0</v>
      </c>
      <c r="F423">
        <f>'Participant reporting'!F650</f>
        <v>0</v>
      </c>
      <c r="G423">
        <f>'Participant reporting'!G650</f>
        <v>0</v>
      </c>
      <c r="H423">
        <f>'Participant reporting'!H650</f>
        <v>0</v>
      </c>
      <c r="I423">
        <f>'Participant reporting'!I650</f>
        <v>0</v>
      </c>
      <c r="J423">
        <f>'Participant reporting'!J650</f>
        <v>0</v>
      </c>
      <c r="K423">
        <f>'Participant reporting'!K650</f>
        <v>0</v>
      </c>
      <c r="L423">
        <f>'Participant reporting'!L650</f>
        <v>0</v>
      </c>
      <c r="M423">
        <f>'Participant reporting'!M650</f>
        <v>0</v>
      </c>
      <c r="N423">
        <f>'Participant reporting'!N650</f>
        <v>0</v>
      </c>
      <c r="O423">
        <f>'Participant reporting'!O650</f>
        <v>0</v>
      </c>
    </row>
    <row r="424" spans="1:15" x14ac:dyDescent="0.25">
      <c r="A424">
        <f>'Participant reporting'!A651</f>
        <v>0</v>
      </c>
      <c r="B424">
        <f>'Participant reporting'!B651</f>
        <v>0</v>
      </c>
      <c r="C424">
        <f>'Participant reporting'!C651</f>
        <v>0</v>
      </c>
      <c r="D424">
        <f>'Participant reporting'!D651</f>
        <v>0</v>
      </c>
      <c r="E424" s="15">
        <f>'Participant reporting'!E651</f>
        <v>0</v>
      </c>
      <c r="F424">
        <f>'Participant reporting'!F651</f>
        <v>0</v>
      </c>
      <c r="G424">
        <f>'Participant reporting'!G651</f>
        <v>0</v>
      </c>
      <c r="H424">
        <f>'Participant reporting'!H651</f>
        <v>0</v>
      </c>
      <c r="I424">
        <f>'Participant reporting'!I651</f>
        <v>0</v>
      </c>
      <c r="J424">
        <f>'Participant reporting'!J651</f>
        <v>0</v>
      </c>
      <c r="K424">
        <f>'Participant reporting'!K651</f>
        <v>0</v>
      </c>
      <c r="L424">
        <f>'Participant reporting'!L651</f>
        <v>0</v>
      </c>
      <c r="M424">
        <f>'Participant reporting'!M651</f>
        <v>0</v>
      </c>
      <c r="N424">
        <f>'Participant reporting'!N651</f>
        <v>0</v>
      </c>
      <c r="O424">
        <f>'Participant reporting'!O651</f>
        <v>0</v>
      </c>
    </row>
    <row r="425" spans="1:15" x14ac:dyDescent="0.25">
      <c r="A425">
        <f>'Participant reporting'!A652</f>
        <v>0</v>
      </c>
      <c r="B425">
        <f>'Participant reporting'!B652</f>
        <v>0</v>
      </c>
      <c r="C425">
        <f>'Participant reporting'!C652</f>
        <v>0</v>
      </c>
      <c r="D425">
        <f>'Participant reporting'!D652</f>
        <v>0</v>
      </c>
      <c r="E425" s="15">
        <f>'Participant reporting'!E652</f>
        <v>0</v>
      </c>
      <c r="F425">
        <f>'Participant reporting'!F652</f>
        <v>0</v>
      </c>
      <c r="G425">
        <f>'Participant reporting'!G652</f>
        <v>0</v>
      </c>
      <c r="H425">
        <f>'Participant reporting'!H652</f>
        <v>0</v>
      </c>
      <c r="I425">
        <f>'Participant reporting'!I652</f>
        <v>0</v>
      </c>
      <c r="J425">
        <f>'Participant reporting'!J652</f>
        <v>0</v>
      </c>
      <c r="K425">
        <f>'Participant reporting'!K652</f>
        <v>0</v>
      </c>
      <c r="L425">
        <f>'Participant reporting'!L652</f>
        <v>0</v>
      </c>
      <c r="M425">
        <f>'Participant reporting'!M652</f>
        <v>0</v>
      </c>
      <c r="N425">
        <f>'Participant reporting'!N652</f>
        <v>0</v>
      </c>
      <c r="O425">
        <f>'Participant reporting'!O652</f>
        <v>0</v>
      </c>
    </row>
    <row r="426" spans="1:15" x14ac:dyDescent="0.25">
      <c r="A426">
        <f>'Participant reporting'!A653</f>
        <v>0</v>
      </c>
      <c r="B426">
        <f>'Participant reporting'!B653</f>
        <v>0</v>
      </c>
      <c r="C426">
        <f>'Participant reporting'!C653</f>
        <v>0</v>
      </c>
      <c r="D426">
        <f>'Participant reporting'!D653</f>
        <v>0</v>
      </c>
      <c r="E426" s="15">
        <f>'Participant reporting'!E653</f>
        <v>0</v>
      </c>
      <c r="F426">
        <f>'Participant reporting'!F653</f>
        <v>0</v>
      </c>
      <c r="G426">
        <f>'Participant reporting'!G653</f>
        <v>0</v>
      </c>
      <c r="H426">
        <f>'Participant reporting'!H653</f>
        <v>0</v>
      </c>
      <c r="I426">
        <f>'Participant reporting'!I653</f>
        <v>0</v>
      </c>
      <c r="J426">
        <f>'Participant reporting'!J653</f>
        <v>0</v>
      </c>
      <c r="K426">
        <f>'Participant reporting'!K653</f>
        <v>0</v>
      </c>
      <c r="L426">
        <f>'Participant reporting'!L653</f>
        <v>0</v>
      </c>
      <c r="M426">
        <f>'Participant reporting'!M653</f>
        <v>0</v>
      </c>
      <c r="N426">
        <f>'Participant reporting'!N653</f>
        <v>0</v>
      </c>
      <c r="O426">
        <f>'Participant reporting'!O653</f>
        <v>0</v>
      </c>
    </row>
    <row r="427" spans="1:15" x14ac:dyDescent="0.25">
      <c r="A427">
        <f>'Participant reporting'!A654</f>
        <v>0</v>
      </c>
      <c r="B427">
        <f>'Participant reporting'!B654</f>
        <v>0</v>
      </c>
      <c r="C427">
        <f>'Participant reporting'!C654</f>
        <v>0</v>
      </c>
      <c r="D427">
        <f>'Participant reporting'!D654</f>
        <v>0</v>
      </c>
      <c r="E427" s="15">
        <f>'Participant reporting'!E654</f>
        <v>0</v>
      </c>
      <c r="F427">
        <f>'Participant reporting'!F654</f>
        <v>0</v>
      </c>
      <c r="G427">
        <f>'Participant reporting'!G654</f>
        <v>0</v>
      </c>
      <c r="H427">
        <f>'Participant reporting'!H654</f>
        <v>0</v>
      </c>
      <c r="I427">
        <f>'Participant reporting'!I654</f>
        <v>0</v>
      </c>
      <c r="J427">
        <f>'Participant reporting'!J654</f>
        <v>0</v>
      </c>
      <c r="K427">
        <f>'Participant reporting'!K654</f>
        <v>0</v>
      </c>
      <c r="L427">
        <f>'Participant reporting'!L654</f>
        <v>0</v>
      </c>
      <c r="M427">
        <f>'Participant reporting'!M654</f>
        <v>0</v>
      </c>
      <c r="N427">
        <f>'Participant reporting'!N654</f>
        <v>0</v>
      </c>
      <c r="O427">
        <f>'Participant reporting'!O654</f>
        <v>0</v>
      </c>
    </row>
    <row r="428" spans="1:15" x14ac:dyDescent="0.25">
      <c r="A428">
        <f>'Participant reporting'!A655</f>
        <v>0</v>
      </c>
      <c r="B428">
        <f>'Participant reporting'!B655</f>
        <v>0</v>
      </c>
      <c r="C428">
        <f>'Participant reporting'!C655</f>
        <v>0</v>
      </c>
      <c r="D428">
        <f>'Participant reporting'!D655</f>
        <v>0</v>
      </c>
      <c r="E428" s="15">
        <f>'Participant reporting'!E655</f>
        <v>0</v>
      </c>
      <c r="F428">
        <f>'Participant reporting'!F655</f>
        <v>0</v>
      </c>
      <c r="G428">
        <f>'Participant reporting'!G655</f>
        <v>0</v>
      </c>
      <c r="H428">
        <f>'Participant reporting'!H655</f>
        <v>0</v>
      </c>
      <c r="I428">
        <f>'Participant reporting'!I655</f>
        <v>0</v>
      </c>
      <c r="J428">
        <f>'Participant reporting'!J655</f>
        <v>0</v>
      </c>
      <c r="K428">
        <f>'Participant reporting'!K655</f>
        <v>0</v>
      </c>
      <c r="L428">
        <f>'Participant reporting'!L655</f>
        <v>0</v>
      </c>
      <c r="M428">
        <f>'Participant reporting'!M655</f>
        <v>0</v>
      </c>
      <c r="N428">
        <f>'Participant reporting'!N655</f>
        <v>0</v>
      </c>
      <c r="O428">
        <f>'Participant reporting'!O655</f>
        <v>0</v>
      </c>
    </row>
    <row r="429" spans="1:15" x14ac:dyDescent="0.25">
      <c r="A429">
        <f>'Participant reporting'!A656</f>
        <v>0</v>
      </c>
      <c r="B429">
        <f>'Participant reporting'!B656</f>
        <v>0</v>
      </c>
      <c r="C429">
        <f>'Participant reporting'!C656</f>
        <v>0</v>
      </c>
      <c r="D429">
        <f>'Participant reporting'!D656</f>
        <v>0</v>
      </c>
      <c r="E429" s="15">
        <f>'Participant reporting'!E656</f>
        <v>0</v>
      </c>
      <c r="F429">
        <f>'Participant reporting'!F656</f>
        <v>0</v>
      </c>
      <c r="G429">
        <f>'Participant reporting'!G656</f>
        <v>0</v>
      </c>
      <c r="H429">
        <f>'Participant reporting'!H656</f>
        <v>0</v>
      </c>
      <c r="I429">
        <f>'Participant reporting'!I656</f>
        <v>0</v>
      </c>
      <c r="J429">
        <f>'Participant reporting'!J656</f>
        <v>0</v>
      </c>
      <c r="K429">
        <f>'Participant reporting'!K656</f>
        <v>0</v>
      </c>
      <c r="L429">
        <f>'Participant reporting'!L656</f>
        <v>0</v>
      </c>
      <c r="M429">
        <f>'Participant reporting'!M656</f>
        <v>0</v>
      </c>
      <c r="N429">
        <f>'Participant reporting'!N656</f>
        <v>0</v>
      </c>
      <c r="O429">
        <f>'Participant reporting'!O656</f>
        <v>0</v>
      </c>
    </row>
    <row r="430" spans="1:15" x14ac:dyDescent="0.25">
      <c r="A430">
        <f>'Participant reporting'!A657</f>
        <v>0</v>
      </c>
      <c r="B430">
        <f>'Participant reporting'!B657</f>
        <v>0</v>
      </c>
      <c r="C430">
        <f>'Participant reporting'!C657</f>
        <v>0</v>
      </c>
      <c r="D430">
        <f>'Participant reporting'!D657</f>
        <v>0</v>
      </c>
      <c r="E430" s="15">
        <f>'Participant reporting'!E657</f>
        <v>0</v>
      </c>
      <c r="F430">
        <f>'Participant reporting'!F657</f>
        <v>0</v>
      </c>
      <c r="G430">
        <f>'Participant reporting'!G657</f>
        <v>0</v>
      </c>
      <c r="H430">
        <f>'Participant reporting'!H657</f>
        <v>0</v>
      </c>
      <c r="I430">
        <f>'Participant reporting'!I657</f>
        <v>0</v>
      </c>
      <c r="J430">
        <f>'Participant reporting'!J657</f>
        <v>0</v>
      </c>
      <c r="K430">
        <f>'Participant reporting'!K657</f>
        <v>0</v>
      </c>
      <c r="L430">
        <f>'Participant reporting'!L657</f>
        <v>0</v>
      </c>
      <c r="M430">
        <f>'Participant reporting'!M657</f>
        <v>0</v>
      </c>
      <c r="N430">
        <f>'Participant reporting'!N657</f>
        <v>0</v>
      </c>
      <c r="O430">
        <f>'Participant reporting'!O657</f>
        <v>0</v>
      </c>
    </row>
    <row r="431" spans="1:15" x14ac:dyDescent="0.25">
      <c r="A431">
        <f>'Participant reporting'!A658</f>
        <v>0</v>
      </c>
      <c r="B431">
        <f>'Participant reporting'!B658</f>
        <v>0</v>
      </c>
      <c r="C431">
        <f>'Participant reporting'!C658</f>
        <v>0</v>
      </c>
      <c r="D431">
        <f>'Participant reporting'!D658</f>
        <v>0</v>
      </c>
      <c r="E431" s="15">
        <f>'Participant reporting'!E658</f>
        <v>0</v>
      </c>
      <c r="F431">
        <f>'Participant reporting'!F658</f>
        <v>0</v>
      </c>
      <c r="G431">
        <f>'Participant reporting'!G658</f>
        <v>0</v>
      </c>
      <c r="H431">
        <f>'Participant reporting'!H658</f>
        <v>0</v>
      </c>
      <c r="I431">
        <f>'Participant reporting'!I658</f>
        <v>0</v>
      </c>
      <c r="J431">
        <f>'Participant reporting'!J658</f>
        <v>0</v>
      </c>
      <c r="K431">
        <f>'Participant reporting'!K658</f>
        <v>0</v>
      </c>
      <c r="L431">
        <f>'Participant reporting'!L658</f>
        <v>0</v>
      </c>
      <c r="M431">
        <f>'Participant reporting'!M658</f>
        <v>0</v>
      </c>
      <c r="N431">
        <f>'Participant reporting'!N658</f>
        <v>0</v>
      </c>
      <c r="O431">
        <f>'Participant reporting'!O658</f>
        <v>0</v>
      </c>
    </row>
    <row r="432" spans="1:15" x14ac:dyDescent="0.25">
      <c r="A432">
        <f>'Participant reporting'!A659</f>
        <v>0</v>
      </c>
      <c r="B432">
        <f>'Participant reporting'!B659</f>
        <v>0</v>
      </c>
      <c r="C432">
        <f>'Participant reporting'!C659</f>
        <v>0</v>
      </c>
      <c r="D432">
        <f>'Participant reporting'!D659</f>
        <v>0</v>
      </c>
      <c r="E432" s="15">
        <f>'Participant reporting'!E659</f>
        <v>0</v>
      </c>
      <c r="F432">
        <f>'Participant reporting'!F659</f>
        <v>0</v>
      </c>
      <c r="G432">
        <f>'Participant reporting'!G659</f>
        <v>0</v>
      </c>
      <c r="H432">
        <f>'Participant reporting'!H659</f>
        <v>0</v>
      </c>
      <c r="I432">
        <f>'Participant reporting'!I659</f>
        <v>0</v>
      </c>
      <c r="J432">
        <f>'Participant reporting'!J659</f>
        <v>0</v>
      </c>
      <c r="K432">
        <f>'Participant reporting'!K659</f>
        <v>0</v>
      </c>
      <c r="L432">
        <f>'Participant reporting'!L659</f>
        <v>0</v>
      </c>
      <c r="M432">
        <f>'Participant reporting'!M659</f>
        <v>0</v>
      </c>
      <c r="N432">
        <f>'Participant reporting'!N659</f>
        <v>0</v>
      </c>
      <c r="O432">
        <f>'Participant reporting'!O659</f>
        <v>0</v>
      </c>
    </row>
    <row r="433" spans="1:15" x14ac:dyDescent="0.25">
      <c r="A433">
        <f>'Participant reporting'!A660</f>
        <v>0</v>
      </c>
      <c r="B433">
        <f>'Participant reporting'!B660</f>
        <v>0</v>
      </c>
      <c r="C433">
        <f>'Participant reporting'!C660</f>
        <v>0</v>
      </c>
      <c r="D433">
        <f>'Participant reporting'!D660</f>
        <v>0</v>
      </c>
      <c r="E433" s="15">
        <f>'Participant reporting'!E660</f>
        <v>0</v>
      </c>
      <c r="F433">
        <f>'Participant reporting'!F660</f>
        <v>0</v>
      </c>
      <c r="G433">
        <f>'Participant reporting'!G660</f>
        <v>0</v>
      </c>
      <c r="H433">
        <f>'Participant reporting'!H660</f>
        <v>0</v>
      </c>
      <c r="I433">
        <f>'Participant reporting'!I660</f>
        <v>0</v>
      </c>
      <c r="J433">
        <f>'Participant reporting'!J660</f>
        <v>0</v>
      </c>
      <c r="K433">
        <f>'Participant reporting'!K660</f>
        <v>0</v>
      </c>
      <c r="L433">
        <f>'Participant reporting'!L660</f>
        <v>0</v>
      </c>
      <c r="M433">
        <f>'Participant reporting'!M660</f>
        <v>0</v>
      </c>
      <c r="N433">
        <f>'Participant reporting'!N660</f>
        <v>0</v>
      </c>
      <c r="O433">
        <f>'Participant reporting'!O660</f>
        <v>0</v>
      </c>
    </row>
    <row r="434" spans="1:15" x14ac:dyDescent="0.25">
      <c r="A434">
        <f>'Participant reporting'!A661</f>
        <v>0</v>
      </c>
      <c r="B434">
        <f>'Participant reporting'!B661</f>
        <v>0</v>
      </c>
      <c r="C434">
        <f>'Participant reporting'!C661</f>
        <v>0</v>
      </c>
      <c r="D434">
        <f>'Participant reporting'!D661</f>
        <v>0</v>
      </c>
      <c r="E434" s="15">
        <f>'Participant reporting'!E661</f>
        <v>0</v>
      </c>
      <c r="F434">
        <f>'Participant reporting'!F661</f>
        <v>0</v>
      </c>
      <c r="G434">
        <f>'Participant reporting'!G661</f>
        <v>0</v>
      </c>
      <c r="H434">
        <f>'Participant reporting'!H661</f>
        <v>0</v>
      </c>
      <c r="I434">
        <f>'Participant reporting'!I661</f>
        <v>0</v>
      </c>
      <c r="J434">
        <f>'Participant reporting'!J661</f>
        <v>0</v>
      </c>
      <c r="K434">
        <f>'Participant reporting'!K661</f>
        <v>0</v>
      </c>
      <c r="L434">
        <f>'Participant reporting'!L661</f>
        <v>0</v>
      </c>
      <c r="M434">
        <f>'Participant reporting'!M661</f>
        <v>0</v>
      </c>
      <c r="N434">
        <f>'Participant reporting'!N661</f>
        <v>0</v>
      </c>
      <c r="O434">
        <f>'Participant reporting'!O661</f>
        <v>0</v>
      </c>
    </row>
    <row r="435" spans="1:15" x14ac:dyDescent="0.25">
      <c r="A435">
        <f>'Participant reporting'!A662</f>
        <v>0</v>
      </c>
      <c r="B435">
        <f>'Participant reporting'!B662</f>
        <v>0</v>
      </c>
      <c r="C435">
        <f>'Participant reporting'!C662</f>
        <v>0</v>
      </c>
      <c r="D435">
        <f>'Participant reporting'!D662</f>
        <v>0</v>
      </c>
      <c r="E435" s="15">
        <f>'Participant reporting'!E662</f>
        <v>0</v>
      </c>
      <c r="F435">
        <f>'Participant reporting'!F662</f>
        <v>0</v>
      </c>
      <c r="G435">
        <f>'Participant reporting'!G662</f>
        <v>0</v>
      </c>
      <c r="H435">
        <f>'Participant reporting'!H662</f>
        <v>0</v>
      </c>
      <c r="I435">
        <f>'Participant reporting'!I662</f>
        <v>0</v>
      </c>
      <c r="J435">
        <f>'Participant reporting'!J662</f>
        <v>0</v>
      </c>
      <c r="K435">
        <f>'Participant reporting'!K662</f>
        <v>0</v>
      </c>
      <c r="L435">
        <f>'Participant reporting'!L662</f>
        <v>0</v>
      </c>
      <c r="M435">
        <f>'Participant reporting'!M662</f>
        <v>0</v>
      </c>
      <c r="N435">
        <f>'Participant reporting'!N662</f>
        <v>0</v>
      </c>
      <c r="O435">
        <f>'Participant reporting'!O662</f>
        <v>0</v>
      </c>
    </row>
    <row r="436" spans="1:15" x14ac:dyDescent="0.25">
      <c r="A436">
        <f>'Participant reporting'!A663</f>
        <v>0</v>
      </c>
      <c r="B436">
        <f>'Participant reporting'!B663</f>
        <v>0</v>
      </c>
      <c r="C436">
        <f>'Participant reporting'!C663</f>
        <v>0</v>
      </c>
      <c r="D436">
        <f>'Participant reporting'!D663</f>
        <v>0</v>
      </c>
      <c r="E436" s="15">
        <f>'Participant reporting'!E663</f>
        <v>0</v>
      </c>
      <c r="F436">
        <f>'Participant reporting'!F663</f>
        <v>0</v>
      </c>
      <c r="G436">
        <f>'Participant reporting'!G663</f>
        <v>0</v>
      </c>
      <c r="H436">
        <f>'Participant reporting'!H663</f>
        <v>0</v>
      </c>
      <c r="I436">
        <f>'Participant reporting'!I663</f>
        <v>0</v>
      </c>
      <c r="J436">
        <f>'Participant reporting'!J663</f>
        <v>0</v>
      </c>
      <c r="K436">
        <f>'Participant reporting'!K663</f>
        <v>0</v>
      </c>
      <c r="L436">
        <f>'Participant reporting'!L663</f>
        <v>0</v>
      </c>
      <c r="M436">
        <f>'Participant reporting'!M663</f>
        <v>0</v>
      </c>
      <c r="N436">
        <f>'Participant reporting'!N663</f>
        <v>0</v>
      </c>
      <c r="O436">
        <f>'Participant reporting'!O663</f>
        <v>0</v>
      </c>
    </row>
    <row r="437" spans="1:15" x14ac:dyDescent="0.25">
      <c r="A437">
        <f>'Participant reporting'!A664</f>
        <v>0</v>
      </c>
      <c r="B437">
        <f>'Participant reporting'!B664</f>
        <v>0</v>
      </c>
      <c r="C437">
        <f>'Participant reporting'!C664</f>
        <v>0</v>
      </c>
      <c r="D437">
        <f>'Participant reporting'!D664</f>
        <v>0</v>
      </c>
      <c r="E437" s="15">
        <f>'Participant reporting'!E664</f>
        <v>0</v>
      </c>
      <c r="F437">
        <f>'Participant reporting'!F664</f>
        <v>0</v>
      </c>
      <c r="G437">
        <f>'Participant reporting'!G664</f>
        <v>0</v>
      </c>
      <c r="H437">
        <f>'Participant reporting'!H664</f>
        <v>0</v>
      </c>
      <c r="I437">
        <f>'Participant reporting'!I664</f>
        <v>0</v>
      </c>
      <c r="J437">
        <f>'Participant reporting'!J664</f>
        <v>0</v>
      </c>
      <c r="K437">
        <f>'Participant reporting'!K664</f>
        <v>0</v>
      </c>
      <c r="L437">
        <f>'Participant reporting'!L664</f>
        <v>0</v>
      </c>
      <c r="M437">
        <f>'Participant reporting'!M664</f>
        <v>0</v>
      </c>
      <c r="N437">
        <f>'Participant reporting'!N664</f>
        <v>0</v>
      </c>
      <c r="O437">
        <f>'Participant reporting'!O664</f>
        <v>0</v>
      </c>
    </row>
    <row r="438" spans="1:15" x14ac:dyDescent="0.25">
      <c r="A438">
        <f>'Participant reporting'!A665</f>
        <v>0</v>
      </c>
      <c r="B438">
        <f>'Participant reporting'!B665</f>
        <v>0</v>
      </c>
      <c r="C438">
        <f>'Participant reporting'!C665</f>
        <v>0</v>
      </c>
      <c r="D438">
        <f>'Participant reporting'!D665</f>
        <v>0</v>
      </c>
      <c r="E438" s="15">
        <f>'Participant reporting'!E665</f>
        <v>0</v>
      </c>
      <c r="F438">
        <f>'Participant reporting'!F665</f>
        <v>0</v>
      </c>
      <c r="G438">
        <f>'Participant reporting'!G665</f>
        <v>0</v>
      </c>
      <c r="H438">
        <f>'Participant reporting'!H665</f>
        <v>0</v>
      </c>
      <c r="I438">
        <f>'Participant reporting'!I665</f>
        <v>0</v>
      </c>
      <c r="J438">
        <f>'Participant reporting'!J665</f>
        <v>0</v>
      </c>
      <c r="K438">
        <f>'Participant reporting'!K665</f>
        <v>0</v>
      </c>
      <c r="L438">
        <f>'Participant reporting'!L665</f>
        <v>0</v>
      </c>
      <c r="M438">
        <f>'Participant reporting'!M665</f>
        <v>0</v>
      </c>
      <c r="N438">
        <f>'Participant reporting'!N665</f>
        <v>0</v>
      </c>
      <c r="O438">
        <f>'Participant reporting'!O665</f>
        <v>0</v>
      </c>
    </row>
    <row r="439" spans="1:15" x14ac:dyDescent="0.25">
      <c r="A439">
        <f>'Participant reporting'!A666</f>
        <v>0</v>
      </c>
      <c r="B439">
        <f>'Participant reporting'!B666</f>
        <v>0</v>
      </c>
      <c r="C439">
        <f>'Participant reporting'!C666</f>
        <v>0</v>
      </c>
      <c r="D439">
        <f>'Participant reporting'!D666</f>
        <v>0</v>
      </c>
      <c r="E439" s="15">
        <f>'Participant reporting'!E666</f>
        <v>0</v>
      </c>
      <c r="F439">
        <f>'Participant reporting'!F666</f>
        <v>0</v>
      </c>
      <c r="G439">
        <f>'Participant reporting'!G666</f>
        <v>0</v>
      </c>
      <c r="H439">
        <f>'Participant reporting'!H666</f>
        <v>0</v>
      </c>
      <c r="I439">
        <f>'Participant reporting'!I666</f>
        <v>0</v>
      </c>
      <c r="J439">
        <f>'Participant reporting'!J666</f>
        <v>0</v>
      </c>
      <c r="K439">
        <f>'Participant reporting'!K666</f>
        <v>0</v>
      </c>
      <c r="L439">
        <f>'Participant reporting'!L666</f>
        <v>0</v>
      </c>
      <c r="M439">
        <f>'Participant reporting'!M666</f>
        <v>0</v>
      </c>
      <c r="N439">
        <f>'Participant reporting'!N666</f>
        <v>0</v>
      </c>
      <c r="O439">
        <f>'Participant reporting'!O666</f>
        <v>0</v>
      </c>
    </row>
    <row r="440" spans="1:15" x14ac:dyDescent="0.25">
      <c r="A440">
        <f>'Participant reporting'!A667</f>
        <v>0</v>
      </c>
      <c r="B440">
        <f>'Participant reporting'!B667</f>
        <v>0</v>
      </c>
      <c r="C440">
        <f>'Participant reporting'!C667</f>
        <v>0</v>
      </c>
      <c r="D440">
        <f>'Participant reporting'!D667</f>
        <v>0</v>
      </c>
      <c r="E440" s="15">
        <f>'Participant reporting'!E667</f>
        <v>0</v>
      </c>
      <c r="F440">
        <f>'Participant reporting'!F667</f>
        <v>0</v>
      </c>
      <c r="G440">
        <f>'Participant reporting'!G667</f>
        <v>0</v>
      </c>
      <c r="H440">
        <f>'Participant reporting'!H667</f>
        <v>0</v>
      </c>
      <c r="I440">
        <f>'Participant reporting'!I667</f>
        <v>0</v>
      </c>
      <c r="J440">
        <f>'Participant reporting'!J667</f>
        <v>0</v>
      </c>
      <c r="K440">
        <f>'Participant reporting'!K667</f>
        <v>0</v>
      </c>
      <c r="L440">
        <f>'Participant reporting'!L667</f>
        <v>0</v>
      </c>
      <c r="M440">
        <f>'Participant reporting'!M667</f>
        <v>0</v>
      </c>
      <c r="N440">
        <f>'Participant reporting'!N667</f>
        <v>0</v>
      </c>
      <c r="O440">
        <f>'Participant reporting'!O667</f>
        <v>0</v>
      </c>
    </row>
    <row r="441" spans="1:15" x14ac:dyDescent="0.25">
      <c r="A441">
        <f>'Participant reporting'!A668</f>
        <v>0</v>
      </c>
      <c r="B441">
        <f>'Participant reporting'!B668</f>
        <v>0</v>
      </c>
      <c r="C441">
        <f>'Participant reporting'!C668</f>
        <v>0</v>
      </c>
      <c r="D441">
        <f>'Participant reporting'!D668</f>
        <v>0</v>
      </c>
      <c r="E441" s="15">
        <f>'Participant reporting'!E668</f>
        <v>0</v>
      </c>
      <c r="F441">
        <f>'Participant reporting'!F668</f>
        <v>0</v>
      </c>
      <c r="G441">
        <f>'Participant reporting'!G668</f>
        <v>0</v>
      </c>
      <c r="H441">
        <f>'Participant reporting'!H668</f>
        <v>0</v>
      </c>
      <c r="I441">
        <f>'Participant reporting'!I668</f>
        <v>0</v>
      </c>
      <c r="J441">
        <f>'Participant reporting'!J668</f>
        <v>0</v>
      </c>
      <c r="K441">
        <f>'Participant reporting'!K668</f>
        <v>0</v>
      </c>
      <c r="L441">
        <f>'Participant reporting'!L668</f>
        <v>0</v>
      </c>
      <c r="M441">
        <f>'Participant reporting'!M668</f>
        <v>0</v>
      </c>
      <c r="N441">
        <f>'Participant reporting'!N668</f>
        <v>0</v>
      </c>
      <c r="O441">
        <f>'Participant reporting'!O668</f>
        <v>0</v>
      </c>
    </row>
    <row r="442" spans="1:15" x14ac:dyDescent="0.25">
      <c r="A442">
        <f>'Participant reporting'!A669</f>
        <v>0</v>
      </c>
      <c r="B442">
        <f>'Participant reporting'!B669</f>
        <v>0</v>
      </c>
      <c r="C442">
        <f>'Participant reporting'!C669</f>
        <v>0</v>
      </c>
      <c r="D442">
        <f>'Participant reporting'!D669</f>
        <v>0</v>
      </c>
      <c r="E442" s="15">
        <f>'Participant reporting'!E669</f>
        <v>0</v>
      </c>
      <c r="F442">
        <f>'Participant reporting'!F669</f>
        <v>0</v>
      </c>
      <c r="G442">
        <f>'Participant reporting'!G669</f>
        <v>0</v>
      </c>
      <c r="H442">
        <f>'Participant reporting'!H669</f>
        <v>0</v>
      </c>
      <c r="I442">
        <f>'Participant reporting'!I669</f>
        <v>0</v>
      </c>
      <c r="J442">
        <f>'Participant reporting'!J669</f>
        <v>0</v>
      </c>
      <c r="K442">
        <f>'Participant reporting'!K669</f>
        <v>0</v>
      </c>
      <c r="L442">
        <f>'Participant reporting'!L669</f>
        <v>0</v>
      </c>
      <c r="M442">
        <f>'Participant reporting'!M669</f>
        <v>0</v>
      </c>
      <c r="N442">
        <f>'Participant reporting'!N669</f>
        <v>0</v>
      </c>
      <c r="O442">
        <f>'Participant reporting'!O669</f>
        <v>0</v>
      </c>
    </row>
    <row r="443" spans="1:15" x14ac:dyDescent="0.25">
      <c r="A443">
        <f>'Participant reporting'!A670</f>
        <v>0</v>
      </c>
      <c r="B443">
        <f>'Participant reporting'!B670</f>
        <v>0</v>
      </c>
      <c r="C443">
        <f>'Participant reporting'!C670</f>
        <v>0</v>
      </c>
      <c r="D443">
        <f>'Participant reporting'!D670</f>
        <v>0</v>
      </c>
      <c r="E443" s="15">
        <f>'Participant reporting'!E670</f>
        <v>0</v>
      </c>
      <c r="F443">
        <f>'Participant reporting'!F670</f>
        <v>0</v>
      </c>
      <c r="G443">
        <f>'Participant reporting'!G670</f>
        <v>0</v>
      </c>
      <c r="H443">
        <f>'Participant reporting'!H670</f>
        <v>0</v>
      </c>
      <c r="I443">
        <f>'Participant reporting'!I670</f>
        <v>0</v>
      </c>
      <c r="J443">
        <f>'Participant reporting'!J670</f>
        <v>0</v>
      </c>
      <c r="K443">
        <f>'Participant reporting'!K670</f>
        <v>0</v>
      </c>
      <c r="L443">
        <f>'Participant reporting'!L670</f>
        <v>0</v>
      </c>
      <c r="M443">
        <f>'Participant reporting'!M670</f>
        <v>0</v>
      </c>
      <c r="N443">
        <f>'Participant reporting'!N670</f>
        <v>0</v>
      </c>
      <c r="O443">
        <f>'Participant reporting'!O670</f>
        <v>0</v>
      </c>
    </row>
    <row r="444" spans="1:15" x14ac:dyDescent="0.25">
      <c r="A444">
        <f>'Participant reporting'!A671</f>
        <v>0</v>
      </c>
      <c r="B444">
        <f>'Participant reporting'!B671</f>
        <v>0</v>
      </c>
      <c r="C444">
        <f>'Participant reporting'!C671</f>
        <v>0</v>
      </c>
      <c r="D444">
        <f>'Participant reporting'!D671</f>
        <v>0</v>
      </c>
      <c r="E444" s="15">
        <f>'Participant reporting'!E671</f>
        <v>0</v>
      </c>
      <c r="F444">
        <f>'Participant reporting'!F671</f>
        <v>0</v>
      </c>
      <c r="G444">
        <f>'Participant reporting'!G671</f>
        <v>0</v>
      </c>
      <c r="H444">
        <f>'Participant reporting'!H671</f>
        <v>0</v>
      </c>
      <c r="I444">
        <f>'Participant reporting'!I671</f>
        <v>0</v>
      </c>
      <c r="J444">
        <f>'Participant reporting'!J671</f>
        <v>0</v>
      </c>
      <c r="K444">
        <f>'Participant reporting'!K671</f>
        <v>0</v>
      </c>
      <c r="L444">
        <f>'Participant reporting'!L671</f>
        <v>0</v>
      </c>
      <c r="M444">
        <f>'Participant reporting'!M671</f>
        <v>0</v>
      </c>
      <c r="N444">
        <f>'Participant reporting'!N671</f>
        <v>0</v>
      </c>
      <c r="O444">
        <f>'Participant reporting'!O671</f>
        <v>0</v>
      </c>
    </row>
    <row r="445" spans="1:15" x14ac:dyDescent="0.25">
      <c r="A445">
        <f>'Participant reporting'!A672</f>
        <v>0</v>
      </c>
      <c r="B445">
        <f>'Participant reporting'!B672</f>
        <v>0</v>
      </c>
      <c r="C445">
        <f>'Participant reporting'!C672</f>
        <v>0</v>
      </c>
      <c r="D445">
        <f>'Participant reporting'!D672</f>
        <v>0</v>
      </c>
      <c r="E445" s="15">
        <f>'Participant reporting'!E672</f>
        <v>0</v>
      </c>
      <c r="F445">
        <f>'Participant reporting'!F672</f>
        <v>0</v>
      </c>
      <c r="G445">
        <f>'Participant reporting'!G672</f>
        <v>0</v>
      </c>
      <c r="H445">
        <f>'Participant reporting'!H672</f>
        <v>0</v>
      </c>
      <c r="I445">
        <f>'Participant reporting'!I672</f>
        <v>0</v>
      </c>
      <c r="J445">
        <f>'Participant reporting'!J672</f>
        <v>0</v>
      </c>
      <c r="K445">
        <f>'Participant reporting'!K672</f>
        <v>0</v>
      </c>
      <c r="L445">
        <f>'Participant reporting'!L672</f>
        <v>0</v>
      </c>
      <c r="M445">
        <f>'Participant reporting'!M672</f>
        <v>0</v>
      </c>
      <c r="N445">
        <f>'Participant reporting'!N672</f>
        <v>0</v>
      </c>
      <c r="O445">
        <f>'Participant reporting'!O672</f>
        <v>0</v>
      </c>
    </row>
    <row r="446" spans="1:15" x14ac:dyDescent="0.25">
      <c r="A446">
        <f>'Participant reporting'!A673</f>
        <v>0</v>
      </c>
      <c r="B446">
        <f>'Participant reporting'!B673</f>
        <v>0</v>
      </c>
      <c r="C446">
        <f>'Participant reporting'!C673</f>
        <v>0</v>
      </c>
      <c r="D446">
        <f>'Participant reporting'!D673</f>
        <v>0</v>
      </c>
      <c r="E446" s="15">
        <f>'Participant reporting'!E673</f>
        <v>0</v>
      </c>
      <c r="F446">
        <f>'Participant reporting'!F673</f>
        <v>0</v>
      </c>
      <c r="G446">
        <f>'Participant reporting'!G673</f>
        <v>0</v>
      </c>
      <c r="H446">
        <f>'Participant reporting'!H673</f>
        <v>0</v>
      </c>
      <c r="I446">
        <f>'Participant reporting'!I673</f>
        <v>0</v>
      </c>
      <c r="J446">
        <f>'Participant reporting'!J673</f>
        <v>0</v>
      </c>
      <c r="K446">
        <f>'Participant reporting'!K673</f>
        <v>0</v>
      </c>
      <c r="L446">
        <f>'Participant reporting'!L673</f>
        <v>0</v>
      </c>
      <c r="M446">
        <f>'Participant reporting'!M673</f>
        <v>0</v>
      </c>
      <c r="N446">
        <f>'Participant reporting'!N673</f>
        <v>0</v>
      </c>
      <c r="O446">
        <f>'Participant reporting'!O673</f>
        <v>0</v>
      </c>
    </row>
    <row r="447" spans="1:15" x14ac:dyDescent="0.25">
      <c r="A447">
        <f>'Participant reporting'!A674</f>
        <v>0</v>
      </c>
      <c r="B447">
        <f>'Participant reporting'!B674</f>
        <v>0</v>
      </c>
      <c r="C447">
        <f>'Participant reporting'!C674</f>
        <v>0</v>
      </c>
      <c r="D447">
        <f>'Participant reporting'!D674</f>
        <v>0</v>
      </c>
      <c r="E447" s="15">
        <f>'Participant reporting'!E674</f>
        <v>0</v>
      </c>
      <c r="F447">
        <f>'Participant reporting'!F674</f>
        <v>0</v>
      </c>
      <c r="G447">
        <f>'Participant reporting'!G674</f>
        <v>0</v>
      </c>
      <c r="H447">
        <f>'Participant reporting'!H674</f>
        <v>0</v>
      </c>
      <c r="I447">
        <f>'Participant reporting'!I674</f>
        <v>0</v>
      </c>
      <c r="J447">
        <f>'Participant reporting'!J674</f>
        <v>0</v>
      </c>
      <c r="K447">
        <f>'Participant reporting'!K674</f>
        <v>0</v>
      </c>
      <c r="L447">
        <f>'Participant reporting'!L674</f>
        <v>0</v>
      </c>
      <c r="M447">
        <f>'Participant reporting'!M674</f>
        <v>0</v>
      </c>
      <c r="N447">
        <f>'Participant reporting'!N674</f>
        <v>0</v>
      </c>
      <c r="O447">
        <f>'Participant reporting'!O674</f>
        <v>0</v>
      </c>
    </row>
    <row r="448" spans="1:15" x14ac:dyDescent="0.25">
      <c r="A448">
        <f>'Participant reporting'!A675</f>
        <v>0</v>
      </c>
      <c r="B448">
        <f>'Participant reporting'!B675</f>
        <v>0</v>
      </c>
      <c r="C448">
        <f>'Participant reporting'!C675</f>
        <v>0</v>
      </c>
      <c r="D448">
        <f>'Participant reporting'!D675</f>
        <v>0</v>
      </c>
      <c r="E448" s="15">
        <f>'Participant reporting'!E675</f>
        <v>0</v>
      </c>
      <c r="F448">
        <f>'Participant reporting'!F675</f>
        <v>0</v>
      </c>
      <c r="G448">
        <f>'Participant reporting'!G675</f>
        <v>0</v>
      </c>
      <c r="H448">
        <f>'Participant reporting'!H675</f>
        <v>0</v>
      </c>
      <c r="I448">
        <f>'Participant reporting'!I675</f>
        <v>0</v>
      </c>
      <c r="J448">
        <f>'Participant reporting'!J675</f>
        <v>0</v>
      </c>
      <c r="K448">
        <f>'Participant reporting'!K675</f>
        <v>0</v>
      </c>
      <c r="L448">
        <f>'Participant reporting'!L675</f>
        <v>0</v>
      </c>
      <c r="M448">
        <f>'Participant reporting'!M675</f>
        <v>0</v>
      </c>
      <c r="N448">
        <f>'Participant reporting'!N675</f>
        <v>0</v>
      </c>
      <c r="O448">
        <f>'Participant reporting'!O675</f>
        <v>0</v>
      </c>
    </row>
    <row r="449" spans="1:15" x14ac:dyDescent="0.25">
      <c r="A449">
        <f>'Participant reporting'!A676</f>
        <v>0</v>
      </c>
      <c r="B449">
        <f>'Participant reporting'!B676</f>
        <v>0</v>
      </c>
      <c r="C449">
        <f>'Participant reporting'!C676</f>
        <v>0</v>
      </c>
      <c r="D449">
        <f>'Participant reporting'!D676</f>
        <v>0</v>
      </c>
      <c r="E449" s="15">
        <f>'Participant reporting'!E676</f>
        <v>0</v>
      </c>
      <c r="F449">
        <f>'Participant reporting'!F676</f>
        <v>0</v>
      </c>
      <c r="G449">
        <f>'Participant reporting'!G676</f>
        <v>0</v>
      </c>
      <c r="H449">
        <f>'Participant reporting'!H676</f>
        <v>0</v>
      </c>
      <c r="I449">
        <f>'Participant reporting'!I676</f>
        <v>0</v>
      </c>
      <c r="J449">
        <f>'Participant reporting'!J676</f>
        <v>0</v>
      </c>
      <c r="K449">
        <f>'Participant reporting'!K676</f>
        <v>0</v>
      </c>
      <c r="L449">
        <f>'Participant reporting'!L676</f>
        <v>0</v>
      </c>
      <c r="M449">
        <f>'Participant reporting'!M676</f>
        <v>0</v>
      </c>
      <c r="N449">
        <f>'Participant reporting'!N676</f>
        <v>0</v>
      </c>
      <c r="O449">
        <f>'Participant reporting'!O676</f>
        <v>0</v>
      </c>
    </row>
    <row r="450" spans="1:15" x14ac:dyDescent="0.25">
      <c r="A450">
        <f>'Participant reporting'!A677</f>
        <v>0</v>
      </c>
      <c r="B450">
        <f>'Participant reporting'!B677</f>
        <v>0</v>
      </c>
      <c r="C450">
        <f>'Participant reporting'!C677</f>
        <v>0</v>
      </c>
      <c r="D450">
        <f>'Participant reporting'!D677</f>
        <v>0</v>
      </c>
      <c r="E450" s="15">
        <f>'Participant reporting'!E677</f>
        <v>0</v>
      </c>
      <c r="F450">
        <f>'Participant reporting'!F677</f>
        <v>0</v>
      </c>
      <c r="G450">
        <f>'Participant reporting'!G677</f>
        <v>0</v>
      </c>
      <c r="H450">
        <f>'Participant reporting'!H677</f>
        <v>0</v>
      </c>
      <c r="I450">
        <f>'Participant reporting'!I677</f>
        <v>0</v>
      </c>
      <c r="J450">
        <f>'Participant reporting'!J677</f>
        <v>0</v>
      </c>
      <c r="K450">
        <f>'Participant reporting'!K677</f>
        <v>0</v>
      </c>
      <c r="L450">
        <f>'Participant reporting'!L677</f>
        <v>0</v>
      </c>
      <c r="M450">
        <f>'Participant reporting'!M677</f>
        <v>0</v>
      </c>
      <c r="N450">
        <f>'Participant reporting'!N677</f>
        <v>0</v>
      </c>
      <c r="O450">
        <f>'Participant reporting'!O677</f>
        <v>0</v>
      </c>
    </row>
    <row r="451" spans="1:15" x14ac:dyDescent="0.25">
      <c r="A451">
        <f>'Participant reporting'!A678</f>
        <v>0</v>
      </c>
      <c r="B451">
        <f>'Participant reporting'!B678</f>
        <v>0</v>
      </c>
      <c r="C451">
        <f>'Participant reporting'!C678</f>
        <v>0</v>
      </c>
      <c r="D451">
        <f>'Participant reporting'!D678</f>
        <v>0</v>
      </c>
      <c r="E451" s="15">
        <f>'Participant reporting'!E678</f>
        <v>0</v>
      </c>
      <c r="F451">
        <f>'Participant reporting'!F678</f>
        <v>0</v>
      </c>
      <c r="G451">
        <f>'Participant reporting'!G678</f>
        <v>0</v>
      </c>
      <c r="H451">
        <f>'Participant reporting'!H678</f>
        <v>0</v>
      </c>
      <c r="I451">
        <f>'Participant reporting'!I678</f>
        <v>0</v>
      </c>
      <c r="J451">
        <f>'Participant reporting'!J678</f>
        <v>0</v>
      </c>
      <c r="K451">
        <f>'Participant reporting'!K678</f>
        <v>0</v>
      </c>
      <c r="L451">
        <f>'Participant reporting'!L678</f>
        <v>0</v>
      </c>
      <c r="M451">
        <f>'Participant reporting'!M678</f>
        <v>0</v>
      </c>
      <c r="N451">
        <f>'Participant reporting'!N678</f>
        <v>0</v>
      </c>
      <c r="O451">
        <f>'Participant reporting'!O678</f>
        <v>0</v>
      </c>
    </row>
    <row r="452" spans="1:15" x14ac:dyDescent="0.25">
      <c r="A452">
        <f>'Participant reporting'!A679</f>
        <v>0</v>
      </c>
      <c r="B452">
        <f>'Participant reporting'!B679</f>
        <v>0</v>
      </c>
      <c r="C452">
        <f>'Participant reporting'!C679</f>
        <v>0</v>
      </c>
      <c r="D452">
        <f>'Participant reporting'!D679</f>
        <v>0</v>
      </c>
      <c r="E452" s="15">
        <f>'Participant reporting'!E679</f>
        <v>0</v>
      </c>
      <c r="F452">
        <f>'Participant reporting'!F679</f>
        <v>0</v>
      </c>
      <c r="G452">
        <f>'Participant reporting'!G679</f>
        <v>0</v>
      </c>
      <c r="H452">
        <f>'Participant reporting'!H679</f>
        <v>0</v>
      </c>
      <c r="I452">
        <f>'Participant reporting'!I679</f>
        <v>0</v>
      </c>
      <c r="J452">
        <f>'Participant reporting'!J679</f>
        <v>0</v>
      </c>
      <c r="K452">
        <f>'Participant reporting'!K679</f>
        <v>0</v>
      </c>
      <c r="L452">
        <f>'Participant reporting'!L679</f>
        <v>0</v>
      </c>
      <c r="M452">
        <f>'Participant reporting'!M679</f>
        <v>0</v>
      </c>
      <c r="N452">
        <f>'Participant reporting'!N679</f>
        <v>0</v>
      </c>
      <c r="O452">
        <f>'Participant reporting'!O679</f>
        <v>0</v>
      </c>
    </row>
    <row r="453" spans="1:15" x14ac:dyDescent="0.25">
      <c r="A453">
        <f>'Participant reporting'!A680</f>
        <v>0</v>
      </c>
      <c r="B453">
        <f>'Participant reporting'!B680</f>
        <v>0</v>
      </c>
      <c r="C453">
        <f>'Participant reporting'!C680</f>
        <v>0</v>
      </c>
      <c r="D453">
        <f>'Participant reporting'!D680</f>
        <v>0</v>
      </c>
      <c r="E453" s="15">
        <f>'Participant reporting'!E680</f>
        <v>0</v>
      </c>
      <c r="F453">
        <f>'Participant reporting'!F680</f>
        <v>0</v>
      </c>
      <c r="G453">
        <f>'Participant reporting'!G680</f>
        <v>0</v>
      </c>
      <c r="H453">
        <f>'Participant reporting'!H680</f>
        <v>0</v>
      </c>
      <c r="I453">
        <f>'Participant reporting'!I680</f>
        <v>0</v>
      </c>
      <c r="J453">
        <f>'Participant reporting'!J680</f>
        <v>0</v>
      </c>
      <c r="K453">
        <f>'Participant reporting'!K680</f>
        <v>0</v>
      </c>
      <c r="L453">
        <f>'Participant reporting'!L680</f>
        <v>0</v>
      </c>
      <c r="M453">
        <f>'Participant reporting'!M680</f>
        <v>0</v>
      </c>
      <c r="N453">
        <f>'Participant reporting'!N680</f>
        <v>0</v>
      </c>
      <c r="O453">
        <f>'Participant reporting'!O680</f>
        <v>0</v>
      </c>
    </row>
    <row r="454" spans="1:15" x14ac:dyDescent="0.25">
      <c r="A454">
        <f>'Participant reporting'!A681</f>
        <v>0</v>
      </c>
      <c r="B454">
        <f>'Participant reporting'!B681</f>
        <v>0</v>
      </c>
      <c r="C454">
        <f>'Participant reporting'!C681</f>
        <v>0</v>
      </c>
      <c r="D454">
        <f>'Participant reporting'!D681</f>
        <v>0</v>
      </c>
      <c r="E454" s="15">
        <f>'Participant reporting'!E681</f>
        <v>0</v>
      </c>
      <c r="F454">
        <f>'Participant reporting'!F681</f>
        <v>0</v>
      </c>
      <c r="G454">
        <f>'Participant reporting'!G681</f>
        <v>0</v>
      </c>
      <c r="H454">
        <f>'Participant reporting'!H681</f>
        <v>0</v>
      </c>
      <c r="I454">
        <f>'Participant reporting'!I681</f>
        <v>0</v>
      </c>
      <c r="J454">
        <f>'Participant reporting'!J681</f>
        <v>0</v>
      </c>
      <c r="K454">
        <f>'Participant reporting'!K681</f>
        <v>0</v>
      </c>
      <c r="L454">
        <f>'Participant reporting'!L681</f>
        <v>0</v>
      </c>
      <c r="M454">
        <f>'Participant reporting'!M681</f>
        <v>0</v>
      </c>
      <c r="N454">
        <f>'Participant reporting'!N681</f>
        <v>0</v>
      </c>
      <c r="O454">
        <f>'Participant reporting'!O681</f>
        <v>0</v>
      </c>
    </row>
    <row r="455" spans="1:15" x14ac:dyDescent="0.25">
      <c r="A455">
        <f>'Participant reporting'!A682</f>
        <v>0</v>
      </c>
      <c r="B455">
        <f>'Participant reporting'!B682</f>
        <v>0</v>
      </c>
      <c r="C455">
        <f>'Participant reporting'!C682</f>
        <v>0</v>
      </c>
      <c r="D455">
        <f>'Participant reporting'!D682</f>
        <v>0</v>
      </c>
      <c r="E455" s="15">
        <f>'Participant reporting'!E682</f>
        <v>0</v>
      </c>
      <c r="F455">
        <f>'Participant reporting'!F682</f>
        <v>0</v>
      </c>
      <c r="G455">
        <f>'Participant reporting'!G682</f>
        <v>0</v>
      </c>
      <c r="H455">
        <f>'Participant reporting'!H682</f>
        <v>0</v>
      </c>
      <c r="I455">
        <f>'Participant reporting'!I682</f>
        <v>0</v>
      </c>
      <c r="J455">
        <f>'Participant reporting'!J682</f>
        <v>0</v>
      </c>
      <c r="K455">
        <f>'Participant reporting'!K682</f>
        <v>0</v>
      </c>
      <c r="L455">
        <f>'Participant reporting'!L682</f>
        <v>0</v>
      </c>
      <c r="M455">
        <f>'Participant reporting'!M682</f>
        <v>0</v>
      </c>
      <c r="N455">
        <f>'Participant reporting'!N682</f>
        <v>0</v>
      </c>
      <c r="O455">
        <f>'Participant reporting'!O682</f>
        <v>0</v>
      </c>
    </row>
    <row r="456" spans="1:15" x14ac:dyDescent="0.25">
      <c r="A456">
        <f>'Participant reporting'!A683</f>
        <v>0</v>
      </c>
      <c r="B456">
        <f>'Participant reporting'!B683</f>
        <v>0</v>
      </c>
      <c r="C456">
        <f>'Participant reporting'!C683</f>
        <v>0</v>
      </c>
      <c r="D456">
        <f>'Participant reporting'!D683</f>
        <v>0</v>
      </c>
      <c r="E456" s="15">
        <f>'Participant reporting'!E683</f>
        <v>0</v>
      </c>
      <c r="F456">
        <f>'Participant reporting'!F683</f>
        <v>0</v>
      </c>
      <c r="G456">
        <f>'Participant reporting'!G683</f>
        <v>0</v>
      </c>
      <c r="H456">
        <f>'Participant reporting'!H683</f>
        <v>0</v>
      </c>
      <c r="I456">
        <f>'Participant reporting'!I683</f>
        <v>0</v>
      </c>
      <c r="J456">
        <f>'Participant reporting'!J683</f>
        <v>0</v>
      </c>
      <c r="K456">
        <f>'Participant reporting'!K683</f>
        <v>0</v>
      </c>
      <c r="L456">
        <f>'Participant reporting'!L683</f>
        <v>0</v>
      </c>
      <c r="M456">
        <f>'Participant reporting'!M683</f>
        <v>0</v>
      </c>
      <c r="N456">
        <f>'Participant reporting'!N683</f>
        <v>0</v>
      </c>
      <c r="O456">
        <f>'Participant reporting'!O683</f>
        <v>0</v>
      </c>
    </row>
    <row r="457" spans="1:15" x14ac:dyDescent="0.25">
      <c r="A457">
        <f>'Participant reporting'!A684</f>
        <v>0</v>
      </c>
      <c r="B457">
        <f>'Participant reporting'!B684</f>
        <v>0</v>
      </c>
      <c r="C457">
        <f>'Participant reporting'!C684</f>
        <v>0</v>
      </c>
      <c r="D457">
        <f>'Participant reporting'!D684</f>
        <v>0</v>
      </c>
      <c r="E457" s="15">
        <f>'Participant reporting'!E684</f>
        <v>0</v>
      </c>
      <c r="F457">
        <f>'Participant reporting'!F684</f>
        <v>0</v>
      </c>
      <c r="G457">
        <f>'Participant reporting'!G684</f>
        <v>0</v>
      </c>
      <c r="H457">
        <f>'Participant reporting'!H684</f>
        <v>0</v>
      </c>
      <c r="I457">
        <f>'Participant reporting'!I684</f>
        <v>0</v>
      </c>
      <c r="J457">
        <f>'Participant reporting'!J684</f>
        <v>0</v>
      </c>
      <c r="K457">
        <f>'Participant reporting'!K684</f>
        <v>0</v>
      </c>
      <c r="L457">
        <f>'Participant reporting'!L684</f>
        <v>0</v>
      </c>
      <c r="M457">
        <f>'Participant reporting'!M684</f>
        <v>0</v>
      </c>
      <c r="N457">
        <f>'Participant reporting'!N684</f>
        <v>0</v>
      </c>
      <c r="O457">
        <f>'Participant reporting'!O684</f>
        <v>0</v>
      </c>
    </row>
    <row r="458" spans="1:15" x14ac:dyDescent="0.25">
      <c r="A458">
        <f>'Participant reporting'!A685</f>
        <v>0</v>
      </c>
      <c r="B458">
        <f>'Participant reporting'!B685</f>
        <v>0</v>
      </c>
      <c r="C458">
        <f>'Participant reporting'!C685</f>
        <v>0</v>
      </c>
      <c r="D458">
        <f>'Participant reporting'!D685</f>
        <v>0</v>
      </c>
      <c r="E458" s="15">
        <f>'Participant reporting'!E685</f>
        <v>0</v>
      </c>
      <c r="F458">
        <f>'Participant reporting'!F685</f>
        <v>0</v>
      </c>
      <c r="G458">
        <f>'Participant reporting'!G685</f>
        <v>0</v>
      </c>
      <c r="H458">
        <f>'Participant reporting'!H685</f>
        <v>0</v>
      </c>
      <c r="I458">
        <f>'Participant reporting'!I685</f>
        <v>0</v>
      </c>
      <c r="J458">
        <f>'Participant reporting'!J685</f>
        <v>0</v>
      </c>
      <c r="K458">
        <f>'Participant reporting'!K685</f>
        <v>0</v>
      </c>
      <c r="L458">
        <f>'Participant reporting'!L685</f>
        <v>0</v>
      </c>
      <c r="M458">
        <f>'Participant reporting'!M685</f>
        <v>0</v>
      </c>
      <c r="N458">
        <f>'Participant reporting'!N685</f>
        <v>0</v>
      </c>
      <c r="O458">
        <f>'Participant reporting'!O685</f>
        <v>0</v>
      </c>
    </row>
    <row r="459" spans="1:15" x14ac:dyDescent="0.25">
      <c r="A459">
        <f>'Participant reporting'!A686</f>
        <v>0</v>
      </c>
      <c r="B459">
        <f>'Participant reporting'!B686</f>
        <v>0</v>
      </c>
      <c r="C459">
        <f>'Participant reporting'!C686</f>
        <v>0</v>
      </c>
      <c r="D459">
        <f>'Participant reporting'!D686</f>
        <v>0</v>
      </c>
      <c r="E459" s="15">
        <f>'Participant reporting'!E686</f>
        <v>0</v>
      </c>
      <c r="F459">
        <f>'Participant reporting'!F686</f>
        <v>0</v>
      </c>
      <c r="G459">
        <f>'Participant reporting'!G686</f>
        <v>0</v>
      </c>
      <c r="H459">
        <f>'Participant reporting'!H686</f>
        <v>0</v>
      </c>
      <c r="I459">
        <f>'Participant reporting'!I686</f>
        <v>0</v>
      </c>
      <c r="J459">
        <f>'Participant reporting'!J686</f>
        <v>0</v>
      </c>
      <c r="K459">
        <f>'Participant reporting'!K686</f>
        <v>0</v>
      </c>
      <c r="L459">
        <f>'Participant reporting'!L686</f>
        <v>0</v>
      </c>
      <c r="M459">
        <f>'Participant reporting'!M686</f>
        <v>0</v>
      </c>
      <c r="N459">
        <f>'Participant reporting'!N686</f>
        <v>0</v>
      </c>
      <c r="O459">
        <f>'Participant reporting'!O686</f>
        <v>0</v>
      </c>
    </row>
    <row r="460" spans="1:15" x14ac:dyDescent="0.25">
      <c r="A460">
        <f>'Participant reporting'!A687</f>
        <v>0</v>
      </c>
      <c r="B460">
        <f>'Participant reporting'!B687</f>
        <v>0</v>
      </c>
      <c r="C460">
        <f>'Participant reporting'!C687</f>
        <v>0</v>
      </c>
      <c r="D460">
        <f>'Participant reporting'!D687</f>
        <v>0</v>
      </c>
      <c r="E460" s="15">
        <f>'Participant reporting'!E687</f>
        <v>0</v>
      </c>
      <c r="F460">
        <f>'Participant reporting'!F687</f>
        <v>0</v>
      </c>
      <c r="G460">
        <f>'Participant reporting'!G687</f>
        <v>0</v>
      </c>
      <c r="H460">
        <f>'Participant reporting'!H687</f>
        <v>0</v>
      </c>
      <c r="I460">
        <f>'Participant reporting'!I687</f>
        <v>0</v>
      </c>
      <c r="J460">
        <f>'Participant reporting'!J687</f>
        <v>0</v>
      </c>
      <c r="K460">
        <f>'Participant reporting'!K687</f>
        <v>0</v>
      </c>
      <c r="L460">
        <f>'Participant reporting'!L687</f>
        <v>0</v>
      </c>
      <c r="M460">
        <f>'Participant reporting'!M687</f>
        <v>0</v>
      </c>
      <c r="N460">
        <f>'Participant reporting'!N687</f>
        <v>0</v>
      </c>
      <c r="O460">
        <f>'Participant reporting'!O687</f>
        <v>0</v>
      </c>
    </row>
    <row r="461" spans="1:15" x14ac:dyDescent="0.25">
      <c r="A461">
        <f>'Participant reporting'!A688</f>
        <v>0</v>
      </c>
      <c r="B461">
        <f>'Participant reporting'!B688</f>
        <v>0</v>
      </c>
      <c r="C461">
        <f>'Participant reporting'!C688</f>
        <v>0</v>
      </c>
      <c r="D461">
        <f>'Participant reporting'!D688</f>
        <v>0</v>
      </c>
      <c r="E461" s="15">
        <f>'Participant reporting'!E688</f>
        <v>0</v>
      </c>
      <c r="F461">
        <f>'Participant reporting'!F688</f>
        <v>0</v>
      </c>
      <c r="G461">
        <f>'Participant reporting'!G688</f>
        <v>0</v>
      </c>
      <c r="H461">
        <f>'Participant reporting'!H688</f>
        <v>0</v>
      </c>
      <c r="I461">
        <f>'Participant reporting'!I688</f>
        <v>0</v>
      </c>
      <c r="J461">
        <f>'Participant reporting'!J688</f>
        <v>0</v>
      </c>
      <c r="K461">
        <f>'Participant reporting'!K688</f>
        <v>0</v>
      </c>
      <c r="L461">
        <f>'Participant reporting'!L688</f>
        <v>0</v>
      </c>
      <c r="M461">
        <f>'Participant reporting'!M688</f>
        <v>0</v>
      </c>
      <c r="N461">
        <f>'Participant reporting'!N688</f>
        <v>0</v>
      </c>
      <c r="O461">
        <f>'Participant reporting'!O688</f>
        <v>0</v>
      </c>
    </row>
    <row r="462" spans="1:15" x14ac:dyDescent="0.25">
      <c r="A462">
        <f>'Participant reporting'!A689</f>
        <v>0</v>
      </c>
      <c r="B462">
        <f>'Participant reporting'!B689</f>
        <v>0</v>
      </c>
      <c r="C462">
        <f>'Participant reporting'!C689</f>
        <v>0</v>
      </c>
      <c r="D462">
        <f>'Participant reporting'!D689</f>
        <v>0</v>
      </c>
      <c r="E462" s="15">
        <f>'Participant reporting'!E689</f>
        <v>0</v>
      </c>
      <c r="F462">
        <f>'Participant reporting'!F689</f>
        <v>0</v>
      </c>
      <c r="G462">
        <f>'Participant reporting'!G689</f>
        <v>0</v>
      </c>
      <c r="H462">
        <f>'Participant reporting'!H689</f>
        <v>0</v>
      </c>
      <c r="I462">
        <f>'Participant reporting'!I689</f>
        <v>0</v>
      </c>
      <c r="J462">
        <f>'Participant reporting'!J689</f>
        <v>0</v>
      </c>
      <c r="K462">
        <f>'Participant reporting'!K689</f>
        <v>0</v>
      </c>
      <c r="L462">
        <f>'Participant reporting'!L689</f>
        <v>0</v>
      </c>
      <c r="M462">
        <f>'Participant reporting'!M689</f>
        <v>0</v>
      </c>
      <c r="N462">
        <f>'Participant reporting'!N689</f>
        <v>0</v>
      </c>
      <c r="O462">
        <f>'Participant reporting'!O689</f>
        <v>0</v>
      </c>
    </row>
    <row r="463" spans="1:15" x14ac:dyDescent="0.25">
      <c r="A463">
        <f>'Participant reporting'!A690</f>
        <v>0</v>
      </c>
      <c r="B463">
        <f>'Participant reporting'!B690</f>
        <v>0</v>
      </c>
      <c r="C463">
        <f>'Participant reporting'!C690</f>
        <v>0</v>
      </c>
      <c r="D463">
        <f>'Participant reporting'!D690</f>
        <v>0</v>
      </c>
      <c r="E463" s="15">
        <f>'Participant reporting'!E690</f>
        <v>0</v>
      </c>
      <c r="F463">
        <f>'Participant reporting'!F690</f>
        <v>0</v>
      </c>
      <c r="G463">
        <f>'Participant reporting'!G690</f>
        <v>0</v>
      </c>
      <c r="H463">
        <f>'Participant reporting'!H690</f>
        <v>0</v>
      </c>
      <c r="I463">
        <f>'Participant reporting'!I690</f>
        <v>0</v>
      </c>
      <c r="J463">
        <f>'Participant reporting'!J690</f>
        <v>0</v>
      </c>
      <c r="K463">
        <f>'Participant reporting'!K690</f>
        <v>0</v>
      </c>
      <c r="L463">
        <f>'Participant reporting'!L690</f>
        <v>0</v>
      </c>
      <c r="M463">
        <f>'Participant reporting'!M690</f>
        <v>0</v>
      </c>
      <c r="N463">
        <f>'Participant reporting'!N690</f>
        <v>0</v>
      </c>
      <c r="O463">
        <f>'Participant reporting'!O690</f>
        <v>0</v>
      </c>
    </row>
    <row r="464" spans="1:15" x14ac:dyDescent="0.25">
      <c r="A464">
        <f>'Participant reporting'!A691</f>
        <v>0</v>
      </c>
      <c r="B464">
        <f>'Participant reporting'!B691</f>
        <v>0</v>
      </c>
      <c r="C464">
        <f>'Participant reporting'!C691</f>
        <v>0</v>
      </c>
      <c r="D464">
        <f>'Participant reporting'!D691</f>
        <v>0</v>
      </c>
      <c r="E464" s="15">
        <f>'Participant reporting'!E691</f>
        <v>0</v>
      </c>
      <c r="F464">
        <f>'Participant reporting'!F691</f>
        <v>0</v>
      </c>
      <c r="G464">
        <f>'Participant reporting'!G691</f>
        <v>0</v>
      </c>
      <c r="H464">
        <f>'Participant reporting'!H691</f>
        <v>0</v>
      </c>
      <c r="I464">
        <f>'Participant reporting'!I691</f>
        <v>0</v>
      </c>
      <c r="J464">
        <f>'Participant reporting'!J691</f>
        <v>0</v>
      </c>
      <c r="K464">
        <f>'Participant reporting'!K691</f>
        <v>0</v>
      </c>
      <c r="L464">
        <f>'Participant reporting'!L691</f>
        <v>0</v>
      </c>
      <c r="M464">
        <f>'Participant reporting'!M691</f>
        <v>0</v>
      </c>
      <c r="N464">
        <f>'Participant reporting'!N691</f>
        <v>0</v>
      </c>
      <c r="O464">
        <f>'Participant reporting'!O691</f>
        <v>0</v>
      </c>
    </row>
    <row r="465" spans="1:15" x14ac:dyDescent="0.25">
      <c r="A465">
        <f>'Participant reporting'!A692</f>
        <v>0</v>
      </c>
      <c r="B465">
        <f>'Participant reporting'!B692</f>
        <v>0</v>
      </c>
      <c r="C465">
        <f>'Participant reporting'!C692</f>
        <v>0</v>
      </c>
      <c r="D465">
        <f>'Participant reporting'!D692</f>
        <v>0</v>
      </c>
      <c r="E465" s="15">
        <f>'Participant reporting'!E692</f>
        <v>0</v>
      </c>
      <c r="F465">
        <f>'Participant reporting'!F692</f>
        <v>0</v>
      </c>
      <c r="G465">
        <f>'Participant reporting'!G692</f>
        <v>0</v>
      </c>
      <c r="H465">
        <f>'Participant reporting'!H692</f>
        <v>0</v>
      </c>
      <c r="I465">
        <f>'Participant reporting'!I692</f>
        <v>0</v>
      </c>
      <c r="J465">
        <f>'Participant reporting'!J692</f>
        <v>0</v>
      </c>
      <c r="K465">
        <f>'Participant reporting'!K692</f>
        <v>0</v>
      </c>
      <c r="L465">
        <f>'Participant reporting'!L692</f>
        <v>0</v>
      </c>
      <c r="M465">
        <f>'Participant reporting'!M692</f>
        <v>0</v>
      </c>
      <c r="N465">
        <f>'Participant reporting'!N692</f>
        <v>0</v>
      </c>
      <c r="O465">
        <f>'Participant reporting'!O692</f>
        <v>0</v>
      </c>
    </row>
    <row r="466" spans="1:15" x14ac:dyDescent="0.25">
      <c r="A466">
        <f>'Participant reporting'!A693</f>
        <v>0</v>
      </c>
      <c r="B466">
        <f>'Participant reporting'!B693</f>
        <v>0</v>
      </c>
      <c r="C466">
        <f>'Participant reporting'!C693</f>
        <v>0</v>
      </c>
      <c r="D466">
        <f>'Participant reporting'!D693</f>
        <v>0</v>
      </c>
      <c r="E466" s="15">
        <f>'Participant reporting'!E693</f>
        <v>0</v>
      </c>
      <c r="F466">
        <f>'Participant reporting'!F693</f>
        <v>0</v>
      </c>
      <c r="G466">
        <f>'Participant reporting'!G693</f>
        <v>0</v>
      </c>
      <c r="H466">
        <f>'Participant reporting'!H693</f>
        <v>0</v>
      </c>
      <c r="I466">
        <f>'Participant reporting'!I693</f>
        <v>0</v>
      </c>
      <c r="J466">
        <f>'Participant reporting'!J693</f>
        <v>0</v>
      </c>
      <c r="K466">
        <f>'Participant reporting'!K693</f>
        <v>0</v>
      </c>
      <c r="L466">
        <f>'Participant reporting'!L693</f>
        <v>0</v>
      </c>
      <c r="M466">
        <f>'Participant reporting'!M693</f>
        <v>0</v>
      </c>
      <c r="N466">
        <f>'Participant reporting'!N693</f>
        <v>0</v>
      </c>
      <c r="O466">
        <f>'Participant reporting'!O693</f>
        <v>0</v>
      </c>
    </row>
    <row r="467" spans="1:15" x14ac:dyDescent="0.25">
      <c r="A467">
        <f>'Participant reporting'!A694</f>
        <v>0</v>
      </c>
      <c r="B467">
        <f>'Participant reporting'!B694</f>
        <v>0</v>
      </c>
      <c r="C467">
        <f>'Participant reporting'!C694</f>
        <v>0</v>
      </c>
      <c r="D467">
        <f>'Participant reporting'!D694</f>
        <v>0</v>
      </c>
      <c r="E467" s="15">
        <f>'Participant reporting'!E694</f>
        <v>0</v>
      </c>
      <c r="F467">
        <f>'Participant reporting'!F694</f>
        <v>0</v>
      </c>
      <c r="G467">
        <f>'Participant reporting'!G694</f>
        <v>0</v>
      </c>
      <c r="H467">
        <f>'Participant reporting'!H694</f>
        <v>0</v>
      </c>
      <c r="I467">
        <f>'Participant reporting'!I694</f>
        <v>0</v>
      </c>
      <c r="J467">
        <f>'Participant reporting'!J694</f>
        <v>0</v>
      </c>
      <c r="K467">
        <f>'Participant reporting'!K694</f>
        <v>0</v>
      </c>
      <c r="L467">
        <f>'Participant reporting'!L694</f>
        <v>0</v>
      </c>
      <c r="M467">
        <f>'Participant reporting'!M694</f>
        <v>0</v>
      </c>
      <c r="N467">
        <f>'Participant reporting'!N694</f>
        <v>0</v>
      </c>
      <c r="O467">
        <f>'Participant reporting'!O694</f>
        <v>0</v>
      </c>
    </row>
    <row r="468" spans="1:15" x14ac:dyDescent="0.25">
      <c r="A468">
        <f>'Participant reporting'!A695</f>
        <v>0</v>
      </c>
      <c r="B468">
        <f>'Participant reporting'!B695</f>
        <v>0</v>
      </c>
      <c r="C468">
        <f>'Participant reporting'!C695</f>
        <v>0</v>
      </c>
      <c r="D468">
        <f>'Participant reporting'!D695</f>
        <v>0</v>
      </c>
      <c r="E468" s="15">
        <f>'Participant reporting'!E695</f>
        <v>0</v>
      </c>
      <c r="F468">
        <f>'Participant reporting'!F695</f>
        <v>0</v>
      </c>
      <c r="G468">
        <f>'Participant reporting'!G695</f>
        <v>0</v>
      </c>
      <c r="H468">
        <f>'Participant reporting'!H695</f>
        <v>0</v>
      </c>
      <c r="I468">
        <f>'Participant reporting'!I695</f>
        <v>0</v>
      </c>
      <c r="J468">
        <f>'Participant reporting'!J695</f>
        <v>0</v>
      </c>
      <c r="K468">
        <f>'Participant reporting'!K695</f>
        <v>0</v>
      </c>
      <c r="L468">
        <f>'Participant reporting'!L695</f>
        <v>0</v>
      </c>
      <c r="M468">
        <f>'Participant reporting'!M695</f>
        <v>0</v>
      </c>
      <c r="N468">
        <f>'Participant reporting'!N695</f>
        <v>0</v>
      </c>
      <c r="O468">
        <f>'Participant reporting'!O695</f>
        <v>0</v>
      </c>
    </row>
    <row r="469" spans="1:15" x14ac:dyDescent="0.25">
      <c r="A469">
        <f>'Participant reporting'!A696</f>
        <v>0</v>
      </c>
      <c r="B469">
        <f>'Participant reporting'!B696</f>
        <v>0</v>
      </c>
      <c r="C469">
        <f>'Participant reporting'!C696</f>
        <v>0</v>
      </c>
      <c r="D469">
        <f>'Participant reporting'!D696</f>
        <v>0</v>
      </c>
      <c r="E469" s="15">
        <f>'Participant reporting'!E696</f>
        <v>0</v>
      </c>
      <c r="F469">
        <f>'Participant reporting'!F696</f>
        <v>0</v>
      </c>
      <c r="G469">
        <f>'Participant reporting'!G696</f>
        <v>0</v>
      </c>
      <c r="H469">
        <f>'Participant reporting'!H696</f>
        <v>0</v>
      </c>
      <c r="I469">
        <f>'Participant reporting'!I696</f>
        <v>0</v>
      </c>
      <c r="J469">
        <f>'Participant reporting'!J696</f>
        <v>0</v>
      </c>
      <c r="K469">
        <f>'Participant reporting'!K696</f>
        <v>0</v>
      </c>
      <c r="L469">
        <f>'Participant reporting'!L696</f>
        <v>0</v>
      </c>
      <c r="M469">
        <f>'Participant reporting'!M696</f>
        <v>0</v>
      </c>
      <c r="N469">
        <f>'Participant reporting'!N696</f>
        <v>0</v>
      </c>
      <c r="O469">
        <f>'Participant reporting'!O696</f>
        <v>0</v>
      </c>
    </row>
    <row r="470" spans="1:15" x14ac:dyDescent="0.25">
      <c r="A470">
        <f>'Participant reporting'!A697</f>
        <v>0</v>
      </c>
      <c r="B470">
        <f>'Participant reporting'!B697</f>
        <v>0</v>
      </c>
      <c r="C470">
        <f>'Participant reporting'!C697</f>
        <v>0</v>
      </c>
      <c r="D470">
        <f>'Participant reporting'!D697</f>
        <v>0</v>
      </c>
      <c r="E470" s="15">
        <f>'Participant reporting'!E697</f>
        <v>0</v>
      </c>
      <c r="F470">
        <f>'Participant reporting'!F697</f>
        <v>0</v>
      </c>
      <c r="G470">
        <f>'Participant reporting'!G697</f>
        <v>0</v>
      </c>
      <c r="H470">
        <f>'Participant reporting'!H697</f>
        <v>0</v>
      </c>
      <c r="I470">
        <f>'Participant reporting'!I697</f>
        <v>0</v>
      </c>
      <c r="J470">
        <f>'Participant reporting'!J697</f>
        <v>0</v>
      </c>
      <c r="K470">
        <f>'Participant reporting'!K697</f>
        <v>0</v>
      </c>
      <c r="L470">
        <f>'Participant reporting'!L697</f>
        <v>0</v>
      </c>
      <c r="M470">
        <f>'Participant reporting'!M697</f>
        <v>0</v>
      </c>
      <c r="N470">
        <f>'Participant reporting'!N697</f>
        <v>0</v>
      </c>
      <c r="O470">
        <f>'Participant reporting'!O697</f>
        <v>0</v>
      </c>
    </row>
    <row r="471" spans="1:15" x14ac:dyDescent="0.25">
      <c r="A471">
        <f>'Participant reporting'!A698</f>
        <v>0</v>
      </c>
      <c r="B471">
        <f>'Participant reporting'!B698</f>
        <v>0</v>
      </c>
      <c r="C471">
        <f>'Participant reporting'!C698</f>
        <v>0</v>
      </c>
      <c r="D471">
        <f>'Participant reporting'!D698</f>
        <v>0</v>
      </c>
      <c r="E471" s="15">
        <f>'Participant reporting'!E698</f>
        <v>0</v>
      </c>
      <c r="F471">
        <f>'Participant reporting'!F698</f>
        <v>0</v>
      </c>
      <c r="G471">
        <f>'Participant reporting'!G698</f>
        <v>0</v>
      </c>
      <c r="H471">
        <f>'Participant reporting'!H698</f>
        <v>0</v>
      </c>
      <c r="I471">
        <f>'Participant reporting'!I698</f>
        <v>0</v>
      </c>
      <c r="J471">
        <f>'Participant reporting'!J698</f>
        <v>0</v>
      </c>
      <c r="K471">
        <f>'Participant reporting'!K698</f>
        <v>0</v>
      </c>
      <c r="L471">
        <f>'Participant reporting'!L698</f>
        <v>0</v>
      </c>
      <c r="M471">
        <f>'Participant reporting'!M698</f>
        <v>0</v>
      </c>
      <c r="N471">
        <f>'Participant reporting'!N698</f>
        <v>0</v>
      </c>
      <c r="O471">
        <f>'Participant reporting'!O698</f>
        <v>0</v>
      </c>
    </row>
    <row r="472" spans="1:15" x14ac:dyDescent="0.25">
      <c r="A472">
        <f>'Participant reporting'!A699</f>
        <v>0</v>
      </c>
      <c r="B472">
        <f>'Participant reporting'!B699</f>
        <v>0</v>
      </c>
      <c r="C472">
        <f>'Participant reporting'!C699</f>
        <v>0</v>
      </c>
      <c r="D472">
        <f>'Participant reporting'!D699</f>
        <v>0</v>
      </c>
      <c r="E472" s="15">
        <f>'Participant reporting'!E699</f>
        <v>0</v>
      </c>
      <c r="F472">
        <f>'Participant reporting'!F699</f>
        <v>0</v>
      </c>
      <c r="G472">
        <f>'Participant reporting'!G699</f>
        <v>0</v>
      </c>
      <c r="H472">
        <f>'Participant reporting'!H699</f>
        <v>0</v>
      </c>
      <c r="I472">
        <f>'Participant reporting'!I699</f>
        <v>0</v>
      </c>
      <c r="J472">
        <f>'Participant reporting'!J699</f>
        <v>0</v>
      </c>
      <c r="K472">
        <f>'Participant reporting'!K699</f>
        <v>0</v>
      </c>
      <c r="L472">
        <f>'Participant reporting'!L699</f>
        <v>0</v>
      </c>
      <c r="M472">
        <f>'Participant reporting'!M699</f>
        <v>0</v>
      </c>
      <c r="N472">
        <f>'Participant reporting'!N699</f>
        <v>0</v>
      </c>
      <c r="O472">
        <f>'Participant reporting'!O699</f>
        <v>0</v>
      </c>
    </row>
    <row r="473" spans="1:15" x14ac:dyDescent="0.25">
      <c r="A473">
        <f>'Participant reporting'!A700</f>
        <v>0</v>
      </c>
      <c r="B473">
        <f>'Participant reporting'!B700</f>
        <v>0</v>
      </c>
      <c r="C473">
        <f>'Participant reporting'!C700</f>
        <v>0</v>
      </c>
      <c r="D473">
        <f>'Participant reporting'!D700</f>
        <v>0</v>
      </c>
      <c r="E473" s="15">
        <f>'Participant reporting'!E700</f>
        <v>0</v>
      </c>
      <c r="F473">
        <f>'Participant reporting'!F700</f>
        <v>0</v>
      </c>
      <c r="G473">
        <f>'Participant reporting'!G700</f>
        <v>0</v>
      </c>
      <c r="H473">
        <f>'Participant reporting'!H700</f>
        <v>0</v>
      </c>
      <c r="I473">
        <f>'Participant reporting'!I700</f>
        <v>0</v>
      </c>
      <c r="J473">
        <f>'Participant reporting'!J700</f>
        <v>0</v>
      </c>
      <c r="K473">
        <f>'Participant reporting'!K700</f>
        <v>0</v>
      </c>
      <c r="L473">
        <f>'Participant reporting'!L700</f>
        <v>0</v>
      </c>
      <c r="M473">
        <f>'Participant reporting'!M700</f>
        <v>0</v>
      </c>
      <c r="N473">
        <f>'Participant reporting'!N700</f>
        <v>0</v>
      </c>
      <c r="O473">
        <f>'Participant reporting'!O700</f>
        <v>0</v>
      </c>
    </row>
    <row r="474" spans="1:15" x14ac:dyDescent="0.25">
      <c r="A474">
        <f>'Participant reporting'!A701</f>
        <v>0</v>
      </c>
      <c r="B474">
        <f>'Participant reporting'!B701</f>
        <v>0</v>
      </c>
      <c r="C474">
        <f>'Participant reporting'!C701</f>
        <v>0</v>
      </c>
      <c r="D474">
        <f>'Participant reporting'!D701</f>
        <v>0</v>
      </c>
      <c r="E474" s="15">
        <f>'Participant reporting'!E701</f>
        <v>0</v>
      </c>
      <c r="F474">
        <f>'Participant reporting'!F701</f>
        <v>0</v>
      </c>
      <c r="G474">
        <f>'Participant reporting'!G701</f>
        <v>0</v>
      </c>
      <c r="H474">
        <f>'Participant reporting'!H701</f>
        <v>0</v>
      </c>
      <c r="I474">
        <f>'Participant reporting'!I701</f>
        <v>0</v>
      </c>
      <c r="J474">
        <f>'Participant reporting'!J701</f>
        <v>0</v>
      </c>
      <c r="K474">
        <f>'Participant reporting'!K701</f>
        <v>0</v>
      </c>
      <c r="L474">
        <f>'Participant reporting'!L701</f>
        <v>0</v>
      </c>
      <c r="M474">
        <f>'Participant reporting'!M701</f>
        <v>0</v>
      </c>
      <c r="N474">
        <f>'Participant reporting'!N701</f>
        <v>0</v>
      </c>
      <c r="O474">
        <f>'Participant reporting'!O701</f>
        <v>0</v>
      </c>
    </row>
    <row r="475" spans="1:15" x14ac:dyDescent="0.25">
      <c r="A475">
        <f>'Participant reporting'!A702</f>
        <v>0</v>
      </c>
      <c r="B475">
        <f>'Participant reporting'!B702</f>
        <v>0</v>
      </c>
      <c r="C475">
        <f>'Participant reporting'!C702</f>
        <v>0</v>
      </c>
      <c r="D475">
        <f>'Participant reporting'!D702</f>
        <v>0</v>
      </c>
      <c r="E475" s="15">
        <f>'Participant reporting'!E702</f>
        <v>0</v>
      </c>
      <c r="F475">
        <f>'Participant reporting'!F702</f>
        <v>0</v>
      </c>
      <c r="G475">
        <f>'Participant reporting'!G702</f>
        <v>0</v>
      </c>
      <c r="H475">
        <f>'Participant reporting'!H702</f>
        <v>0</v>
      </c>
      <c r="I475">
        <f>'Participant reporting'!I702</f>
        <v>0</v>
      </c>
      <c r="J475">
        <f>'Participant reporting'!J702</f>
        <v>0</v>
      </c>
      <c r="K475">
        <f>'Participant reporting'!K702</f>
        <v>0</v>
      </c>
      <c r="L475">
        <f>'Participant reporting'!L702</f>
        <v>0</v>
      </c>
      <c r="M475">
        <f>'Participant reporting'!M702</f>
        <v>0</v>
      </c>
      <c r="N475">
        <f>'Participant reporting'!N702</f>
        <v>0</v>
      </c>
      <c r="O475">
        <f>'Participant reporting'!O702</f>
        <v>0</v>
      </c>
    </row>
    <row r="476" spans="1:15" x14ac:dyDescent="0.25">
      <c r="A476">
        <f>'Participant reporting'!A703</f>
        <v>0</v>
      </c>
      <c r="B476">
        <f>'Participant reporting'!B703</f>
        <v>0</v>
      </c>
      <c r="C476">
        <f>'Participant reporting'!C703</f>
        <v>0</v>
      </c>
      <c r="D476">
        <f>'Participant reporting'!D703</f>
        <v>0</v>
      </c>
      <c r="E476" s="15">
        <f>'Participant reporting'!E703</f>
        <v>0</v>
      </c>
      <c r="F476">
        <f>'Participant reporting'!F703</f>
        <v>0</v>
      </c>
      <c r="G476">
        <f>'Participant reporting'!G703</f>
        <v>0</v>
      </c>
      <c r="H476">
        <f>'Participant reporting'!H703</f>
        <v>0</v>
      </c>
      <c r="I476">
        <f>'Participant reporting'!I703</f>
        <v>0</v>
      </c>
      <c r="J476">
        <f>'Participant reporting'!J703</f>
        <v>0</v>
      </c>
      <c r="K476">
        <f>'Participant reporting'!K703</f>
        <v>0</v>
      </c>
      <c r="L476">
        <f>'Participant reporting'!L703</f>
        <v>0</v>
      </c>
      <c r="M476">
        <f>'Participant reporting'!M703</f>
        <v>0</v>
      </c>
      <c r="N476">
        <f>'Participant reporting'!N703</f>
        <v>0</v>
      </c>
      <c r="O476">
        <f>'Participant reporting'!O703</f>
        <v>0</v>
      </c>
    </row>
    <row r="477" spans="1:15" x14ac:dyDescent="0.25">
      <c r="A477">
        <f>'Participant reporting'!A704</f>
        <v>0</v>
      </c>
      <c r="B477">
        <f>'Participant reporting'!B704</f>
        <v>0</v>
      </c>
      <c r="C477">
        <f>'Participant reporting'!C704</f>
        <v>0</v>
      </c>
      <c r="D477">
        <f>'Participant reporting'!D704</f>
        <v>0</v>
      </c>
      <c r="E477" s="15">
        <f>'Participant reporting'!E704</f>
        <v>0</v>
      </c>
      <c r="F477">
        <f>'Participant reporting'!F704</f>
        <v>0</v>
      </c>
      <c r="G477">
        <f>'Participant reporting'!G704</f>
        <v>0</v>
      </c>
      <c r="H477">
        <f>'Participant reporting'!H704</f>
        <v>0</v>
      </c>
      <c r="I477">
        <f>'Participant reporting'!I704</f>
        <v>0</v>
      </c>
      <c r="J477">
        <f>'Participant reporting'!J704</f>
        <v>0</v>
      </c>
      <c r="K477">
        <f>'Participant reporting'!K704</f>
        <v>0</v>
      </c>
      <c r="L477">
        <f>'Participant reporting'!L704</f>
        <v>0</v>
      </c>
      <c r="M477">
        <f>'Participant reporting'!M704</f>
        <v>0</v>
      </c>
      <c r="N477">
        <f>'Participant reporting'!N704</f>
        <v>0</v>
      </c>
      <c r="O477">
        <f>'Participant reporting'!O704</f>
        <v>0</v>
      </c>
    </row>
    <row r="478" spans="1:15" x14ac:dyDescent="0.25">
      <c r="A478">
        <f>'Participant reporting'!A705</f>
        <v>0</v>
      </c>
      <c r="B478">
        <f>'Participant reporting'!B705</f>
        <v>0</v>
      </c>
      <c r="C478">
        <f>'Participant reporting'!C705</f>
        <v>0</v>
      </c>
      <c r="D478">
        <f>'Participant reporting'!D705</f>
        <v>0</v>
      </c>
      <c r="E478" s="15">
        <f>'Participant reporting'!E705</f>
        <v>0</v>
      </c>
      <c r="F478">
        <f>'Participant reporting'!F705</f>
        <v>0</v>
      </c>
      <c r="G478">
        <f>'Participant reporting'!G705</f>
        <v>0</v>
      </c>
      <c r="H478">
        <f>'Participant reporting'!H705</f>
        <v>0</v>
      </c>
      <c r="I478">
        <f>'Participant reporting'!I705</f>
        <v>0</v>
      </c>
      <c r="J478">
        <f>'Participant reporting'!J705</f>
        <v>0</v>
      </c>
      <c r="K478">
        <f>'Participant reporting'!K705</f>
        <v>0</v>
      </c>
      <c r="L478">
        <f>'Participant reporting'!L705</f>
        <v>0</v>
      </c>
      <c r="M478">
        <f>'Participant reporting'!M705</f>
        <v>0</v>
      </c>
      <c r="N478">
        <f>'Participant reporting'!N705</f>
        <v>0</v>
      </c>
      <c r="O478">
        <f>'Participant reporting'!O705</f>
        <v>0</v>
      </c>
    </row>
    <row r="479" spans="1:15" x14ac:dyDescent="0.25">
      <c r="A479">
        <f>'Participant reporting'!A706</f>
        <v>0</v>
      </c>
      <c r="B479">
        <f>'Participant reporting'!B706</f>
        <v>0</v>
      </c>
      <c r="C479">
        <f>'Participant reporting'!C706</f>
        <v>0</v>
      </c>
      <c r="D479">
        <f>'Participant reporting'!D706</f>
        <v>0</v>
      </c>
      <c r="E479" s="15">
        <f>'Participant reporting'!E706</f>
        <v>0</v>
      </c>
      <c r="F479">
        <f>'Participant reporting'!F706</f>
        <v>0</v>
      </c>
      <c r="G479">
        <f>'Participant reporting'!G706</f>
        <v>0</v>
      </c>
      <c r="H479">
        <f>'Participant reporting'!H706</f>
        <v>0</v>
      </c>
      <c r="I479">
        <f>'Participant reporting'!I706</f>
        <v>0</v>
      </c>
      <c r="J479">
        <f>'Participant reporting'!J706</f>
        <v>0</v>
      </c>
      <c r="K479">
        <f>'Participant reporting'!K706</f>
        <v>0</v>
      </c>
      <c r="L479">
        <f>'Participant reporting'!L706</f>
        <v>0</v>
      </c>
      <c r="M479">
        <f>'Participant reporting'!M706</f>
        <v>0</v>
      </c>
      <c r="N479">
        <f>'Participant reporting'!N706</f>
        <v>0</v>
      </c>
      <c r="O479">
        <f>'Participant reporting'!O706</f>
        <v>0</v>
      </c>
    </row>
    <row r="480" spans="1:15" x14ac:dyDescent="0.25">
      <c r="A480">
        <f>'Participant reporting'!A707</f>
        <v>0</v>
      </c>
      <c r="B480">
        <f>'Participant reporting'!B707</f>
        <v>0</v>
      </c>
      <c r="C480">
        <f>'Participant reporting'!C707</f>
        <v>0</v>
      </c>
      <c r="D480">
        <f>'Participant reporting'!D707</f>
        <v>0</v>
      </c>
      <c r="E480" s="15">
        <f>'Participant reporting'!E707</f>
        <v>0</v>
      </c>
      <c r="F480">
        <f>'Participant reporting'!F707</f>
        <v>0</v>
      </c>
      <c r="G480">
        <f>'Participant reporting'!G707</f>
        <v>0</v>
      </c>
      <c r="H480">
        <f>'Participant reporting'!H707</f>
        <v>0</v>
      </c>
      <c r="I480">
        <f>'Participant reporting'!I707</f>
        <v>0</v>
      </c>
      <c r="J480">
        <f>'Participant reporting'!J707</f>
        <v>0</v>
      </c>
      <c r="K480">
        <f>'Participant reporting'!K707</f>
        <v>0</v>
      </c>
      <c r="L480">
        <f>'Participant reporting'!L707</f>
        <v>0</v>
      </c>
      <c r="M480">
        <f>'Participant reporting'!M707</f>
        <v>0</v>
      </c>
      <c r="N480">
        <f>'Participant reporting'!N707</f>
        <v>0</v>
      </c>
      <c r="O480">
        <f>'Participant reporting'!O707</f>
        <v>0</v>
      </c>
    </row>
    <row r="481" spans="1:15" x14ac:dyDescent="0.25">
      <c r="A481">
        <f>'Participant reporting'!A708</f>
        <v>0</v>
      </c>
      <c r="B481">
        <f>'Participant reporting'!B708</f>
        <v>0</v>
      </c>
      <c r="C481">
        <f>'Participant reporting'!C708</f>
        <v>0</v>
      </c>
      <c r="D481">
        <f>'Participant reporting'!D708</f>
        <v>0</v>
      </c>
      <c r="E481" s="15">
        <f>'Participant reporting'!E708</f>
        <v>0</v>
      </c>
      <c r="F481">
        <f>'Participant reporting'!F708</f>
        <v>0</v>
      </c>
      <c r="G481">
        <f>'Participant reporting'!G708</f>
        <v>0</v>
      </c>
      <c r="H481">
        <f>'Participant reporting'!H708</f>
        <v>0</v>
      </c>
      <c r="I481">
        <f>'Participant reporting'!I708</f>
        <v>0</v>
      </c>
      <c r="J481">
        <f>'Participant reporting'!J708</f>
        <v>0</v>
      </c>
      <c r="K481">
        <f>'Participant reporting'!K708</f>
        <v>0</v>
      </c>
      <c r="L481">
        <f>'Participant reporting'!L708</f>
        <v>0</v>
      </c>
      <c r="M481">
        <f>'Participant reporting'!M708</f>
        <v>0</v>
      </c>
      <c r="N481">
        <f>'Participant reporting'!N708</f>
        <v>0</v>
      </c>
      <c r="O481">
        <f>'Participant reporting'!O708</f>
        <v>0</v>
      </c>
    </row>
    <row r="482" spans="1:15" x14ac:dyDescent="0.25">
      <c r="A482">
        <f>'Participant reporting'!A709</f>
        <v>0</v>
      </c>
      <c r="B482">
        <f>'Participant reporting'!B709</f>
        <v>0</v>
      </c>
      <c r="C482">
        <f>'Participant reporting'!C709</f>
        <v>0</v>
      </c>
      <c r="D482">
        <f>'Participant reporting'!D709</f>
        <v>0</v>
      </c>
      <c r="E482" s="15">
        <f>'Participant reporting'!E709</f>
        <v>0</v>
      </c>
      <c r="F482">
        <f>'Participant reporting'!F709</f>
        <v>0</v>
      </c>
      <c r="G482">
        <f>'Participant reporting'!G709</f>
        <v>0</v>
      </c>
      <c r="H482">
        <f>'Participant reporting'!H709</f>
        <v>0</v>
      </c>
      <c r="I482">
        <f>'Participant reporting'!I709</f>
        <v>0</v>
      </c>
      <c r="J482">
        <f>'Participant reporting'!J709</f>
        <v>0</v>
      </c>
      <c r="K482">
        <f>'Participant reporting'!K709</f>
        <v>0</v>
      </c>
      <c r="L482">
        <f>'Participant reporting'!L709</f>
        <v>0</v>
      </c>
      <c r="M482">
        <f>'Participant reporting'!M709</f>
        <v>0</v>
      </c>
      <c r="N482">
        <f>'Participant reporting'!N709</f>
        <v>0</v>
      </c>
      <c r="O482">
        <f>'Participant reporting'!O709</f>
        <v>0</v>
      </c>
    </row>
    <row r="483" spans="1:15" x14ac:dyDescent="0.25">
      <c r="A483">
        <f>'Participant reporting'!A710</f>
        <v>0</v>
      </c>
      <c r="B483">
        <f>'Participant reporting'!B710</f>
        <v>0</v>
      </c>
      <c r="C483">
        <f>'Participant reporting'!C710</f>
        <v>0</v>
      </c>
      <c r="D483">
        <f>'Participant reporting'!D710</f>
        <v>0</v>
      </c>
      <c r="E483" s="15">
        <f>'Participant reporting'!E710</f>
        <v>0</v>
      </c>
      <c r="F483">
        <f>'Participant reporting'!F710</f>
        <v>0</v>
      </c>
      <c r="G483">
        <f>'Participant reporting'!G710</f>
        <v>0</v>
      </c>
      <c r="H483">
        <f>'Participant reporting'!H710</f>
        <v>0</v>
      </c>
      <c r="I483">
        <f>'Participant reporting'!I710</f>
        <v>0</v>
      </c>
      <c r="J483">
        <f>'Participant reporting'!J710</f>
        <v>0</v>
      </c>
      <c r="K483">
        <f>'Participant reporting'!K710</f>
        <v>0</v>
      </c>
      <c r="L483">
        <f>'Participant reporting'!L710</f>
        <v>0</v>
      </c>
      <c r="M483">
        <f>'Participant reporting'!M710</f>
        <v>0</v>
      </c>
      <c r="N483">
        <f>'Participant reporting'!N710</f>
        <v>0</v>
      </c>
      <c r="O483">
        <f>'Participant reporting'!O710</f>
        <v>0</v>
      </c>
    </row>
    <row r="484" spans="1:15" x14ac:dyDescent="0.25">
      <c r="A484">
        <f>'Participant reporting'!A711</f>
        <v>0</v>
      </c>
      <c r="B484">
        <f>'Participant reporting'!B711</f>
        <v>0</v>
      </c>
      <c r="C484">
        <f>'Participant reporting'!C711</f>
        <v>0</v>
      </c>
      <c r="D484">
        <f>'Participant reporting'!D711</f>
        <v>0</v>
      </c>
      <c r="E484" s="15">
        <f>'Participant reporting'!E711</f>
        <v>0</v>
      </c>
      <c r="F484">
        <f>'Participant reporting'!F711</f>
        <v>0</v>
      </c>
      <c r="G484">
        <f>'Participant reporting'!G711</f>
        <v>0</v>
      </c>
      <c r="H484">
        <f>'Participant reporting'!H711</f>
        <v>0</v>
      </c>
      <c r="I484">
        <f>'Participant reporting'!I711</f>
        <v>0</v>
      </c>
      <c r="J484">
        <f>'Participant reporting'!J711</f>
        <v>0</v>
      </c>
      <c r="K484">
        <f>'Participant reporting'!K711</f>
        <v>0</v>
      </c>
      <c r="L484">
        <f>'Participant reporting'!L711</f>
        <v>0</v>
      </c>
      <c r="M484">
        <f>'Participant reporting'!M711</f>
        <v>0</v>
      </c>
      <c r="N484">
        <f>'Participant reporting'!N711</f>
        <v>0</v>
      </c>
      <c r="O484">
        <f>'Participant reporting'!O711</f>
        <v>0</v>
      </c>
    </row>
    <row r="485" spans="1:15" x14ac:dyDescent="0.25">
      <c r="A485">
        <f>'Participant reporting'!A712</f>
        <v>0</v>
      </c>
      <c r="B485">
        <f>'Participant reporting'!B712</f>
        <v>0</v>
      </c>
      <c r="C485">
        <f>'Participant reporting'!C712</f>
        <v>0</v>
      </c>
      <c r="D485">
        <f>'Participant reporting'!D712</f>
        <v>0</v>
      </c>
      <c r="E485" s="15">
        <f>'Participant reporting'!E712</f>
        <v>0</v>
      </c>
      <c r="F485">
        <f>'Participant reporting'!F712</f>
        <v>0</v>
      </c>
      <c r="G485">
        <f>'Participant reporting'!G712</f>
        <v>0</v>
      </c>
      <c r="H485">
        <f>'Participant reporting'!H712</f>
        <v>0</v>
      </c>
      <c r="I485">
        <f>'Participant reporting'!I712</f>
        <v>0</v>
      </c>
      <c r="J485">
        <f>'Participant reporting'!J712</f>
        <v>0</v>
      </c>
      <c r="K485">
        <f>'Participant reporting'!K712</f>
        <v>0</v>
      </c>
      <c r="L485">
        <f>'Participant reporting'!L712</f>
        <v>0</v>
      </c>
      <c r="M485">
        <f>'Participant reporting'!M712</f>
        <v>0</v>
      </c>
      <c r="N485">
        <f>'Participant reporting'!N712</f>
        <v>0</v>
      </c>
      <c r="O485">
        <f>'Participant reporting'!O712</f>
        <v>0</v>
      </c>
    </row>
    <row r="486" spans="1:15" x14ac:dyDescent="0.25">
      <c r="A486">
        <f>'Participant reporting'!A713</f>
        <v>0</v>
      </c>
      <c r="B486">
        <f>'Participant reporting'!B713</f>
        <v>0</v>
      </c>
      <c r="C486">
        <f>'Participant reporting'!C713</f>
        <v>0</v>
      </c>
      <c r="D486">
        <f>'Participant reporting'!D713</f>
        <v>0</v>
      </c>
      <c r="E486" s="15">
        <f>'Participant reporting'!E713</f>
        <v>0</v>
      </c>
      <c r="F486">
        <f>'Participant reporting'!F713</f>
        <v>0</v>
      </c>
      <c r="G486">
        <f>'Participant reporting'!G713</f>
        <v>0</v>
      </c>
      <c r="H486">
        <f>'Participant reporting'!H713</f>
        <v>0</v>
      </c>
      <c r="I486">
        <f>'Participant reporting'!I713</f>
        <v>0</v>
      </c>
      <c r="J486">
        <f>'Participant reporting'!J713</f>
        <v>0</v>
      </c>
      <c r="K486">
        <f>'Participant reporting'!K713</f>
        <v>0</v>
      </c>
      <c r="L486">
        <f>'Participant reporting'!L713</f>
        <v>0</v>
      </c>
      <c r="M486">
        <f>'Participant reporting'!M713</f>
        <v>0</v>
      </c>
      <c r="N486">
        <f>'Participant reporting'!N713</f>
        <v>0</v>
      </c>
      <c r="O486">
        <f>'Participant reporting'!O713</f>
        <v>0</v>
      </c>
    </row>
    <row r="487" spans="1:15" x14ac:dyDescent="0.25">
      <c r="A487">
        <f>'Participant reporting'!A714</f>
        <v>0</v>
      </c>
      <c r="B487">
        <f>'Participant reporting'!B714</f>
        <v>0</v>
      </c>
      <c r="C487">
        <f>'Participant reporting'!C714</f>
        <v>0</v>
      </c>
      <c r="D487">
        <f>'Participant reporting'!D714</f>
        <v>0</v>
      </c>
      <c r="E487" s="15">
        <f>'Participant reporting'!E714</f>
        <v>0</v>
      </c>
      <c r="F487">
        <f>'Participant reporting'!F714</f>
        <v>0</v>
      </c>
      <c r="G487">
        <f>'Participant reporting'!G714</f>
        <v>0</v>
      </c>
      <c r="H487">
        <f>'Participant reporting'!H714</f>
        <v>0</v>
      </c>
      <c r="I487">
        <f>'Participant reporting'!I714</f>
        <v>0</v>
      </c>
      <c r="J487">
        <f>'Participant reporting'!J714</f>
        <v>0</v>
      </c>
      <c r="K487">
        <f>'Participant reporting'!K714</f>
        <v>0</v>
      </c>
      <c r="L487">
        <f>'Participant reporting'!L714</f>
        <v>0</v>
      </c>
      <c r="M487">
        <f>'Participant reporting'!M714</f>
        <v>0</v>
      </c>
      <c r="N487">
        <f>'Participant reporting'!N714</f>
        <v>0</v>
      </c>
      <c r="O487">
        <f>'Participant reporting'!O714</f>
        <v>0</v>
      </c>
    </row>
    <row r="488" spans="1:15" x14ac:dyDescent="0.25">
      <c r="A488">
        <f>'Participant reporting'!A715</f>
        <v>0</v>
      </c>
      <c r="B488">
        <f>'Participant reporting'!B715</f>
        <v>0</v>
      </c>
      <c r="C488">
        <f>'Participant reporting'!C715</f>
        <v>0</v>
      </c>
      <c r="D488">
        <f>'Participant reporting'!D715</f>
        <v>0</v>
      </c>
      <c r="E488" s="15">
        <f>'Participant reporting'!E715</f>
        <v>0</v>
      </c>
      <c r="F488">
        <f>'Participant reporting'!F715</f>
        <v>0</v>
      </c>
      <c r="G488">
        <f>'Participant reporting'!G715</f>
        <v>0</v>
      </c>
      <c r="H488">
        <f>'Participant reporting'!H715</f>
        <v>0</v>
      </c>
      <c r="I488">
        <f>'Participant reporting'!I715</f>
        <v>0</v>
      </c>
      <c r="J488">
        <f>'Participant reporting'!J715</f>
        <v>0</v>
      </c>
      <c r="K488">
        <f>'Participant reporting'!K715</f>
        <v>0</v>
      </c>
      <c r="L488">
        <f>'Participant reporting'!L715</f>
        <v>0</v>
      </c>
      <c r="M488">
        <f>'Participant reporting'!M715</f>
        <v>0</v>
      </c>
      <c r="N488">
        <f>'Participant reporting'!N715</f>
        <v>0</v>
      </c>
      <c r="O488">
        <f>'Participant reporting'!O715</f>
        <v>0</v>
      </c>
    </row>
    <row r="489" spans="1:15" x14ac:dyDescent="0.25">
      <c r="A489">
        <f>'Participant reporting'!A716</f>
        <v>0</v>
      </c>
      <c r="B489">
        <f>'Participant reporting'!B716</f>
        <v>0</v>
      </c>
      <c r="C489">
        <f>'Participant reporting'!C716</f>
        <v>0</v>
      </c>
      <c r="D489">
        <f>'Participant reporting'!D716</f>
        <v>0</v>
      </c>
      <c r="E489" s="15">
        <f>'Participant reporting'!E716</f>
        <v>0</v>
      </c>
      <c r="F489">
        <f>'Participant reporting'!F716</f>
        <v>0</v>
      </c>
      <c r="G489">
        <f>'Participant reporting'!G716</f>
        <v>0</v>
      </c>
      <c r="H489">
        <f>'Participant reporting'!H716</f>
        <v>0</v>
      </c>
      <c r="I489">
        <f>'Participant reporting'!I716</f>
        <v>0</v>
      </c>
      <c r="J489">
        <f>'Participant reporting'!J716</f>
        <v>0</v>
      </c>
      <c r="K489">
        <f>'Participant reporting'!K716</f>
        <v>0</v>
      </c>
      <c r="L489">
        <f>'Participant reporting'!L716</f>
        <v>0</v>
      </c>
      <c r="M489">
        <f>'Participant reporting'!M716</f>
        <v>0</v>
      </c>
      <c r="N489">
        <f>'Participant reporting'!N716</f>
        <v>0</v>
      </c>
      <c r="O489">
        <f>'Participant reporting'!O716</f>
        <v>0</v>
      </c>
    </row>
    <row r="490" spans="1:15" x14ac:dyDescent="0.25">
      <c r="A490">
        <f>'Participant reporting'!A717</f>
        <v>0</v>
      </c>
      <c r="B490">
        <f>'Participant reporting'!B717</f>
        <v>0</v>
      </c>
      <c r="C490">
        <f>'Participant reporting'!C717</f>
        <v>0</v>
      </c>
      <c r="D490">
        <f>'Participant reporting'!D717</f>
        <v>0</v>
      </c>
      <c r="E490" s="15">
        <f>'Participant reporting'!E717</f>
        <v>0</v>
      </c>
      <c r="F490">
        <f>'Participant reporting'!F717</f>
        <v>0</v>
      </c>
      <c r="G490">
        <f>'Participant reporting'!G717</f>
        <v>0</v>
      </c>
      <c r="H490">
        <f>'Participant reporting'!H717</f>
        <v>0</v>
      </c>
      <c r="I490">
        <f>'Participant reporting'!I717</f>
        <v>0</v>
      </c>
      <c r="J490">
        <f>'Participant reporting'!J717</f>
        <v>0</v>
      </c>
      <c r="K490">
        <f>'Participant reporting'!K717</f>
        <v>0</v>
      </c>
      <c r="L490">
        <f>'Participant reporting'!L717</f>
        <v>0</v>
      </c>
      <c r="M490">
        <f>'Participant reporting'!M717</f>
        <v>0</v>
      </c>
      <c r="N490">
        <f>'Participant reporting'!N717</f>
        <v>0</v>
      </c>
      <c r="O490">
        <f>'Participant reporting'!O717</f>
        <v>0</v>
      </c>
    </row>
    <row r="491" spans="1:15" x14ac:dyDescent="0.25">
      <c r="A491">
        <f>'Participant reporting'!A718</f>
        <v>0</v>
      </c>
      <c r="B491">
        <f>'Participant reporting'!B718</f>
        <v>0</v>
      </c>
      <c r="C491">
        <f>'Participant reporting'!C718</f>
        <v>0</v>
      </c>
      <c r="D491">
        <f>'Participant reporting'!D718</f>
        <v>0</v>
      </c>
      <c r="E491" s="15">
        <f>'Participant reporting'!E718</f>
        <v>0</v>
      </c>
      <c r="F491">
        <f>'Participant reporting'!F718</f>
        <v>0</v>
      </c>
      <c r="G491">
        <f>'Participant reporting'!G718</f>
        <v>0</v>
      </c>
      <c r="H491">
        <f>'Participant reporting'!H718</f>
        <v>0</v>
      </c>
      <c r="I491">
        <f>'Participant reporting'!I718</f>
        <v>0</v>
      </c>
      <c r="J491">
        <f>'Participant reporting'!J718</f>
        <v>0</v>
      </c>
      <c r="K491">
        <f>'Participant reporting'!K718</f>
        <v>0</v>
      </c>
      <c r="L491">
        <f>'Participant reporting'!L718</f>
        <v>0</v>
      </c>
      <c r="M491">
        <f>'Participant reporting'!M718</f>
        <v>0</v>
      </c>
      <c r="N491">
        <f>'Participant reporting'!N718</f>
        <v>0</v>
      </c>
      <c r="O491">
        <f>'Participant reporting'!O718</f>
        <v>0</v>
      </c>
    </row>
    <row r="492" spans="1:15" x14ac:dyDescent="0.25">
      <c r="A492">
        <f>'Participant reporting'!A719</f>
        <v>0</v>
      </c>
      <c r="B492">
        <f>'Participant reporting'!B719</f>
        <v>0</v>
      </c>
      <c r="C492">
        <f>'Participant reporting'!C719</f>
        <v>0</v>
      </c>
      <c r="D492">
        <f>'Participant reporting'!D719</f>
        <v>0</v>
      </c>
      <c r="E492" s="15">
        <f>'Participant reporting'!E719</f>
        <v>0</v>
      </c>
      <c r="F492">
        <f>'Participant reporting'!F719</f>
        <v>0</v>
      </c>
      <c r="G492">
        <f>'Participant reporting'!G719</f>
        <v>0</v>
      </c>
      <c r="H492">
        <f>'Participant reporting'!H719</f>
        <v>0</v>
      </c>
      <c r="I492">
        <f>'Participant reporting'!I719</f>
        <v>0</v>
      </c>
      <c r="J492">
        <f>'Participant reporting'!J719</f>
        <v>0</v>
      </c>
      <c r="K492">
        <f>'Participant reporting'!K719</f>
        <v>0</v>
      </c>
      <c r="L492">
        <f>'Participant reporting'!L719</f>
        <v>0</v>
      </c>
      <c r="M492">
        <f>'Participant reporting'!M719</f>
        <v>0</v>
      </c>
      <c r="N492">
        <f>'Participant reporting'!N719</f>
        <v>0</v>
      </c>
      <c r="O492">
        <f>'Participant reporting'!O719</f>
        <v>0</v>
      </c>
    </row>
    <row r="493" spans="1:15" x14ac:dyDescent="0.25">
      <c r="A493">
        <f>'Participant reporting'!A720</f>
        <v>0</v>
      </c>
      <c r="B493">
        <f>'Participant reporting'!B720</f>
        <v>0</v>
      </c>
      <c r="C493">
        <f>'Participant reporting'!C720</f>
        <v>0</v>
      </c>
      <c r="D493">
        <f>'Participant reporting'!D720</f>
        <v>0</v>
      </c>
      <c r="E493" s="15">
        <f>'Participant reporting'!E720</f>
        <v>0</v>
      </c>
      <c r="F493">
        <f>'Participant reporting'!F720</f>
        <v>0</v>
      </c>
      <c r="G493">
        <f>'Participant reporting'!G720</f>
        <v>0</v>
      </c>
      <c r="H493">
        <f>'Participant reporting'!H720</f>
        <v>0</v>
      </c>
      <c r="I493">
        <f>'Participant reporting'!I720</f>
        <v>0</v>
      </c>
      <c r="J493">
        <f>'Participant reporting'!J720</f>
        <v>0</v>
      </c>
      <c r="K493">
        <f>'Participant reporting'!K720</f>
        <v>0</v>
      </c>
      <c r="L493">
        <f>'Participant reporting'!L720</f>
        <v>0</v>
      </c>
      <c r="M493">
        <f>'Participant reporting'!M720</f>
        <v>0</v>
      </c>
      <c r="N493">
        <f>'Participant reporting'!N720</f>
        <v>0</v>
      </c>
      <c r="O493">
        <f>'Participant reporting'!O720</f>
        <v>0</v>
      </c>
    </row>
    <row r="494" spans="1:15" x14ac:dyDescent="0.25">
      <c r="A494">
        <f>'Participant reporting'!A721</f>
        <v>0</v>
      </c>
      <c r="B494">
        <f>'Participant reporting'!B721</f>
        <v>0</v>
      </c>
      <c r="C494">
        <f>'Participant reporting'!C721</f>
        <v>0</v>
      </c>
      <c r="D494">
        <f>'Participant reporting'!D721</f>
        <v>0</v>
      </c>
      <c r="E494" s="15">
        <f>'Participant reporting'!E721</f>
        <v>0</v>
      </c>
      <c r="F494">
        <f>'Participant reporting'!F721</f>
        <v>0</v>
      </c>
      <c r="G494">
        <f>'Participant reporting'!G721</f>
        <v>0</v>
      </c>
      <c r="H494">
        <f>'Participant reporting'!H721</f>
        <v>0</v>
      </c>
      <c r="I494">
        <f>'Participant reporting'!I721</f>
        <v>0</v>
      </c>
      <c r="J494">
        <f>'Participant reporting'!J721</f>
        <v>0</v>
      </c>
      <c r="K494">
        <f>'Participant reporting'!K721</f>
        <v>0</v>
      </c>
      <c r="L494">
        <f>'Participant reporting'!L721</f>
        <v>0</v>
      </c>
      <c r="M494">
        <f>'Participant reporting'!M721</f>
        <v>0</v>
      </c>
      <c r="N494">
        <f>'Participant reporting'!N721</f>
        <v>0</v>
      </c>
      <c r="O494">
        <f>'Participant reporting'!O721</f>
        <v>0</v>
      </c>
    </row>
    <row r="495" spans="1:15" x14ac:dyDescent="0.25">
      <c r="A495">
        <f>'Participant reporting'!A722</f>
        <v>0</v>
      </c>
      <c r="B495">
        <f>'Participant reporting'!B722</f>
        <v>0</v>
      </c>
      <c r="C495">
        <f>'Participant reporting'!C722</f>
        <v>0</v>
      </c>
      <c r="D495">
        <f>'Participant reporting'!D722</f>
        <v>0</v>
      </c>
      <c r="E495" s="15">
        <f>'Participant reporting'!E722</f>
        <v>0</v>
      </c>
      <c r="F495">
        <f>'Participant reporting'!F722</f>
        <v>0</v>
      </c>
      <c r="G495">
        <f>'Participant reporting'!G722</f>
        <v>0</v>
      </c>
      <c r="H495">
        <f>'Participant reporting'!H722</f>
        <v>0</v>
      </c>
      <c r="I495">
        <f>'Participant reporting'!I722</f>
        <v>0</v>
      </c>
      <c r="J495">
        <f>'Participant reporting'!J722</f>
        <v>0</v>
      </c>
      <c r="K495">
        <f>'Participant reporting'!K722</f>
        <v>0</v>
      </c>
      <c r="L495">
        <f>'Participant reporting'!L722</f>
        <v>0</v>
      </c>
      <c r="M495">
        <f>'Participant reporting'!M722</f>
        <v>0</v>
      </c>
      <c r="N495">
        <f>'Participant reporting'!N722</f>
        <v>0</v>
      </c>
      <c r="O495">
        <f>'Participant reporting'!O722</f>
        <v>0</v>
      </c>
    </row>
    <row r="496" spans="1:15" x14ac:dyDescent="0.25">
      <c r="A496">
        <f>'Participant reporting'!A723</f>
        <v>0</v>
      </c>
      <c r="B496">
        <f>'Participant reporting'!B723</f>
        <v>0</v>
      </c>
      <c r="C496">
        <f>'Participant reporting'!C723</f>
        <v>0</v>
      </c>
      <c r="D496">
        <f>'Participant reporting'!D723</f>
        <v>0</v>
      </c>
      <c r="E496" s="15">
        <f>'Participant reporting'!E723</f>
        <v>0</v>
      </c>
      <c r="F496">
        <f>'Participant reporting'!F723</f>
        <v>0</v>
      </c>
      <c r="G496">
        <f>'Participant reporting'!G723</f>
        <v>0</v>
      </c>
      <c r="H496">
        <f>'Participant reporting'!H723</f>
        <v>0</v>
      </c>
      <c r="I496">
        <f>'Participant reporting'!I723</f>
        <v>0</v>
      </c>
      <c r="J496">
        <f>'Participant reporting'!J723</f>
        <v>0</v>
      </c>
      <c r="K496">
        <f>'Participant reporting'!K723</f>
        <v>0</v>
      </c>
      <c r="L496">
        <f>'Participant reporting'!L723</f>
        <v>0</v>
      </c>
      <c r="M496">
        <f>'Participant reporting'!M723</f>
        <v>0</v>
      </c>
      <c r="N496">
        <f>'Participant reporting'!N723</f>
        <v>0</v>
      </c>
      <c r="O496">
        <f>'Participant reporting'!O723</f>
        <v>0</v>
      </c>
    </row>
    <row r="497" spans="1:15" x14ac:dyDescent="0.25">
      <c r="A497">
        <f>'Participant reporting'!A724</f>
        <v>0</v>
      </c>
      <c r="B497">
        <f>'Participant reporting'!B724</f>
        <v>0</v>
      </c>
      <c r="C497">
        <f>'Participant reporting'!C724</f>
        <v>0</v>
      </c>
      <c r="D497">
        <f>'Participant reporting'!D724</f>
        <v>0</v>
      </c>
      <c r="E497" s="15">
        <f>'Participant reporting'!E724</f>
        <v>0</v>
      </c>
      <c r="F497">
        <f>'Participant reporting'!F724</f>
        <v>0</v>
      </c>
      <c r="G497">
        <f>'Participant reporting'!G724</f>
        <v>0</v>
      </c>
      <c r="H497">
        <f>'Participant reporting'!H724</f>
        <v>0</v>
      </c>
      <c r="I497">
        <f>'Participant reporting'!I724</f>
        <v>0</v>
      </c>
      <c r="J497">
        <f>'Participant reporting'!J724</f>
        <v>0</v>
      </c>
      <c r="K497">
        <f>'Participant reporting'!K724</f>
        <v>0</v>
      </c>
      <c r="L497">
        <f>'Participant reporting'!L724</f>
        <v>0</v>
      </c>
      <c r="M497">
        <f>'Participant reporting'!M724</f>
        <v>0</v>
      </c>
      <c r="N497">
        <f>'Participant reporting'!N724</f>
        <v>0</v>
      </c>
      <c r="O497">
        <f>'Participant reporting'!O724</f>
        <v>0</v>
      </c>
    </row>
    <row r="498" spans="1:15" x14ac:dyDescent="0.25">
      <c r="A498">
        <f>'Participant reporting'!A725</f>
        <v>0</v>
      </c>
      <c r="B498">
        <f>'Participant reporting'!B725</f>
        <v>0</v>
      </c>
      <c r="C498">
        <f>'Participant reporting'!C725</f>
        <v>0</v>
      </c>
      <c r="D498">
        <f>'Participant reporting'!D725</f>
        <v>0</v>
      </c>
      <c r="E498" s="15">
        <f>'Participant reporting'!E725</f>
        <v>0</v>
      </c>
      <c r="F498">
        <f>'Participant reporting'!F725</f>
        <v>0</v>
      </c>
      <c r="G498">
        <f>'Participant reporting'!G725</f>
        <v>0</v>
      </c>
      <c r="H498">
        <f>'Participant reporting'!H725</f>
        <v>0</v>
      </c>
      <c r="I498">
        <f>'Participant reporting'!I725</f>
        <v>0</v>
      </c>
      <c r="J498">
        <f>'Participant reporting'!J725</f>
        <v>0</v>
      </c>
      <c r="K498">
        <f>'Participant reporting'!K725</f>
        <v>0</v>
      </c>
      <c r="L498">
        <f>'Participant reporting'!L725</f>
        <v>0</v>
      </c>
      <c r="M498">
        <f>'Participant reporting'!M725</f>
        <v>0</v>
      </c>
      <c r="N498">
        <f>'Participant reporting'!N725</f>
        <v>0</v>
      </c>
      <c r="O498">
        <f>'Participant reporting'!O725</f>
        <v>0</v>
      </c>
    </row>
    <row r="499" spans="1:15" x14ac:dyDescent="0.25">
      <c r="A499">
        <f>'Participant reporting'!A726</f>
        <v>0</v>
      </c>
      <c r="B499">
        <f>'Participant reporting'!B726</f>
        <v>0</v>
      </c>
      <c r="C499">
        <f>'Participant reporting'!C726</f>
        <v>0</v>
      </c>
      <c r="D499">
        <f>'Participant reporting'!D726</f>
        <v>0</v>
      </c>
      <c r="E499" s="15">
        <f>'Participant reporting'!E726</f>
        <v>0</v>
      </c>
      <c r="F499">
        <f>'Participant reporting'!F726</f>
        <v>0</v>
      </c>
      <c r="G499">
        <f>'Participant reporting'!G726</f>
        <v>0</v>
      </c>
      <c r="H499">
        <f>'Participant reporting'!H726</f>
        <v>0</v>
      </c>
      <c r="I499">
        <f>'Participant reporting'!I726</f>
        <v>0</v>
      </c>
      <c r="J499">
        <f>'Participant reporting'!J726</f>
        <v>0</v>
      </c>
      <c r="K499">
        <f>'Participant reporting'!K726</f>
        <v>0</v>
      </c>
      <c r="L499">
        <f>'Participant reporting'!L726</f>
        <v>0</v>
      </c>
      <c r="M499">
        <f>'Participant reporting'!M726</f>
        <v>0</v>
      </c>
      <c r="N499">
        <f>'Participant reporting'!N726</f>
        <v>0</v>
      </c>
      <c r="O499">
        <f>'Participant reporting'!O726</f>
        <v>0</v>
      </c>
    </row>
    <row r="500" spans="1:15" x14ac:dyDescent="0.25">
      <c r="A500">
        <f>'Participant reporting'!A727</f>
        <v>0</v>
      </c>
      <c r="B500">
        <f>'Participant reporting'!B727</f>
        <v>0</v>
      </c>
      <c r="C500">
        <f>'Participant reporting'!C727</f>
        <v>0</v>
      </c>
      <c r="D500">
        <f>'Participant reporting'!D727</f>
        <v>0</v>
      </c>
      <c r="E500" s="15">
        <f>'Participant reporting'!E727</f>
        <v>0</v>
      </c>
      <c r="F500">
        <f>'Participant reporting'!F727</f>
        <v>0</v>
      </c>
      <c r="G500">
        <f>'Participant reporting'!G727</f>
        <v>0</v>
      </c>
      <c r="H500">
        <f>'Participant reporting'!H727</f>
        <v>0</v>
      </c>
      <c r="I500">
        <f>'Participant reporting'!I727</f>
        <v>0</v>
      </c>
      <c r="J500">
        <f>'Participant reporting'!J727</f>
        <v>0</v>
      </c>
      <c r="K500">
        <f>'Participant reporting'!K727</f>
        <v>0</v>
      </c>
      <c r="L500">
        <f>'Participant reporting'!L727</f>
        <v>0</v>
      </c>
      <c r="M500">
        <f>'Participant reporting'!M727</f>
        <v>0</v>
      </c>
      <c r="N500">
        <f>'Participant reporting'!N727</f>
        <v>0</v>
      </c>
      <c r="O500">
        <f>'Participant reporting'!O727</f>
        <v>0</v>
      </c>
    </row>
    <row r="501" spans="1:15" x14ac:dyDescent="0.25">
      <c r="A501">
        <f>'Participant reporting'!A728</f>
        <v>0</v>
      </c>
      <c r="B501">
        <f>'Participant reporting'!B728</f>
        <v>0</v>
      </c>
      <c r="C501">
        <f>'Participant reporting'!C728</f>
        <v>0</v>
      </c>
      <c r="D501">
        <f>'Participant reporting'!D728</f>
        <v>0</v>
      </c>
      <c r="E501" s="15">
        <f>'Participant reporting'!E728</f>
        <v>0</v>
      </c>
      <c r="F501">
        <f>'Participant reporting'!F728</f>
        <v>0</v>
      </c>
      <c r="G501">
        <f>'Participant reporting'!G728</f>
        <v>0</v>
      </c>
      <c r="H501">
        <f>'Participant reporting'!H728</f>
        <v>0</v>
      </c>
      <c r="I501">
        <f>'Participant reporting'!I728</f>
        <v>0</v>
      </c>
      <c r="J501">
        <f>'Participant reporting'!J728</f>
        <v>0</v>
      </c>
      <c r="K501">
        <f>'Participant reporting'!K728</f>
        <v>0</v>
      </c>
      <c r="L501">
        <f>'Participant reporting'!L728</f>
        <v>0</v>
      </c>
      <c r="M501">
        <f>'Participant reporting'!M728</f>
        <v>0</v>
      </c>
      <c r="N501">
        <f>'Participant reporting'!N728</f>
        <v>0</v>
      </c>
      <c r="O501">
        <f>'Participant reporting'!O728</f>
        <v>0</v>
      </c>
    </row>
    <row r="502" spans="1:15" x14ac:dyDescent="0.25">
      <c r="A502">
        <f>'Participant reporting'!A729</f>
        <v>0</v>
      </c>
      <c r="B502">
        <f>'Participant reporting'!B729</f>
        <v>0</v>
      </c>
      <c r="C502">
        <f>'Participant reporting'!C729</f>
        <v>0</v>
      </c>
      <c r="D502">
        <f>'Participant reporting'!D729</f>
        <v>0</v>
      </c>
      <c r="E502" s="15">
        <f>'Participant reporting'!E729</f>
        <v>0</v>
      </c>
      <c r="F502">
        <f>'Participant reporting'!F729</f>
        <v>0</v>
      </c>
      <c r="G502">
        <f>'Participant reporting'!G729</f>
        <v>0</v>
      </c>
      <c r="H502">
        <f>'Participant reporting'!H729</f>
        <v>0</v>
      </c>
      <c r="I502">
        <f>'Participant reporting'!I729</f>
        <v>0</v>
      </c>
      <c r="J502">
        <f>'Participant reporting'!J729</f>
        <v>0</v>
      </c>
      <c r="K502">
        <f>'Participant reporting'!K729</f>
        <v>0</v>
      </c>
      <c r="L502">
        <f>'Participant reporting'!L729</f>
        <v>0</v>
      </c>
      <c r="M502">
        <f>'Participant reporting'!M729</f>
        <v>0</v>
      </c>
      <c r="N502">
        <f>'Participant reporting'!N729</f>
        <v>0</v>
      </c>
      <c r="O502">
        <f>'Participant reporting'!O729</f>
        <v>0</v>
      </c>
    </row>
    <row r="503" spans="1:15" x14ac:dyDescent="0.25">
      <c r="A503">
        <f>'Participant reporting'!A730</f>
        <v>0</v>
      </c>
      <c r="B503">
        <f>'Participant reporting'!B730</f>
        <v>0</v>
      </c>
      <c r="C503">
        <f>'Participant reporting'!C730</f>
        <v>0</v>
      </c>
      <c r="D503">
        <f>'Participant reporting'!D730</f>
        <v>0</v>
      </c>
      <c r="E503" s="15">
        <f>'Participant reporting'!E730</f>
        <v>0</v>
      </c>
      <c r="F503">
        <f>'Participant reporting'!F730</f>
        <v>0</v>
      </c>
      <c r="G503">
        <f>'Participant reporting'!G730</f>
        <v>0</v>
      </c>
      <c r="H503">
        <f>'Participant reporting'!H730</f>
        <v>0</v>
      </c>
      <c r="I503">
        <f>'Participant reporting'!I730</f>
        <v>0</v>
      </c>
      <c r="J503">
        <f>'Participant reporting'!J730</f>
        <v>0</v>
      </c>
      <c r="K503">
        <f>'Participant reporting'!K730</f>
        <v>0</v>
      </c>
      <c r="L503">
        <f>'Participant reporting'!L730</f>
        <v>0</v>
      </c>
      <c r="M503">
        <f>'Participant reporting'!M730</f>
        <v>0</v>
      </c>
      <c r="N503">
        <f>'Participant reporting'!N730</f>
        <v>0</v>
      </c>
      <c r="O503">
        <f>'Participant reporting'!O730</f>
        <v>0</v>
      </c>
    </row>
    <row r="504" spans="1:15" x14ac:dyDescent="0.25">
      <c r="A504">
        <f>'Participant reporting'!A731</f>
        <v>0</v>
      </c>
      <c r="B504">
        <f>'Participant reporting'!B731</f>
        <v>0</v>
      </c>
      <c r="C504">
        <f>'Participant reporting'!C731</f>
        <v>0</v>
      </c>
      <c r="D504">
        <f>'Participant reporting'!D731</f>
        <v>0</v>
      </c>
      <c r="E504" s="15">
        <f>'Participant reporting'!E731</f>
        <v>0</v>
      </c>
      <c r="F504">
        <f>'Participant reporting'!F731</f>
        <v>0</v>
      </c>
      <c r="G504">
        <f>'Participant reporting'!G731</f>
        <v>0</v>
      </c>
      <c r="H504">
        <f>'Participant reporting'!H731</f>
        <v>0</v>
      </c>
      <c r="I504">
        <f>'Participant reporting'!I731</f>
        <v>0</v>
      </c>
      <c r="J504">
        <f>'Participant reporting'!J731</f>
        <v>0</v>
      </c>
      <c r="K504">
        <f>'Participant reporting'!K731</f>
        <v>0</v>
      </c>
      <c r="L504">
        <f>'Participant reporting'!L731</f>
        <v>0</v>
      </c>
      <c r="M504">
        <f>'Participant reporting'!M731</f>
        <v>0</v>
      </c>
      <c r="N504">
        <f>'Participant reporting'!N731</f>
        <v>0</v>
      </c>
      <c r="O504">
        <f>'Participant reporting'!O731</f>
        <v>0</v>
      </c>
    </row>
    <row r="505" spans="1:15" x14ac:dyDescent="0.25">
      <c r="A505">
        <f>'Participant reporting'!A732</f>
        <v>0</v>
      </c>
      <c r="B505">
        <f>'Participant reporting'!B732</f>
        <v>0</v>
      </c>
      <c r="C505">
        <f>'Participant reporting'!C732</f>
        <v>0</v>
      </c>
      <c r="D505">
        <f>'Participant reporting'!D732</f>
        <v>0</v>
      </c>
      <c r="E505" s="15">
        <f>'Participant reporting'!E732</f>
        <v>0</v>
      </c>
      <c r="F505">
        <f>'Participant reporting'!F732</f>
        <v>0</v>
      </c>
      <c r="G505">
        <f>'Participant reporting'!G732</f>
        <v>0</v>
      </c>
      <c r="H505">
        <f>'Participant reporting'!H732</f>
        <v>0</v>
      </c>
      <c r="I505">
        <f>'Participant reporting'!I732</f>
        <v>0</v>
      </c>
      <c r="J505">
        <f>'Participant reporting'!J732</f>
        <v>0</v>
      </c>
      <c r="K505">
        <f>'Participant reporting'!K732</f>
        <v>0</v>
      </c>
      <c r="L505">
        <f>'Participant reporting'!L732</f>
        <v>0</v>
      </c>
      <c r="M505">
        <f>'Participant reporting'!M732</f>
        <v>0</v>
      </c>
      <c r="N505">
        <f>'Participant reporting'!N732</f>
        <v>0</v>
      </c>
      <c r="O505">
        <f>'Participant reporting'!O732</f>
        <v>0</v>
      </c>
    </row>
    <row r="506" spans="1:15" x14ac:dyDescent="0.25">
      <c r="A506">
        <f>'Participant reporting'!A733</f>
        <v>0</v>
      </c>
      <c r="B506">
        <f>'Participant reporting'!B733</f>
        <v>0</v>
      </c>
      <c r="C506">
        <f>'Participant reporting'!C733</f>
        <v>0</v>
      </c>
      <c r="D506">
        <f>'Participant reporting'!D733</f>
        <v>0</v>
      </c>
      <c r="E506" s="15">
        <f>'Participant reporting'!E733</f>
        <v>0</v>
      </c>
      <c r="F506">
        <f>'Participant reporting'!F733</f>
        <v>0</v>
      </c>
      <c r="G506">
        <f>'Participant reporting'!G733</f>
        <v>0</v>
      </c>
      <c r="H506">
        <f>'Participant reporting'!H733</f>
        <v>0</v>
      </c>
      <c r="I506">
        <f>'Participant reporting'!I733</f>
        <v>0</v>
      </c>
      <c r="J506">
        <f>'Participant reporting'!J733</f>
        <v>0</v>
      </c>
      <c r="K506">
        <f>'Participant reporting'!K733</f>
        <v>0</v>
      </c>
      <c r="L506">
        <f>'Participant reporting'!L733</f>
        <v>0</v>
      </c>
      <c r="M506">
        <f>'Participant reporting'!M733</f>
        <v>0</v>
      </c>
      <c r="N506">
        <f>'Participant reporting'!N733</f>
        <v>0</v>
      </c>
      <c r="O506">
        <f>'Participant reporting'!O733</f>
        <v>0</v>
      </c>
    </row>
    <row r="507" spans="1:15" x14ac:dyDescent="0.25">
      <c r="A507">
        <f>'Participant reporting'!A734</f>
        <v>0</v>
      </c>
      <c r="B507">
        <f>'Participant reporting'!B734</f>
        <v>0</v>
      </c>
      <c r="C507">
        <f>'Participant reporting'!C734</f>
        <v>0</v>
      </c>
      <c r="D507">
        <f>'Participant reporting'!D734</f>
        <v>0</v>
      </c>
      <c r="E507" s="15">
        <f>'Participant reporting'!E734</f>
        <v>0</v>
      </c>
      <c r="F507">
        <f>'Participant reporting'!F734</f>
        <v>0</v>
      </c>
      <c r="G507">
        <f>'Participant reporting'!G734</f>
        <v>0</v>
      </c>
      <c r="H507">
        <f>'Participant reporting'!H734</f>
        <v>0</v>
      </c>
      <c r="I507">
        <f>'Participant reporting'!I734</f>
        <v>0</v>
      </c>
      <c r="J507">
        <f>'Participant reporting'!J734</f>
        <v>0</v>
      </c>
      <c r="K507">
        <f>'Participant reporting'!K734</f>
        <v>0</v>
      </c>
      <c r="L507">
        <f>'Participant reporting'!L734</f>
        <v>0</v>
      </c>
      <c r="M507">
        <f>'Participant reporting'!M734</f>
        <v>0</v>
      </c>
      <c r="N507">
        <f>'Participant reporting'!N734</f>
        <v>0</v>
      </c>
      <c r="O507">
        <f>'Participant reporting'!O734</f>
        <v>0</v>
      </c>
    </row>
    <row r="508" spans="1:15" x14ac:dyDescent="0.25">
      <c r="A508">
        <f>'Participant reporting'!A735</f>
        <v>0</v>
      </c>
      <c r="B508">
        <f>'Participant reporting'!B735</f>
        <v>0</v>
      </c>
      <c r="C508">
        <f>'Participant reporting'!C735</f>
        <v>0</v>
      </c>
      <c r="D508">
        <f>'Participant reporting'!D735</f>
        <v>0</v>
      </c>
      <c r="E508" s="15">
        <f>'Participant reporting'!E735</f>
        <v>0</v>
      </c>
      <c r="F508">
        <f>'Participant reporting'!F735</f>
        <v>0</v>
      </c>
      <c r="G508">
        <f>'Participant reporting'!G735</f>
        <v>0</v>
      </c>
      <c r="H508">
        <f>'Participant reporting'!H735</f>
        <v>0</v>
      </c>
      <c r="I508">
        <f>'Participant reporting'!I735</f>
        <v>0</v>
      </c>
      <c r="J508">
        <f>'Participant reporting'!J735</f>
        <v>0</v>
      </c>
      <c r="K508">
        <f>'Participant reporting'!K735</f>
        <v>0</v>
      </c>
      <c r="L508">
        <f>'Participant reporting'!L735</f>
        <v>0</v>
      </c>
      <c r="M508">
        <f>'Participant reporting'!M735</f>
        <v>0</v>
      </c>
      <c r="N508">
        <f>'Participant reporting'!N735</f>
        <v>0</v>
      </c>
      <c r="O508">
        <f>'Participant reporting'!O735</f>
        <v>0</v>
      </c>
    </row>
    <row r="509" spans="1:15" x14ac:dyDescent="0.25">
      <c r="A509">
        <f>'Participant reporting'!A736</f>
        <v>0</v>
      </c>
      <c r="B509">
        <f>'Participant reporting'!B736</f>
        <v>0</v>
      </c>
      <c r="C509">
        <f>'Participant reporting'!C736</f>
        <v>0</v>
      </c>
      <c r="D509">
        <f>'Participant reporting'!D736</f>
        <v>0</v>
      </c>
      <c r="E509" s="15">
        <f>'Participant reporting'!E736</f>
        <v>0</v>
      </c>
      <c r="F509">
        <f>'Participant reporting'!F736</f>
        <v>0</v>
      </c>
      <c r="G509">
        <f>'Participant reporting'!G736</f>
        <v>0</v>
      </c>
      <c r="H509">
        <f>'Participant reporting'!H736</f>
        <v>0</v>
      </c>
      <c r="I509">
        <f>'Participant reporting'!I736</f>
        <v>0</v>
      </c>
      <c r="J509">
        <f>'Participant reporting'!J736</f>
        <v>0</v>
      </c>
      <c r="K509">
        <f>'Participant reporting'!K736</f>
        <v>0</v>
      </c>
      <c r="L509">
        <f>'Participant reporting'!L736</f>
        <v>0</v>
      </c>
      <c r="M509">
        <f>'Participant reporting'!M736</f>
        <v>0</v>
      </c>
      <c r="N509">
        <f>'Participant reporting'!N736</f>
        <v>0</v>
      </c>
      <c r="O509">
        <f>'Participant reporting'!O736</f>
        <v>0</v>
      </c>
    </row>
    <row r="510" spans="1:15" x14ac:dyDescent="0.25">
      <c r="A510">
        <f>'Participant reporting'!A737</f>
        <v>0</v>
      </c>
      <c r="B510">
        <f>'Participant reporting'!B737</f>
        <v>0</v>
      </c>
      <c r="C510">
        <f>'Participant reporting'!C737</f>
        <v>0</v>
      </c>
      <c r="D510">
        <f>'Participant reporting'!D737</f>
        <v>0</v>
      </c>
      <c r="E510" s="15">
        <f>'Participant reporting'!E737</f>
        <v>0</v>
      </c>
      <c r="F510">
        <f>'Participant reporting'!F737</f>
        <v>0</v>
      </c>
      <c r="G510">
        <f>'Participant reporting'!G737</f>
        <v>0</v>
      </c>
      <c r="H510">
        <f>'Participant reporting'!H737</f>
        <v>0</v>
      </c>
      <c r="I510">
        <f>'Participant reporting'!I737</f>
        <v>0</v>
      </c>
      <c r="J510">
        <f>'Participant reporting'!J737</f>
        <v>0</v>
      </c>
      <c r="K510">
        <f>'Participant reporting'!K737</f>
        <v>0</v>
      </c>
      <c r="L510">
        <f>'Participant reporting'!L737</f>
        <v>0</v>
      </c>
      <c r="M510">
        <f>'Participant reporting'!M737</f>
        <v>0</v>
      </c>
      <c r="N510">
        <f>'Participant reporting'!N737</f>
        <v>0</v>
      </c>
      <c r="O510">
        <f>'Participant reporting'!O737</f>
        <v>0</v>
      </c>
    </row>
    <row r="511" spans="1:15" x14ac:dyDescent="0.25">
      <c r="A511">
        <f>'Participant reporting'!A738</f>
        <v>0</v>
      </c>
      <c r="B511">
        <f>'Participant reporting'!B738</f>
        <v>0</v>
      </c>
      <c r="C511">
        <f>'Participant reporting'!C738</f>
        <v>0</v>
      </c>
      <c r="D511">
        <f>'Participant reporting'!D738</f>
        <v>0</v>
      </c>
      <c r="E511" s="15">
        <f>'Participant reporting'!E738</f>
        <v>0</v>
      </c>
      <c r="F511">
        <f>'Participant reporting'!F738</f>
        <v>0</v>
      </c>
      <c r="G511">
        <f>'Participant reporting'!G738</f>
        <v>0</v>
      </c>
      <c r="H511">
        <f>'Participant reporting'!H738</f>
        <v>0</v>
      </c>
      <c r="I511">
        <f>'Participant reporting'!I738</f>
        <v>0</v>
      </c>
      <c r="J511">
        <f>'Participant reporting'!J738</f>
        <v>0</v>
      </c>
      <c r="K511">
        <f>'Participant reporting'!K738</f>
        <v>0</v>
      </c>
      <c r="L511">
        <f>'Participant reporting'!L738</f>
        <v>0</v>
      </c>
      <c r="M511">
        <f>'Participant reporting'!M738</f>
        <v>0</v>
      </c>
      <c r="N511">
        <f>'Participant reporting'!N738</f>
        <v>0</v>
      </c>
      <c r="O511">
        <f>'Participant reporting'!O738</f>
        <v>0</v>
      </c>
    </row>
    <row r="512" spans="1:15" x14ac:dyDescent="0.25">
      <c r="A512">
        <f>'Participant reporting'!A739</f>
        <v>0</v>
      </c>
      <c r="B512">
        <f>'Participant reporting'!B739</f>
        <v>0</v>
      </c>
      <c r="C512">
        <f>'Participant reporting'!C739</f>
        <v>0</v>
      </c>
      <c r="D512">
        <f>'Participant reporting'!D739</f>
        <v>0</v>
      </c>
      <c r="E512" s="15">
        <f>'Participant reporting'!E739</f>
        <v>0</v>
      </c>
      <c r="F512">
        <f>'Participant reporting'!F739</f>
        <v>0</v>
      </c>
      <c r="G512">
        <f>'Participant reporting'!G739</f>
        <v>0</v>
      </c>
      <c r="H512">
        <f>'Participant reporting'!H739</f>
        <v>0</v>
      </c>
      <c r="I512">
        <f>'Participant reporting'!I739</f>
        <v>0</v>
      </c>
      <c r="J512">
        <f>'Participant reporting'!J739</f>
        <v>0</v>
      </c>
      <c r="K512">
        <f>'Participant reporting'!K739</f>
        <v>0</v>
      </c>
      <c r="L512">
        <f>'Participant reporting'!L739</f>
        <v>0</v>
      </c>
      <c r="M512">
        <f>'Participant reporting'!M739</f>
        <v>0</v>
      </c>
      <c r="N512">
        <f>'Participant reporting'!N739</f>
        <v>0</v>
      </c>
      <c r="O512">
        <f>'Participant reporting'!O739</f>
        <v>0</v>
      </c>
    </row>
    <row r="513" spans="1:15" x14ac:dyDescent="0.25">
      <c r="A513">
        <f>'Participant reporting'!A740</f>
        <v>0</v>
      </c>
      <c r="B513">
        <f>'Participant reporting'!B740</f>
        <v>0</v>
      </c>
      <c r="C513">
        <f>'Participant reporting'!C740</f>
        <v>0</v>
      </c>
      <c r="D513">
        <f>'Participant reporting'!D740</f>
        <v>0</v>
      </c>
      <c r="E513" s="15">
        <f>'Participant reporting'!E740</f>
        <v>0</v>
      </c>
      <c r="F513">
        <f>'Participant reporting'!F740</f>
        <v>0</v>
      </c>
      <c r="G513">
        <f>'Participant reporting'!G740</f>
        <v>0</v>
      </c>
      <c r="H513">
        <f>'Participant reporting'!H740</f>
        <v>0</v>
      </c>
      <c r="I513">
        <f>'Participant reporting'!I740</f>
        <v>0</v>
      </c>
      <c r="J513">
        <f>'Participant reporting'!J740</f>
        <v>0</v>
      </c>
      <c r="K513">
        <f>'Participant reporting'!K740</f>
        <v>0</v>
      </c>
      <c r="L513">
        <f>'Participant reporting'!L740</f>
        <v>0</v>
      </c>
      <c r="M513">
        <f>'Participant reporting'!M740</f>
        <v>0</v>
      </c>
      <c r="N513">
        <f>'Participant reporting'!N740</f>
        <v>0</v>
      </c>
      <c r="O513">
        <f>'Participant reporting'!O740</f>
        <v>0</v>
      </c>
    </row>
    <row r="514" spans="1:15" x14ac:dyDescent="0.25">
      <c r="A514">
        <f>'Participant reporting'!A741</f>
        <v>0</v>
      </c>
      <c r="B514">
        <f>'Participant reporting'!B741</f>
        <v>0</v>
      </c>
      <c r="C514">
        <f>'Participant reporting'!C741</f>
        <v>0</v>
      </c>
      <c r="D514">
        <f>'Participant reporting'!D741</f>
        <v>0</v>
      </c>
      <c r="E514" s="15">
        <f>'Participant reporting'!E741</f>
        <v>0</v>
      </c>
      <c r="F514">
        <f>'Participant reporting'!F741</f>
        <v>0</v>
      </c>
      <c r="G514">
        <f>'Participant reporting'!G741</f>
        <v>0</v>
      </c>
      <c r="H514">
        <f>'Participant reporting'!H741</f>
        <v>0</v>
      </c>
      <c r="I514">
        <f>'Participant reporting'!I741</f>
        <v>0</v>
      </c>
      <c r="J514">
        <f>'Participant reporting'!J741</f>
        <v>0</v>
      </c>
      <c r="K514">
        <f>'Participant reporting'!K741</f>
        <v>0</v>
      </c>
      <c r="L514">
        <f>'Participant reporting'!L741</f>
        <v>0</v>
      </c>
      <c r="M514">
        <f>'Participant reporting'!M741</f>
        <v>0</v>
      </c>
      <c r="N514">
        <f>'Participant reporting'!N741</f>
        <v>0</v>
      </c>
      <c r="O514">
        <f>'Participant reporting'!O741</f>
        <v>0</v>
      </c>
    </row>
    <row r="515" spans="1:15" x14ac:dyDescent="0.25">
      <c r="A515">
        <f>'Participant reporting'!A742</f>
        <v>0</v>
      </c>
      <c r="B515">
        <f>'Participant reporting'!B742</f>
        <v>0</v>
      </c>
      <c r="C515">
        <f>'Participant reporting'!C742</f>
        <v>0</v>
      </c>
      <c r="D515">
        <f>'Participant reporting'!D742</f>
        <v>0</v>
      </c>
      <c r="E515" s="15">
        <f>'Participant reporting'!E742</f>
        <v>0</v>
      </c>
      <c r="F515">
        <f>'Participant reporting'!F742</f>
        <v>0</v>
      </c>
      <c r="G515">
        <f>'Participant reporting'!G742</f>
        <v>0</v>
      </c>
      <c r="H515">
        <f>'Participant reporting'!H742</f>
        <v>0</v>
      </c>
      <c r="I515">
        <f>'Participant reporting'!I742</f>
        <v>0</v>
      </c>
      <c r="J515">
        <f>'Participant reporting'!J742</f>
        <v>0</v>
      </c>
      <c r="K515">
        <f>'Participant reporting'!K742</f>
        <v>0</v>
      </c>
      <c r="L515">
        <f>'Participant reporting'!L742</f>
        <v>0</v>
      </c>
      <c r="M515">
        <f>'Participant reporting'!M742</f>
        <v>0</v>
      </c>
      <c r="N515">
        <f>'Participant reporting'!N742</f>
        <v>0</v>
      </c>
      <c r="O515">
        <f>'Participant reporting'!O742</f>
        <v>0</v>
      </c>
    </row>
    <row r="516" spans="1:15" x14ac:dyDescent="0.25">
      <c r="A516">
        <f>'Participant reporting'!A743</f>
        <v>0</v>
      </c>
      <c r="B516">
        <f>'Participant reporting'!B743</f>
        <v>0</v>
      </c>
      <c r="C516">
        <f>'Participant reporting'!C743</f>
        <v>0</v>
      </c>
      <c r="D516">
        <f>'Participant reporting'!D743</f>
        <v>0</v>
      </c>
      <c r="E516" s="15">
        <f>'Participant reporting'!E743</f>
        <v>0</v>
      </c>
      <c r="F516">
        <f>'Participant reporting'!F743</f>
        <v>0</v>
      </c>
      <c r="G516">
        <f>'Participant reporting'!G743</f>
        <v>0</v>
      </c>
      <c r="H516">
        <f>'Participant reporting'!H743</f>
        <v>0</v>
      </c>
      <c r="I516">
        <f>'Participant reporting'!I743</f>
        <v>0</v>
      </c>
      <c r="J516">
        <f>'Participant reporting'!J743</f>
        <v>0</v>
      </c>
      <c r="K516">
        <f>'Participant reporting'!K743</f>
        <v>0</v>
      </c>
      <c r="L516">
        <f>'Participant reporting'!L743</f>
        <v>0</v>
      </c>
      <c r="M516">
        <f>'Participant reporting'!M743</f>
        <v>0</v>
      </c>
      <c r="N516">
        <f>'Participant reporting'!N743</f>
        <v>0</v>
      </c>
      <c r="O516">
        <f>'Participant reporting'!O743</f>
        <v>0</v>
      </c>
    </row>
    <row r="517" spans="1:15" x14ac:dyDescent="0.25">
      <c r="A517">
        <f>'Participant reporting'!A744</f>
        <v>0</v>
      </c>
      <c r="B517">
        <f>'Participant reporting'!B744</f>
        <v>0</v>
      </c>
      <c r="C517">
        <f>'Participant reporting'!C744</f>
        <v>0</v>
      </c>
      <c r="D517">
        <f>'Participant reporting'!D744</f>
        <v>0</v>
      </c>
      <c r="E517" s="15">
        <f>'Participant reporting'!E744</f>
        <v>0</v>
      </c>
      <c r="F517">
        <f>'Participant reporting'!F744</f>
        <v>0</v>
      </c>
      <c r="G517">
        <f>'Participant reporting'!G744</f>
        <v>0</v>
      </c>
      <c r="H517">
        <f>'Participant reporting'!H744</f>
        <v>0</v>
      </c>
      <c r="I517">
        <f>'Participant reporting'!I744</f>
        <v>0</v>
      </c>
      <c r="J517">
        <f>'Participant reporting'!J744</f>
        <v>0</v>
      </c>
      <c r="K517">
        <f>'Participant reporting'!K744</f>
        <v>0</v>
      </c>
      <c r="L517">
        <f>'Participant reporting'!L744</f>
        <v>0</v>
      </c>
      <c r="M517">
        <f>'Participant reporting'!M744</f>
        <v>0</v>
      </c>
      <c r="N517">
        <f>'Participant reporting'!N744</f>
        <v>0</v>
      </c>
      <c r="O517">
        <f>'Participant reporting'!O744</f>
        <v>0</v>
      </c>
    </row>
    <row r="518" spans="1:15" x14ac:dyDescent="0.25">
      <c r="A518">
        <f>'Participant reporting'!A745</f>
        <v>0</v>
      </c>
      <c r="B518">
        <f>'Participant reporting'!B745</f>
        <v>0</v>
      </c>
      <c r="C518">
        <f>'Participant reporting'!C745</f>
        <v>0</v>
      </c>
      <c r="D518">
        <f>'Participant reporting'!D745</f>
        <v>0</v>
      </c>
      <c r="E518" s="15">
        <f>'Participant reporting'!E745</f>
        <v>0</v>
      </c>
      <c r="F518">
        <f>'Participant reporting'!F745</f>
        <v>0</v>
      </c>
      <c r="G518">
        <f>'Participant reporting'!G745</f>
        <v>0</v>
      </c>
      <c r="H518">
        <f>'Participant reporting'!H745</f>
        <v>0</v>
      </c>
      <c r="I518">
        <f>'Participant reporting'!I745</f>
        <v>0</v>
      </c>
      <c r="J518">
        <f>'Participant reporting'!J745</f>
        <v>0</v>
      </c>
      <c r="K518">
        <f>'Participant reporting'!K745</f>
        <v>0</v>
      </c>
      <c r="L518">
        <f>'Participant reporting'!L745</f>
        <v>0</v>
      </c>
      <c r="M518">
        <f>'Participant reporting'!M745</f>
        <v>0</v>
      </c>
      <c r="N518">
        <f>'Participant reporting'!N745</f>
        <v>0</v>
      </c>
      <c r="O518">
        <f>'Participant reporting'!O745</f>
        <v>0</v>
      </c>
    </row>
    <row r="519" spans="1:15" x14ac:dyDescent="0.25">
      <c r="A519">
        <f>'Participant reporting'!A746</f>
        <v>0</v>
      </c>
      <c r="B519">
        <f>'Participant reporting'!B746</f>
        <v>0</v>
      </c>
      <c r="C519">
        <f>'Participant reporting'!C746</f>
        <v>0</v>
      </c>
      <c r="D519">
        <f>'Participant reporting'!D746</f>
        <v>0</v>
      </c>
      <c r="E519" s="15">
        <f>'Participant reporting'!E746</f>
        <v>0</v>
      </c>
      <c r="F519">
        <f>'Participant reporting'!F746</f>
        <v>0</v>
      </c>
      <c r="G519">
        <f>'Participant reporting'!G746</f>
        <v>0</v>
      </c>
      <c r="H519">
        <f>'Participant reporting'!H746</f>
        <v>0</v>
      </c>
      <c r="I519">
        <f>'Participant reporting'!I746</f>
        <v>0</v>
      </c>
      <c r="J519">
        <f>'Participant reporting'!J746</f>
        <v>0</v>
      </c>
      <c r="K519">
        <f>'Participant reporting'!K746</f>
        <v>0</v>
      </c>
      <c r="L519">
        <f>'Participant reporting'!L746</f>
        <v>0</v>
      </c>
      <c r="M519">
        <f>'Participant reporting'!M746</f>
        <v>0</v>
      </c>
      <c r="N519">
        <f>'Participant reporting'!N746</f>
        <v>0</v>
      </c>
      <c r="O519">
        <f>'Participant reporting'!O746</f>
        <v>0</v>
      </c>
    </row>
    <row r="520" spans="1:15" x14ac:dyDescent="0.25">
      <c r="A520">
        <f>'Participant reporting'!A747</f>
        <v>0</v>
      </c>
      <c r="B520">
        <f>'Participant reporting'!B747</f>
        <v>0</v>
      </c>
      <c r="C520">
        <f>'Participant reporting'!C747</f>
        <v>0</v>
      </c>
      <c r="D520">
        <f>'Participant reporting'!D747</f>
        <v>0</v>
      </c>
      <c r="E520" s="15">
        <f>'Participant reporting'!E747</f>
        <v>0</v>
      </c>
      <c r="F520">
        <f>'Participant reporting'!F747</f>
        <v>0</v>
      </c>
      <c r="G520">
        <f>'Participant reporting'!G747</f>
        <v>0</v>
      </c>
      <c r="H520">
        <f>'Participant reporting'!H747</f>
        <v>0</v>
      </c>
      <c r="I520">
        <f>'Participant reporting'!I747</f>
        <v>0</v>
      </c>
      <c r="J520">
        <f>'Participant reporting'!J747</f>
        <v>0</v>
      </c>
      <c r="K520">
        <f>'Participant reporting'!K747</f>
        <v>0</v>
      </c>
      <c r="L520">
        <f>'Participant reporting'!L747</f>
        <v>0</v>
      </c>
      <c r="M520">
        <f>'Participant reporting'!M747</f>
        <v>0</v>
      </c>
      <c r="N520">
        <f>'Participant reporting'!N747</f>
        <v>0</v>
      </c>
      <c r="O520">
        <f>'Participant reporting'!O747</f>
        <v>0</v>
      </c>
    </row>
    <row r="521" spans="1:15" x14ac:dyDescent="0.25">
      <c r="A521">
        <f>'Participant reporting'!A748</f>
        <v>0</v>
      </c>
      <c r="B521">
        <f>'Participant reporting'!B748</f>
        <v>0</v>
      </c>
      <c r="C521">
        <f>'Participant reporting'!C748</f>
        <v>0</v>
      </c>
      <c r="D521">
        <f>'Participant reporting'!D748</f>
        <v>0</v>
      </c>
      <c r="E521" s="15">
        <f>'Participant reporting'!E748</f>
        <v>0</v>
      </c>
      <c r="F521">
        <f>'Participant reporting'!F748</f>
        <v>0</v>
      </c>
      <c r="G521">
        <f>'Participant reporting'!G748</f>
        <v>0</v>
      </c>
      <c r="H521">
        <f>'Participant reporting'!H748</f>
        <v>0</v>
      </c>
      <c r="I521">
        <f>'Participant reporting'!I748</f>
        <v>0</v>
      </c>
      <c r="J521">
        <f>'Participant reporting'!J748</f>
        <v>0</v>
      </c>
      <c r="K521">
        <f>'Participant reporting'!K748</f>
        <v>0</v>
      </c>
      <c r="L521">
        <f>'Participant reporting'!L748</f>
        <v>0</v>
      </c>
      <c r="M521">
        <f>'Participant reporting'!M748</f>
        <v>0</v>
      </c>
      <c r="N521">
        <f>'Participant reporting'!N748</f>
        <v>0</v>
      </c>
      <c r="O521">
        <f>'Participant reporting'!O748</f>
        <v>0</v>
      </c>
    </row>
    <row r="522" spans="1:15" x14ac:dyDescent="0.25">
      <c r="A522">
        <f>'Participant reporting'!A749</f>
        <v>0</v>
      </c>
      <c r="B522">
        <f>'Participant reporting'!B749</f>
        <v>0</v>
      </c>
      <c r="C522">
        <f>'Participant reporting'!C749</f>
        <v>0</v>
      </c>
      <c r="D522">
        <f>'Participant reporting'!D749</f>
        <v>0</v>
      </c>
      <c r="E522" s="15">
        <f>'Participant reporting'!E749</f>
        <v>0</v>
      </c>
      <c r="F522">
        <f>'Participant reporting'!F749</f>
        <v>0</v>
      </c>
      <c r="G522">
        <f>'Participant reporting'!G749</f>
        <v>0</v>
      </c>
      <c r="H522">
        <f>'Participant reporting'!H749</f>
        <v>0</v>
      </c>
      <c r="I522">
        <f>'Participant reporting'!I749</f>
        <v>0</v>
      </c>
      <c r="J522">
        <f>'Participant reporting'!J749</f>
        <v>0</v>
      </c>
      <c r="K522">
        <f>'Participant reporting'!K749</f>
        <v>0</v>
      </c>
      <c r="L522">
        <f>'Participant reporting'!L749</f>
        <v>0</v>
      </c>
      <c r="M522">
        <f>'Participant reporting'!M749</f>
        <v>0</v>
      </c>
      <c r="N522">
        <f>'Participant reporting'!N749</f>
        <v>0</v>
      </c>
      <c r="O522">
        <f>'Participant reporting'!O749</f>
        <v>0</v>
      </c>
    </row>
    <row r="523" spans="1:15" x14ac:dyDescent="0.25">
      <c r="A523">
        <f>'Participant reporting'!A750</f>
        <v>0</v>
      </c>
      <c r="B523">
        <f>'Participant reporting'!B750</f>
        <v>0</v>
      </c>
      <c r="C523">
        <f>'Participant reporting'!C750</f>
        <v>0</v>
      </c>
      <c r="D523">
        <f>'Participant reporting'!D750</f>
        <v>0</v>
      </c>
      <c r="E523" s="15">
        <f>'Participant reporting'!E750</f>
        <v>0</v>
      </c>
      <c r="F523">
        <f>'Participant reporting'!F750</f>
        <v>0</v>
      </c>
      <c r="G523">
        <f>'Participant reporting'!G750</f>
        <v>0</v>
      </c>
      <c r="H523">
        <f>'Participant reporting'!H750</f>
        <v>0</v>
      </c>
      <c r="I523">
        <f>'Participant reporting'!I750</f>
        <v>0</v>
      </c>
      <c r="J523">
        <f>'Participant reporting'!J750</f>
        <v>0</v>
      </c>
      <c r="K523">
        <f>'Participant reporting'!K750</f>
        <v>0</v>
      </c>
      <c r="L523">
        <f>'Participant reporting'!L750</f>
        <v>0</v>
      </c>
      <c r="M523">
        <f>'Participant reporting'!M750</f>
        <v>0</v>
      </c>
      <c r="N523">
        <f>'Participant reporting'!N750</f>
        <v>0</v>
      </c>
      <c r="O523">
        <f>'Participant reporting'!O750</f>
        <v>0</v>
      </c>
    </row>
    <row r="524" spans="1:15" x14ac:dyDescent="0.25">
      <c r="A524">
        <f>'Participant reporting'!A751</f>
        <v>0</v>
      </c>
      <c r="B524">
        <f>'Participant reporting'!B751</f>
        <v>0</v>
      </c>
      <c r="C524">
        <f>'Participant reporting'!C751</f>
        <v>0</v>
      </c>
      <c r="D524">
        <f>'Participant reporting'!D751</f>
        <v>0</v>
      </c>
      <c r="E524" s="15">
        <f>'Participant reporting'!E751</f>
        <v>0</v>
      </c>
      <c r="F524">
        <f>'Participant reporting'!F751</f>
        <v>0</v>
      </c>
      <c r="G524">
        <f>'Participant reporting'!G751</f>
        <v>0</v>
      </c>
      <c r="H524">
        <f>'Participant reporting'!H751</f>
        <v>0</v>
      </c>
      <c r="I524">
        <f>'Participant reporting'!I751</f>
        <v>0</v>
      </c>
      <c r="J524">
        <f>'Participant reporting'!J751</f>
        <v>0</v>
      </c>
      <c r="K524">
        <f>'Participant reporting'!K751</f>
        <v>0</v>
      </c>
      <c r="L524">
        <f>'Participant reporting'!L751</f>
        <v>0</v>
      </c>
      <c r="M524">
        <f>'Participant reporting'!M751</f>
        <v>0</v>
      </c>
      <c r="N524">
        <f>'Participant reporting'!N751</f>
        <v>0</v>
      </c>
      <c r="O524">
        <f>'Participant reporting'!O751</f>
        <v>0</v>
      </c>
    </row>
    <row r="525" spans="1:15" x14ac:dyDescent="0.25">
      <c r="A525">
        <f>'Participant reporting'!A752</f>
        <v>0</v>
      </c>
      <c r="B525">
        <f>'Participant reporting'!B752</f>
        <v>0</v>
      </c>
      <c r="C525">
        <f>'Participant reporting'!C752</f>
        <v>0</v>
      </c>
      <c r="D525">
        <f>'Participant reporting'!D752</f>
        <v>0</v>
      </c>
      <c r="E525" s="15">
        <f>'Participant reporting'!E752</f>
        <v>0</v>
      </c>
      <c r="F525">
        <f>'Participant reporting'!F752</f>
        <v>0</v>
      </c>
      <c r="G525">
        <f>'Participant reporting'!G752</f>
        <v>0</v>
      </c>
      <c r="H525">
        <f>'Participant reporting'!H752</f>
        <v>0</v>
      </c>
      <c r="I525">
        <f>'Participant reporting'!I752</f>
        <v>0</v>
      </c>
      <c r="J525">
        <f>'Participant reporting'!J752</f>
        <v>0</v>
      </c>
      <c r="K525">
        <f>'Participant reporting'!K752</f>
        <v>0</v>
      </c>
      <c r="L525">
        <f>'Participant reporting'!L752</f>
        <v>0</v>
      </c>
      <c r="M525">
        <f>'Participant reporting'!M752</f>
        <v>0</v>
      </c>
      <c r="N525">
        <f>'Participant reporting'!N752</f>
        <v>0</v>
      </c>
      <c r="O525">
        <f>'Participant reporting'!O752</f>
        <v>0</v>
      </c>
    </row>
    <row r="526" spans="1:15" x14ac:dyDescent="0.25">
      <c r="A526">
        <f>'Participant reporting'!A753</f>
        <v>0</v>
      </c>
      <c r="B526">
        <f>'Participant reporting'!B753</f>
        <v>0</v>
      </c>
      <c r="C526">
        <f>'Participant reporting'!C753</f>
        <v>0</v>
      </c>
      <c r="D526">
        <f>'Participant reporting'!D753</f>
        <v>0</v>
      </c>
      <c r="E526" s="15">
        <f>'Participant reporting'!E753</f>
        <v>0</v>
      </c>
      <c r="F526">
        <f>'Participant reporting'!F753</f>
        <v>0</v>
      </c>
      <c r="G526">
        <f>'Participant reporting'!G753</f>
        <v>0</v>
      </c>
      <c r="H526">
        <f>'Participant reporting'!H753</f>
        <v>0</v>
      </c>
      <c r="I526">
        <f>'Participant reporting'!I753</f>
        <v>0</v>
      </c>
      <c r="J526">
        <f>'Participant reporting'!J753</f>
        <v>0</v>
      </c>
      <c r="K526">
        <f>'Participant reporting'!K753</f>
        <v>0</v>
      </c>
      <c r="L526">
        <f>'Participant reporting'!L753</f>
        <v>0</v>
      </c>
      <c r="M526">
        <f>'Participant reporting'!M753</f>
        <v>0</v>
      </c>
      <c r="N526">
        <f>'Participant reporting'!N753</f>
        <v>0</v>
      </c>
      <c r="O526">
        <f>'Participant reporting'!O753</f>
        <v>0</v>
      </c>
    </row>
    <row r="527" spans="1:15" x14ac:dyDescent="0.25">
      <c r="A527">
        <f>'Participant reporting'!A754</f>
        <v>0</v>
      </c>
      <c r="B527">
        <f>'Participant reporting'!B754</f>
        <v>0</v>
      </c>
      <c r="C527">
        <f>'Participant reporting'!C754</f>
        <v>0</v>
      </c>
      <c r="D527">
        <f>'Participant reporting'!D754</f>
        <v>0</v>
      </c>
      <c r="E527" s="15">
        <f>'Participant reporting'!E754</f>
        <v>0</v>
      </c>
      <c r="F527">
        <f>'Participant reporting'!F754</f>
        <v>0</v>
      </c>
      <c r="G527">
        <f>'Participant reporting'!G754</f>
        <v>0</v>
      </c>
      <c r="H527">
        <f>'Participant reporting'!H754</f>
        <v>0</v>
      </c>
      <c r="I527">
        <f>'Participant reporting'!I754</f>
        <v>0</v>
      </c>
      <c r="J527">
        <f>'Participant reporting'!J754</f>
        <v>0</v>
      </c>
      <c r="K527">
        <f>'Participant reporting'!K754</f>
        <v>0</v>
      </c>
      <c r="L527">
        <f>'Participant reporting'!L754</f>
        <v>0</v>
      </c>
      <c r="M527">
        <f>'Participant reporting'!M754</f>
        <v>0</v>
      </c>
      <c r="N527">
        <f>'Participant reporting'!N754</f>
        <v>0</v>
      </c>
      <c r="O527">
        <f>'Participant reporting'!O754</f>
        <v>0</v>
      </c>
    </row>
    <row r="528" spans="1:15" x14ac:dyDescent="0.25">
      <c r="A528">
        <f>'Participant reporting'!A755</f>
        <v>0</v>
      </c>
      <c r="B528">
        <f>'Participant reporting'!B755</f>
        <v>0</v>
      </c>
      <c r="C528">
        <f>'Participant reporting'!C755</f>
        <v>0</v>
      </c>
      <c r="D528">
        <f>'Participant reporting'!D755</f>
        <v>0</v>
      </c>
      <c r="E528" s="15">
        <f>'Participant reporting'!E755</f>
        <v>0</v>
      </c>
      <c r="F528">
        <f>'Participant reporting'!F755</f>
        <v>0</v>
      </c>
      <c r="G528">
        <f>'Participant reporting'!G755</f>
        <v>0</v>
      </c>
      <c r="H528">
        <f>'Participant reporting'!H755</f>
        <v>0</v>
      </c>
      <c r="I528">
        <f>'Participant reporting'!I755</f>
        <v>0</v>
      </c>
      <c r="J528">
        <f>'Participant reporting'!J755</f>
        <v>0</v>
      </c>
      <c r="K528">
        <f>'Participant reporting'!K755</f>
        <v>0</v>
      </c>
      <c r="L528">
        <f>'Participant reporting'!L755</f>
        <v>0</v>
      </c>
      <c r="M528">
        <f>'Participant reporting'!M755</f>
        <v>0</v>
      </c>
      <c r="N528">
        <f>'Participant reporting'!N755</f>
        <v>0</v>
      </c>
      <c r="O528">
        <f>'Participant reporting'!O755</f>
        <v>0</v>
      </c>
    </row>
    <row r="529" spans="1:15" x14ac:dyDescent="0.25">
      <c r="A529">
        <f>'Participant reporting'!A756</f>
        <v>0</v>
      </c>
      <c r="B529">
        <f>'Participant reporting'!B756</f>
        <v>0</v>
      </c>
      <c r="C529">
        <f>'Participant reporting'!C756</f>
        <v>0</v>
      </c>
      <c r="D529">
        <f>'Participant reporting'!D756</f>
        <v>0</v>
      </c>
      <c r="E529" s="15">
        <f>'Participant reporting'!E756</f>
        <v>0</v>
      </c>
      <c r="F529">
        <f>'Participant reporting'!F756</f>
        <v>0</v>
      </c>
      <c r="G529">
        <f>'Participant reporting'!G756</f>
        <v>0</v>
      </c>
      <c r="H529">
        <f>'Participant reporting'!H756</f>
        <v>0</v>
      </c>
      <c r="I529">
        <f>'Participant reporting'!I756</f>
        <v>0</v>
      </c>
      <c r="J529">
        <f>'Participant reporting'!J756</f>
        <v>0</v>
      </c>
      <c r="K529">
        <f>'Participant reporting'!K756</f>
        <v>0</v>
      </c>
      <c r="L529">
        <f>'Participant reporting'!L756</f>
        <v>0</v>
      </c>
      <c r="M529">
        <f>'Participant reporting'!M756</f>
        <v>0</v>
      </c>
      <c r="N529">
        <f>'Participant reporting'!N756</f>
        <v>0</v>
      </c>
      <c r="O529">
        <f>'Participant reporting'!O756</f>
        <v>0</v>
      </c>
    </row>
    <row r="530" spans="1:15" x14ac:dyDescent="0.25">
      <c r="A530">
        <f>'Participant reporting'!A757</f>
        <v>0</v>
      </c>
      <c r="B530">
        <f>'Participant reporting'!B757</f>
        <v>0</v>
      </c>
      <c r="C530">
        <f>'Participant reporting'!C757</f>
        <v>0</v>
      </c>
      <c r="D530">
        <f>'Participant reporting'!D757</f>
        <v>0</v>
      </c>
      <c r="E530" s="15">
        <f>'Participant reporting'!E757</f>
        <v>0</v>
      </c>
      <c r="F530">
        <f>'Participant reporting'!F757</f>
        <v>0</v>
      </c>
      <c r="G530">
        <f>'Participant reporting'!G757</f>
        <v>0</v>
      </c>
      <c r="H530">
        <f>'Participant reporting'!H757</f>
        <v>0</v>
      </c>
      <c r="I530">
        <f>'Participant reporting'!I757</f>
        <v>0</v>
      </c>
      <c r="J530">
        <f>'Participant reporting'!J757</f>
        <v>0</v>
      </c>
      <c r="K530">
        <f>'Participant reporting'!K757</f>
        <v>0</v>
      </c>
      <c r="L530">
        <f>'Participant reporting'!L757</f>
        <v>0</v>
      </c>
      <c r="M530">
        <f>'Participant reporting'!M757</f>
        <v>0</v>
      </c>
      <c r="N530">
        <f>'Participant reporting'!N757</f>
        <v>0</v>
      </c>
      <c r="O530">
        <f>'Participant reporting'!O757</f>
        <v>0</v>
      </c>
    </row>
    <row r="531" spans="1:15" x14ac:dyDescent="0.25">
      <c r="A531">
        <f>'Participant reporting'!A758</f>
        <v>0</v>
      </c>
      <c r="B531">
        <f>'Participant reporting'!B758</f>
        <v>0</v>
      </c>
      <c r="C531">
        <f>'Participant reporting'!C758</f>
        <v>0</v>
      </c>
      <c r="D531">
        <f>'Participant reporting'!D758</f>
        <v>0</v>
      </c>
      <c r="E531" s="15">
        <f>'Participant reporting'!E758</f>
        <v>0</v>
      </c>
      <c r="F531">
        <f>'Participant reporting'!F758</f>
        <v>0</v>
      </c>
      <c r="G531">
        <f>'Participant reporting'!G758</f>
        <v>0</v>
      </c>
      <c r="H531">
        <f>'Participant reporting'!H758</f>
        <v>0</v>
      </c>
      <c r="I531">
        <f>'Participant reporting'!I758</f>
        <v>0</v>
      </c>
      <c r="J531">
        <f>'Participant reporting'!J758</f>
        <v>0</v>
      </c>
      <c r="K531">
        <f>'Participant reporting'!K758</f>
        <v>0</v>
      </c>
      <c r="L531">
        <f>'Participant reporting'!L758</f>
        <v>0</v>
      </c>
      <c r="M531">
        <f>'Participant reporting'!M758</f>
        <v>0</v>
      </c>
      <c r="N531">
        <f>'Participant reporting'!N758</f>
        <v>0</v>
      </c>
      <c r="O531">
        <f>'Participant reporting'!O758</f>
        <v>0</v>
      </c>
    </row>
    <row r="532" spans="1:15" x14ac:dyDescent="0.25">
      <c r="A532">
        <f>'Participant reporting'!A759</f>
        <v>0</v>
      </c>
      <c r="B532">
        <f>'Participant reporting'!B759</f>
        <v>0</v>
      </c>
      <c r="C532">
        <f>'Participant reporting'!C759</f>
        <v>0</v>
      </c>
      <c r="D532">
        <f>'Participant reporting'!D759</f>
        <v>0</v>
      </c>
      <c r="E532" s="15">
        <f>'Participant reporting'!E759</f>
        <v>0</v>
      </c>
      <c r="F532">
        <f>'Participant reporting'!F759</f>
        <v>0</v>
      </c>
      <c r="G532">
        <f>'Participant reporting'!G759</f>
        <v>0</v>
      </c>
      <c r="H532">
        <f>'Participant reporting'!H759</f>
        <v>0</v>
      </c>
      <c r="I532">
        <f>'Participant reporting'!I759</f>
        <v>0</v>
      </c>
      <c r="J532">
        <f>'Participant reporting'!J759</f>
        <v>0</v>
      </c>
      <c r="K532">
        <f>'Participant reporting'!K759</f>
        <v>0</v>
      </c>
      <c r="L532">
        <f>'Participant reporting'!L759</f>
        <v>0</v>
      </c>
      <c r="M532">
        <f>'Participant reporting'!M759</f>
        <v>0</v>
      </c>
      <c r="N532">
        <f>'Participant reporting'!N759</f>
        <v>0</v>
      </c>
      <c r="O532">
        <f>'Participant reporting'!O759</f>
        <v>0</v>
      </c>
    </row>
    <row r="533" spans="1:15" x14ac:dyDescent="0.25">
      <c r="A533">
        <f>'Participant reporting'!A760</f>
        <v>0</v>
      </c>
      <c r="B533">
        <f>'Participant reporting'!B760</f>
        <v>0</v>
      </c>
      <c r="C533">
        <f>'Participant reporting'!C760</f>
        <v>0</v>
      </c>
      <c r="D533">
        <f>'Participant reporting'!D760</f>
        <v>0</v>
      </c>
      <c r="E533" s="15">
        <f>'Participant reporting'!E760</f>
        <v>0</v>
      </c>
      <c r="F533">
        <f>'Participant reporting'!F760</f>
        <v>0</v>
      </c>
      <c r="G533">
        <f>'Participant reporting'!G760</f>
        <v>0</v>
      </c>
      <c r="H533">
        <f>'Participant reporting'!H760</f>
        <v>0</v>
      </c>
      <c r="I533">
        <f>'Participant reporting'!I760</f>
        <v>0</v>
      </c>
      <c r="J533">
        <f>'Participant reporting'!J760</f>
        <v>0</v>
      </c>
      <c r="K533">
        <f>'Participant reporting'!K760</f>
        <v>0</v>
      </c>
      <c r="L533">
        <f>'Participant reporting'!L760</f>
        <v>0</v>
      </c>
      <c r="M533">
        <f>'Participant reporting'!M760</f>
        <v>0</v>
      </c>
      <c r="N533">
        <f>'Participant reporting'!N760</f>
        <v>0</v>
      </c>
      <c r="O533">
        <f>'Participant reporting'!O760</f>
        <v>0</v>
      </c>
    </row>
    <row r="534" spans="1:15" x14ac:dyDescent="0.25">
      <c r="A534">
        <f>'Participant reporting'!A761</f>
        <v>0</v>
      </c>
      <c r="B534">
        <f>'Participant reporting'!B761</f>
        <v>0</v>
      </c>
      <c r="C534">
        <f>'Participant reporting'!C761</f>
        <v>0</v>
      </c>
      <c r="D534">
        <f>'Participant reporting'!D761</f>
        <v>0</v>
      </c>
      <c r="E534" s="15">
        <f>'Participant reporting'!E761</f>
        <v>0</v>
      </c>
      <c r="F534">
        <f>'Participant reporting'!F761</f>
        <v>0</v>
      </c>
      <c r="G534">
        <f>'Participant reporting'!G761</f>
        <v>0</v>
      </c>
      <c r="H534">
        <f>'Participant reporting'!H761</f>
        <v>0</v>
      </c>
      <c r="I534">
        <f>'Participant reporting'!I761</f>
        <v>0</v>
      </c>
      <c r="J534">
        <f>'Participant reporting'!J761</f>
        <v>0</v>
      </c>
      <c r="K534">
        <f>'Participant reporting'!K761</f>
        <v>0</v>
      </c>
      <c r="L534">
        <f>'Participant reporting'!L761</f>
        <v>0</v>
      </c>
      <c r="M534">
        <f>'Participant reporting'!M761</f>
        <v>0</v>
      </c>
      <c r="N534">
        <f>'Participant reporting'!N761</f>
        <v>0</v>
      </c>
      <c r="O534">
        <f>'Participant reporting'!O761</f>
        <v>0</v>
      </c>
    </row>
    <row r="535" spans="1:15" x14ac:dyDescent="0.25">
      <c r="A535">
        <f>'Participant reporting'!A762</f>
        <v>0</v>
      </c>
      <c r="B535">
        <f>'Participant reporting'!B762</f>
        <v>0</v>
      </c>
      <c r="C535">
        <f>'Participant reporting'!C762</f>
        <v>0</v>
      </c>
      <c r="D535">
        <f>'Participant reporting'!D762</f>
        <v>0</v>
      </c>
      <c r="E535" s="15">
        <f>'Participant reporting'!E762</f>
        <v>0</v>
      </c>
      <c r="F535">
        <f>'Participant reporting'!F762</f>
        <v>0</v>
      </c>
      <c r="G535">
        <f>'Participant reporting'!G762</f>
        <v>0</v>
      </c>
      <c r="H535">
        <f>'Participant reporting'!H762</f>
        <v>0</v>
      </c>
      <c r="I535">
        <f>'Participant reporting'!I762</f>
        <v>0</v>
      </c>
      <c r="J535">
        <f>'Participant reporting'!J762</f>
        <v>0</v>
      </c>
      <c r="K535">
        <f>'Participant reporting'!K762</f>
        <v>0</v>
      </c>
      <c r="L535">
        <f>'Participant reporting'!L762</f>
        <v>0</v>
      </c>
      <c r="M535">
        <f>'Participant reporting'!M762</f>
        <v>0</v>
      </c>
      <c r="N535">
        <f>'Participant reporting'!N762</f>
        <v>0</v>
      </c>
      <c r="O535">
        <f>'Participant reporting'!O762</f>
        <v>0</v>
      </c>
    </row>
    <row r="536" spans="1:15" x14ac:dyDescent="0.25">
      <c r="A536">
        <f>'Participant reporting'!A763</f>
        <v>0</v>
      </c>
      <c r="B536">
        <f>'Participant reporting'!B763</f>
        <v>0</v>
      </c>
      <c r="C536">
        <f>'Participant reporting'!C763</f>
        <v>0</v>
      </c>
      <c r="D536">
        <f>'Participant reporting'!D763</f>
        <v>0</v>
      </c>
      <c r="E536" s="15">
        <f>'Participant reporting'!E763</f>
        <v>0</v>
      </c>
      <c r="F536">
        <f>'Participant reporting'!F763</f>
        <v>0</v>
      </c>
      <c r="G536">
        <f>'Participant reporting'!G763</f>
        <v>0</v>
      </c>
      <c r="H536">
        <f>'Participant reporting'!H763</f>
        <v>0</v>
      </c>
      <c r="I536">
        <f>'Participant reporting'!I763</f>
        <v>0</v>
      </c>
      <c r="J536">
        <f>'Participant reporting'!J763</f>
        <v>0</v>
      </c>
      <c r="K536">
        <f>'Participant reporting'!K763</f>
        <v>0</v>
      </c>
      <c r="L536">
        <f>'Participant reporting'!L763</f>
        <v>0</v>
      </c>
      <c r="M536">
        <f>'Participant reporting'!M763</f>
        <v>0</v>
      </c>
      <c r="N536">
        <f>'Participant reporting'!N763</f>
        <v>0</v>
      </c>
      <c r="O536">
        <f>'Participant reporting'!O763</f>
        <v>0</v>
      </c>
    </row>
    <row r="537" spans="1:15" x14ac:dyDescent="0.25">
      <c r="A537">
        <f>'Participant reporting'!A764</f>
        <v>0</v>
      </c>
      <c r="B537">
        <f>'Participant reporting'!B764</f>
        <v>0</v>
      </c>
      <c r="C537">
        <f>'Participant reporting'!C764</f>
        <v>0</v>
      </c>
      <c r="D537">
        <f>'Participant reporting'!D764</f>
        <v>0</v>
      </c>
      <c r="E537" s="15">
        <f>'Participant reporting'!E764</f>
        <v>0</v>
      </c>
      <c r="F537">
        <f>'Participant reporting'!F764</f>
        <v>0</v>
      </c>
      <c r="G537">
        <f>'Participant reporting'!G764</f>
        <v>0</v>
      </c>
      <c r="H537">
        <f>'Participant reporting'!H764</f>
        <v>0</v>
      </c>
      <c r="I537">
        <f>'Participant reporting'!I764</f>
        <v>0</v>
      </c>
      <c r="J537">
        <f>'Participant reporting'!J764</f>
        <v>0</v>
      </c>
      <c r="K537">
        <f>'Participant reporting'!K764</f>
        <v>0</v>
      </c>
      <c r="L537">
        <f>'Participant reporting'!L764</f>
        <v>0</v>
      </c>
      <c r="M537">
        <f>'Participant reporting'!M764</f>
        <v>0</v>
      </c>
      <c r="N537">
        <f>'Participant reporting'!N764</f>
        <v>0</v>
      </c>
      <c r="O537">
        <f>'Participant reporting'!O764</f>
        <v>0</v>
      </c>
    </row>
    <row r="538" spans="1:15" x14ac:dyDescent="0.25">
      <c r="A538">
        <f>'Participant reporting'!A765</f>
        <v>0</v>
      </c>
      <c r="B538">
        <f>'Participant reporting'!B765</f>
        <v>0</v>
      </c>
      <c r="C538">
        <f>'Participant reporting'!C765</f>
        <v>0</v>
      </c>
      <c r="D538">
        <f>'Participant reporting'!D765</f>
        <v>0</v>
      </c>
      <c r="E538" s="15">
        <f>'Participant reporting'!E765</f>
        <v>0</v>
      </c>
      <c r="F538">
        <f>'Participant reporting'!F765</f>
        <v>0</v>
      </c>
      <c r="G538">
        <f>'Participant reporting'!G765</f>
        <v>0</v>
      </c>
      <c r="H538">
        <f>'Participant reporting'!H765</f>
        <v>0</v>
      </c>
      <c r="I538">
        <f>'Participant reporting'!I765</f>
        <v>0</v>
      </c>
      <c r="J538">
        <f>'Participant reporting'!J765</f>
        <v>0</v>
      </c>
      <c r="K538">
        <f>'Participant reporting'!K765</f>
        <v>0</v>
      </c>
      <c r="L538">
        <f>'Participant reporting'!L765</f>
        <v>0</v>
      </c>
      <c r="M538">
        <f>'Participant reporting'!M765</f>
        <v>0</v>
      </c>
      <c r="N538">
        <f>'Participant reporting'!N765</f>
        <v>0</v>
      </c>
      <c r="O538">
        <f>'Participant reporting'!O765</f>
        <v>0</v>
      </c>
    </row>
    <row r="539" spans="1:15" x14ac:dyDescent="0.25">
      <c r="A539">
        <f>'Participant reporting'!A766</f>
        <v>0</v>
      </c>
      <c r="B539">
        <f>'Participant reporting'!B766</f>
        <v>0</v>
      </c>
      <c r="C539">
        <f>'Participant reporting'!C766</f>
        <v>0</v>
      </c>
      <c r="D539">
        <f>'Participant reporting'!D766</f>
        <v>0</v>
      </c>
      <c r="E539" s="15">
        <f>'Participant reporting'!E766</f>
        <v>0</v>
      </c>
      <c r="F539">
        <f>'Participant reporting'!F766</f>
        <v>0</v>
      </c>
      <c r="G539">
        <f>'Participant reporting'!G766</f>
        <v>0</v>
      </c>
      <c r="H539">
        <f>'Participant reporting'!H766</f>
        <v>0</v>
      </c>
      <c r="I539">
        <f>'Participant reporting'!I766</f>
        <v>0</v>
      </c>
      <c r="J539">
        <f>'Participant reporting'!J766</f>
        <v>0</v>
      </c>
      <c r="K539">
        <f>'Participant reporting'!K766</f>
        <v>0</v>
      </c>
      <c r="L539">
        <f>'Participant reporting'!L766</f>
        <v>0</v>
      </c>
      <c r="M539">
        <f>'Participant reporting'!M766</f>
        <v>0</v>
      </c>
      <c r="N539">
        <f>'Participant reporting'!N766</f>
        <v>0</v>
      </c>
      <c r="O539">
        <f>'Participant reporting'!O766</f>
        <v>0</v>
      </c>
    </row>
    <row r="540" spans="1:15" x14ac:dyDescent="0.25">
      <c r="A540">
        <f>'Participant reporting'!A767</f>
        <v>0</v>
      </c>
      <c r="B540">
        <f>'Participant reporting'!B767</f>
        <v>0</v>
      </c>
      <c r="C540">
        <f>'Participant reporting'!C767</f>
        <v>0</v>
      </c>
      <c r="D540">
        <f>'Participant reporting'!D767</f>
        <v>0</v>
      </c>
      <c r="E540" s="15">
        <f>'Participant reporting'!E767</f>
        <v>0</v>
      </c>
      <c r="F540">
        <f>'Participant reporting'!F767</f>
        <v>0</v>
      </c>
      <c r="G540">
        <f>'Participant reporting'!G767</f>
        <v>0</v>
      </c>
      <c r="H540">
        <f>'Participant reporting'!H767</f>
        <v>0</v>
      </c>
      <c r="I540">
        <f>'Participant reporting'!I767</f>
        <v>0</v>
      </c>
      <c r="J540">
        <f>'Participant reporting'!J767</f>
        <v>0</v>
      </c>
      <c r="K540">
        <f>'Participant reporting'!K767</f>
        <v>0</v>
      </c>
      <c r="L540">
        <f>'Participant reporting'!L767</f>
        <v>0</v>
      </c>
      <c r="M540">
        <f>'Participant reporting'!M767</f>
        <v>0</v>
      </c>
      <c r="N540">
        <f>'Participant reporting'!N767</f>
        <v>0</v>
      </c>
      <c r="O540">
        <f>'Participant reporting'!O767</f>
        <v>0</v>
      </c>
    </row>
    <row r="541" spans="1:15" x14ac:dyDescent="0.25">
      <c r="A541">
        <f>'Participant reporting'!A768</f>
        <v>0</v>
      </c>
      <c r="B541">
        <f>'Participant reporting'!B768</f>
        <v>0</v>
      </c>
      <c r="C541">
        <f>'Participant reporting'!C768</f>
        <v>0</v>
      </c>
      <c r="D541">
        <f>'Participant reporting'!D768</f>
        <v>0</v>
      </c>
      <c r="E541" s="15">
        <f>'Participant reporting'!E768</f>
        <v>0</v>
      </c>
      <c r="F541">
        <f>'Participant reporting'!F768</f>
        <v>0</v>
      </c>
      <c r="G541">
        <f>'Participant reporting'!G768</f>
        <v>0</v>
      </c>
      <c r="H541">
        <f>'Participant reporting'!H768</f>
        <v>0</v>
      </c>
      <c r="I541">
        <f>'Participant reporting'!I768</f>
        <v>0</v>
      </c>
      <c r="J541">
        <f>'Participant reporting'!J768</f>
        <v>0</v>
      </c>
      <c r="K541">
        <f>'Participant reporting'!K768</f>
        <v>0</v>
      </c>
      <c r="L541">
        <f>'Participant reporting'!L768</f>
        <v>0</v>
      </c>
      <c r="M541">
        <f>'Participant reporting'!M768</f>
        <v>0</v>
      </c>
      <c r="N541">
        <f>'Participant reporting'!N768</f>
        <v>0</v>
      </c>
      <c r="O541">
        <f>'Participant reporting'!O768</f>
        <v>0</v>
      </c>
    </row>
    <row r="542" spans="1:15" x14ac:dyDescent="0.25">
      <c r="A542">
        <f>'Participant reporting'!A769</f>
        <v>0</v>
      </c>
      <c r="B542">
        <f>'Participant reporting'!B769</f>
        <v>0</v>
      </c>
      <c r="C542">
        <f>'Participant reporting'!C769</f>
        <v>0</v>
      </c>
      <c r="D542">
        <f>'Participant reporting'!D769</f>
        <v>0</v>
      </c>
      <c r="E542" s="15">
        <f>'Participant reporting'!E769</f>
        <v>0</v>
      </c>
      <c r="F542">
        <f>'Participant reporting'!F769</f>
        <v>0</v>
      </c>
      <c r="G542">
        <f>'Participant reporting'!G769</f>
        <v>0</v>
      </c>
      <c r="H542">
        <f>'Participant reporting'!H769</f>
        <v>0</v>
      </c>
      <c r="I542">
        <f>'Participant reporting'!I769</f>
        <v>0</v>
      </c>
      <c r="J542">
        <f>'Participant reporting'!J769</f>
        <v>0</v>
      </c>
      <c r="K542">
        <f>'Participant reporting'!K769</f>
        <v>0</v>
      </c>
      <c r="L542">
        <f>'Participant reporting'!L769</f>
        <v>0</v>
      </c>
      <c r="M542">
        <f>'Participant reporting'!M769</f>
        <v>0</v>
      </c>
      <c r="N542">
        <f>'Participant reporting'!N769</f>
        <v>0</v>
      </c>
      <c r="O542">
        <f>'Participant reporting'!O769</f>
        <v>0</v>
      </c>
    </row>
    <row r="543" spans="1:15" x14ac:dyDescent="0.25">
      <c r="A543">
        <f>'Participant reporting'!A770</f>
        <v>0</v>
      </c>
      <c r="B543">
        <f>'Participant reporting'!B770</f>
        <v>0</v>
      </c>
      <c r="C543">
        <f>'Participant reporting'!C770</f>
        <v>0</v>
      </c>
      <c r="D543">
        <f>'Participant reporting'!D770</f>
        <v>0</v>
      </c>
      <c r="E543" s="15">
        <f>'Participant reporting'!E770</f>
        <v>0</v>
      </c>
      <c r="F543">
        <f>'Participant reporting'!F770</f>
        <v>0</v>
      </c>
      <c r="G543">
        <f>'Participant reporting'!G770</f>
        <v>0</v>
      </c>
      <c r="H543">
        <f>'Participant reporting'!H770</f>
        <v>0</v>
      </c>
      <c r="I543">
        <f>'Participant reporting'!I770</f>
        <v>0</v>
      </c>
      <c r="J543">
        <f>'Participant reporting'!J770</f>
        <v>0</v>
      </c>
      <c r="K543">
        <f>'Participant reporting'!K770</f>
        <v>0</v>
      </c>
      <c r="L543">
        <f>'Participant reporting'!L770</f>
        <v>0</v>
      </c>
      <c r="M543">
        <f>'Participant reporting'!M770</f>
        <v>0</v>
      </c>
      <c r="N543">
        <f>'Participant reporting'!N770</f>
        <v>0</v>
      </c>
      <c r="O543">
        <f>'Participant reporting'!O770</f>
        <v>0</v>
      </c>
    </row>
    <row r="544" spans="1:15" x14ac:dyDescent="0.25">
      <c r="A544">
        <f>'Participant reporting'!A771</f>
        <v>0</v>
      </c>
      <c r="B544">
        <f>'Participant reporting'!B771</f>
        <v>0</v>
      </c>
      <c r="C544">
        <f>'Participant reporting'!C771</f>
        <v>0</v>
      </c>
      <c r="D544">
        <f>'Participant reporting'!D771</f>
        <v>0</v>
      </c>
      <c r="E544" s="15">
        <f>'Participant reporting'!E771</f>
        <v>0</v>
      </c>
      <c r="F544">
        <f>'Participant reporting'!F771</f>
        <v>0</v>
      </c>
      <c r="G544">
        <f>'Participant reporting'!G771</f>
        <v>0</v>
      </c>
      <c r="H544">
        <f>'Participant reporting'!H771</f>
        <v>0</v>
      </c>
      <c r="I544">
        <f>'Participant reporting'!I771</f>
        <v>0</v>
      </c>
      <c r="J544">
        <f>'Participant reporting'!J771</f>
        <v>0</v>
      </c>
      <c r="K544">
        <f>'Participant reporting'!K771</f>
        <v>0</v>
      </c>
      <c r="L544">
        <f>'Participant reporting'!L771</f>
        <v>0</v>
      </c>
      <c r="M544">
        <f>'Participant reporting'!M771</f>
        <v>0</v>
      </c>
      <c r="N544">
        <f>'Participant reporting'!N771</f>
        <v>0</v>
      </c>
      <c r="O544">
        <f>'Participant reporting'!O771</f>
        <v>0</v>
      </c>
    </row>
    <row r="545" spans="1:15" x14ac:dyDescent="0.25">
      <c r="A545">
        <f>'Participant reporting'!A772</f>
        <v>0</v>
      </c>
      <c r="B545">
        <f>'Participant reporting'!B772</f>
        <v>0</v>
      </c>
      <c r="C545">
        <f>'Participant reporting'!C772</f>
        <v>0</v>
      </c>
      <c r="D545">
        <f>'Participant reporting'!D772</f>
        <v>0</v>
      </c>
      <c r="E545" s="15">
        <f>'Participant reporting'!E772</f>
        <v>0</v>
      </c>
      <c r="F545">
        <f>'Participant reporting'!F772</f>
        <v>0</v>
      </c>
      <c r="G545">
        <f>'Participant reporting'!G772</f>
        <v>0</v>
      </c>
      <c r="H545">
        <f>'Participant reporting'!H772</f>
        <v>0</v>
      </c>
      <c r="I545">
        <f>'Participant reporting'!I772</f>
        <v>0</v>
      </c>
      <c r="J545">
        <f>'Participant reporting'!J772</f>
        <v>0</v>
      </c>
      <c r="K545">
        <f>'Participant reporting'!K772</f>
        <v>0</v>
      </c>
      <c r="L545">
        <f>'Participant reporting'!L772</f>
        <v>0</v>
      </c>
      <c r="M545">
        <f>'Participant reporting'!M772</f>
        <v>0</v>
      </c>
      <c r="N545">
        <f>'Participant reporting'!N772</f>
        <v>0</v>
      </c>
      <c r="O545">
        <f>'Participant reporting'!O772</f>
        <v>0</v>
      </c>
    </row>
    <row r="546" spans="1:15" x14ac:dyDescent="0.25">
      <c r="A546">
        <f>'Participant reporting'!A773</f>
        <v>0</v>
      </c>
      <c r="B546">
        <f>'Participant reporting'!B773</f>
        <v>0</v>
      </c>
      <c r="C546">
        <f>'Participant reporting'!C773</f>
        <v>0</v>
      </c>
      <c r="D546">
        <f>'Participant reporting'!D773</f>
        <v>0</v>
      </c>
      <c r="E546" s="15">
        <f>'Participant reporting'!E773</f>
        <v>0</v>
      </c>
      <c r="F546">
        <f>'Participant reporting'!F773</f>
        <v>0</v>
      </c>
      <c r="G546">
        <f>'Participant reporting'!G773</f>
        <v>0</v>
      </c>
      <c r="H546">
        <f>'Participant reporting'!H773</f>
        <v>0</v>
      </c>
      <c r="I546">
        <f>'Participant reporting'!I773</f>
        <v>0</v>
      </c>
      <c r="J546">
        <f>'Participant reporting'!J773</f>
        <v>0</v>
      </c>
      <c r="K546">
        <f>'Participant reporting'!K773</f>
        <v>0</v>
      </c>
      <c r="L546">
        <f>'Participant reporting'!L773</f>
        <v>0</v>
      </c>
      <c r="M546">
        <f>'Participant reporting'!M773</f>
        <v>0</v>
      </c>
      <c r="N546">
        <f>'Participant reporting'!N773</f>
        <v>0</v>
      </c>
      <c r="O546">
        <f>'Participant reporting'!O773</f>
        <v>0</v>
      </c>
    </row>
    <row r="547" spans="1:15" x14ac:dyDescent="0.25">
      <c r="A547">
        <f>'Participant reporting'!A774</f>
        <v>0</v>
      </c>
      <c r="B547">
        <f>'Participant reporting'!B774</f>
        <v>0</v>
      </c>
      <c r="C547">
        <f>'Participant reporting'!C774</f>
        <v>0</v>
      </c>
      <c r="D547">
        <f>'Participant reporting'!D774</f>
        <v>0</v>
      </c>
      <c r="E547" s="15">
        <f>'Participant reporting'!E774</f>
        <v>0</v>
      </c>
      <c r="F547">
        <f>'Participant reporting'!F774</f>
        <v>0</v>
      </c>
      <c r="G547">
        <f>'Participant reporting'!G774</f>
        <v>0</v>
      </c>
      <c r="H547">
        <f>'Participant reporting'!H774</f>
        <v>0</v>
      </c>
      <c r="I547">
        <f>'Participant reporting'!I774</f>
        <v>0</v>
      </c>
      <c r="J547">
        <f>'Participant reporting'!J774</f>
        <v>0</v>
      </c>
      <c r="K547">
        <f>'Participant reporting'!K774</f>
        <v>0</v>
      </c>
      <c r="L547">
        <f>'Participant reporting'!L774</f>
        <v>0</v>
      </c>
      <c r="M547">
        <f>'Participant reporting'!M774</f>
        <v>0</v>
      </c>
      <c r="N547">
        <f>'Participant reporting'!N774</f>
        <v>0</v>
      </c>
      <c r="O547">
        <f>'Participant reporting'!O774</f>
        <v>0</v>
      </c>
    </row>
    <row r="548" spans="1:15" x14ac:dyDescent="0.25">
      <c r="A548">
        <f>'Participant reporting'!A775</f>
        <v>0</v>
      </c>
      <c r="B548">
        <f>'Participant reporting'!B775</f>
        <v>0</v>
      </c>
      <c r="C548">
        <f>'Participant reporting'!C775</f>
        <v>0</v>
      </c>
      <c r="D548">
        <f>'Participant reporting'!D775</f>
        <v>0</v>
      </c>
      <c r="E548" s="15">
        <f>'Participant reporting'!E775</f>
        <v>0</v>
      </c>
      <c r="F548">
        <f>'Participant reporting'!F775</f>
        <v>0</v>
      </c>
      <c r="G548">
        <f>'Participant reporting'!G775</f>
        <v>0</v>
      </c>
      <c r="H548">
        <f>'Participant reporting'!H775</f>
        <v>0</v>
      </c>
      <c r="I548">
        <f>'Participant reporting'!I775</f>
        <v>0</v>
      </c>
      <c r="J548">
        <f>'Participant reporting'!J775</f>
        <v>0</v>
      </c>
      <c r="K548">
        <f>'Participant reporting'!K775</f>
        <v>0</v>
      </c>
      <c r="L548">
        <f>'Participant reporting'!L775</f>
        <v>0</v>
      </c>
      <c r="M548">
        <f>'Participant reporting'!M775</f>
        <v>0</v>
      </c>
      <c r="N548">
        <f>'Participant reporting'!N775</f>
        <v>0</v>
      </c>
      <c r="O548">
        <f>'Participant reporting'!O775</f>
        <v>0</v>
      </c>
    </row>
    <row r="549" spans="1:15" x14ac:dyDescent="0.25">
      <c r="A549">
        <f>'Participant reporting'!A776</f>
        <v>0</v>
      </c>
      <c r="B549">
        <f>'Participant reporting'!B776</f>
        <v>0</v>
      </c>
      <c r="C549">
        <f>'Participant reporting'!C776</f>
        <v>0</v>
      </c>
      <c r="D549">
        <f>'Participant reporting'!D776</f>
        <v>0</v>
      </c>
      <c r="E549" s="15">
        <f>'Participant reporting'!E776</f>
        <v>0</v>
      </c>
      <c r="F549">
        <f>'Participant reporting'!F776</f>
        <v>0</v>
      </c>
      <c r="G549">
        <f>'Participant reporting'!G776</f>
        <v>0</v>
      </c>
      <c r="H549">
        <f>'Participant reporting'!H776</f>
        <v>0</v>
      </c>
      <c r="I549">
        <f>'Participant reporting'!I776</f>
        <v>0</v>
      </c>
      <c r="J549">
        <f>'Participant reporting'!J776</f>
        <v>0</v>
      </c>
      <c r="K549">
        <f>'Participant reporting'!K776</f>
        <v>0</v>
      </c>
      <c r="L549">
        <f>'Participant reporting'!L776</f>
        <v>0</v>
      </c>
      <c r="M549">
        <f>'Participant reporting'!M776</f>
        <v>0</v>
      </c>
      <c r="N549">
        <f>'Participant reporting'!N776</f>
        <v>0</v>
      </c>
      <c r="O549">
        <f>'Participant reporting'!O776</f>
        <v>0</v>
      </c>
    </row>
    <row r="550" spans="1:15" x14ac:dyDescent="0.25">
      <c r="A550">
        <f>'Participant reporting'!A777</f>
        <v>0</v>
      </c>
      <c r="B550">
        <f>'Participant reporting'!B777</f>
        <v>0</v>
      </c>
      <c r="C550">
        <f>'Participant reporting'!C777</f>
        <v>0</v>
      </c>
      <c r="D550">
        <f>'Participant reporting'!D777</f>
        <v>0</v>
      </c>
      <c r="E550" s="15">
        <f>'Participant reporting'!E777</f>
        <v>0</v>
      </c>
      <c r="F550">
        <f>'Participant reporting'!F777</f>
        <v>0</v>
      </c>
      <c r="G550">
        <f>'Participant reporting'!G777</f>
        <v>0</v>
      </c>
      <c r="H550">
        <f>'Participant reporting'!H777</f>
        <v>0</v>
      </c>
      <c r="I550">
        <f>'Participant reporting'!I777</f>
        <v>0</v>
      </c>
      <c r="J550">
        <f>'Participant reporting'!J777</f>
        <v>0</v>
      </c>
      <c r="K550">
        <f>'Participant reporting'!K777</f>
        <v>0</v>
      </c>
      <c r="L550">
        <f>'Participant reporting'!L777</f>
        <v>0</v>
      </c>
      <c r="M550">
        <f>'Participant reporting'!M777</f>
        <v>0</v>
      </c>
      <c r="N550">
        <f>'Participant reporting'!N777</f>
        <v>0</v>
      </c>
      <c r="O550">
        <f>'Participant reporting'!O777</f>
        <v>0</v>
      </c>
    </row>
    <row r="551" spans="1:15" x14ac:dyDescent="0.25">
      <c r="A551">
        <f>'Participant reporting'!A778</f>
        <v>0</v>
      </c>
      <c r="B551">
        <f>'Participant reporting'!B778</f>
        <v>0</v>
      </c>
      <c r="C551">
        <f>'Participant reporting'!C778</f>
        <v>0</v>
      </c>
      <c r="D551">
        <f>'Participant reporting'!D778</f>
        <v>0</v>
      </c>
      <c r="E551" s="15">
        <f>'Participant reporting'!E778</f>
        <v>0</v>
      </c>
      <c r="F551">
        <f>'Participant reporting'!F778</f>
        <v>0</v>
      </c>
      <c r="G551">
        <f>'Participant reporting'!G778</f>
        <v>0</v>
      </c>
      <c r="H551">
        <f>'Participant reporting'!H778</f>
        <v>0</v>
      </c>
      <c r="I551">
        <f>'Participant reporting'!I778</f>
        <v>0</v>
      </c>
      <c r="J551">
        <f>'Participant reporting'!J778</f>
        <v>0</v>
      </c>
      <c r="K551">
        <f>'Participant reporting'!K778</f>
        <v>0</v>
      </c>
      <c r="L551">
        <f>'Participant reporting'!L778</f>
        <v>0</v>
      </c>
      <c r="M551">
        <f>'Participant reporting'!M778</f>
        <v>0</v>
      </c>
      <c r="N551">
        <f>'Participant reporting'!N778</f>
        <v>0</v>
      </c>
      <c r="O551">
        <f>'Participant reporting'!O778</f>
        <v>0</v>
      </c>
    </row>
    <row r="552" spans="1:15" x14ac:dyDescent="0.25">
      <c r="A552">
        <f>'Participant reporting'!A779</f>
        <v>0</v>
      </c>
      <c r="B552">
        <f>'Participant reporting'!B779</f>
        <v>0</v>
      </c>
      <c r="C552">
        <f>'Participant reporting'!C779</f>
        <v>0</v>
      </c>
      <c r="D552">
        <f>'Participant reporting'!D779</f>
        <v>0</v>
      </c>
      <c r="E552" s="15">
        <f>'Participant reporting'!E779</f>
        <v>0</v>
      </c>
      <c r="F552">
        <f>'Participant reporting'!F779</f>
        <v>0</v>
      </c>
      <c r="G552">
        <f>'Participant reporting'!G779</f>
        <v>0</v>
      </c>
      <c r="H552">
        <f>'Participant reporting'!H779</f>
        <v>0</v>
      </c>
      <c r="I552">
        <f>'Participant reporting'!I779</f>
        <v>0</v>
      </c>
      <c r="J552">
        <f>'Participant reporting'!J779</f>
        <v>0</v>
      </c>
      <c r="K552">
        <f>'Participant reporting'!K779</f>
        <v>0</v>
      </c>
      <c r="L552">
        <f>'Participant reporting'!L779</f>
        <v>0</v>
      </c>
      <c r="M552">
        <f>'Participant reporting'!M779</f>
        <v>0</v>
      </c>
      <c r="N552">
        <f>'Participant reporting'!N779</f>
        <v>0</v>
      </c>
      <c r="O552">
        <f>'Participant reporting'!O779</f>
        <v>0</v>
      </c>
    </row>
    <row r="553" spans="1:15" x14ac:dyDescent="0.25">
      <c r="A553">
        <f>'Participant reporting'!A780</f>
        <v>0</v>
      </c>
      <c r="B553">
        <f>'Participant reporting'!B780</f>
        <v>0</v>
      </c>
      <c r="C553">
        <f>'Participant reporting'!C780</f>
        <v>0</v>
      </c>
      <c r="D553">
        <f>'Participant reporting'!D780</f>
        <v>0</v>
      </c>
      <c r="E553" s="15">
        <f>'Participant reporting'!E780</f>
        <v>0</v>
      </c>
      <c r="F553">
        <f>'Participant reporting'!F780</f>
        <v>0</v>
      </c>
      <c r="G553">
        <f>'Participant reporting'!G780</f>
        <v>0</v>
      </c>
      <c r="H553">
        <f>'Participant reporting'!H780</f>
        <v>0</v>
      </c>
      <c r="I553">
        <f>'Participant reporting'!I780</f>
        <v>0</v>
      </c>
      <c r="J553">
        <f>'Participant reporting'!J780</f>
        <v>0</v>
      </c>
      <c r="K553">
        <f>'Participant reporting'!K780</f>
        <v>0</v>
      </c>
      <c r="L553">
        <f>'Participant reporting'!L780</f>
        <v>0</v>
      </c>
      <c r="M553">
        <f>'Participant reporting'!M780</f>
        <v>0</v>
      </c>
      <c r="N553">
        <f>'Participant reporting'!N780</f>
        <v>0</v>
      </c>
      <c r="O553">
        <f>'Participant reporting'!O780</f>
        <v>0</v>
      </c>
    </row>
    <row r="554" spans="1:15" x14ac:dyDescent="0.25">
      <c r="A554">
        <f>'Participant reporting'!A781</f>
        <v>0</v>
      </c>
      <c r="B554">
        <f>'Participant reporting'!B781</f>
        <v>0</v>
      </c>
      <c r="C554">
        <f>'Participant reporting'!C781</f>
        <v>0</v>
      </c>
      <c r="D554">
        <f>'Participant reporting'!D781</f>
        <v>0</v>
      </c>
      <c r="E554" s="15">
        <f>'Participant reporting'!E781</f>
        <v>0</v>
      </c>
      <c r="F554">
        <f>'Participant reporting'!F781</f>
        <v>0</v>
      </c>
      <c r="G554">
        <f>'Participant reporting'!G781</f>
        <v>0</v>
      </c>
      <c r="H554">
        <f>'Participant reporting'!H781</f>
        <v>0</v>
      </c>
      <c r="I554">
        <f>'Participant reporting'!I781</f>
        <v>0</v>
      </c>
      <c r="J554">
        <f>'Participant reporting'!J781</f>
        <v>0</v>
      </c>
      <c r="K554">
        <f>'Participant reporting'!K781</f>
        <v>0</v>
      </c>
      <c r="L554">
        <f>'Participant reporting'!L781</f>
        <v>0</v>
      </c>
      <c r="M554">
        <f>'Participant reporting'!M781</f>
        <v>0</v>
      </c>
      <c r="N554">
        <f>'Participant reporting'!N781</f>
        <v>0</v>
      </c>
      <c r="O554">
        <f>'Participant reporting'!O781</f>
        <v>0</v>
      </c>
    </row>
    <row r="555" spans="1:15" x14ac:dyDescent="0.25">
      <c r="A555">
        <f>'Participant reporting'!A782</f>
        <v>0</v>
      </c>
      <c r="B555">
        <f>'Participant reporting'!B782</f>
        <v>0</v>
      </c>
      <c r="C555">
        <f>'Participant reporting'!C782</f>
        <v>0</v>
      </c>
      <c r="D555">
        <f>'Participant reporting'!D782</f>
        <v>0</v>
      </c>
      <c r="E555" s="15">
        <f>'Participant reporting'!E782</f>
        <v>0</v>
      </c>
      <c r="F555">
        <f>'Participant reporting'!F782</f>
        <v>0</v>
      </c>
      <c r="G555">
        <f>'Participant reporting'!G782</f>
        <v>0</v>
      </c>
      <c r="H555">
        <f>'Participant reporting'!H782</f>
        <v>0</v>
      </c>
      <c r="I555">
        <f>'Participant reporting'!I782</f>
        <v>0</v>
      </c>
      <c r="J555">
        <f>'Participant reporting'!J782</f>
        <v>0</v>
      </c>
      <c r="K555">
        <f>'Participant reporting'!K782</f>
        <v>0</v>
      </c>
      <c r="L555">
        <f>'Participant reporting'!L782</f>
        <v>0</v>
      </c>
      <c r="M555">
        <f>'Participant reporting'!M782</f>
        <v>0</v>
      </c>
      <c r="N555">
        <f>'Participant reporting'!N782</f>
        <v>0</v>
      </c>
      <c r="O555">
        <f>'Participant reporting'!O782</f>
        <v>0</v>
      </c>
    </row>
    <row r="556" spans="1:15" x14ac:dyDescent="0.25">
      <c r="A556">
        <f>'Participant reporting'!A783</f>
        <v>0</v>
      </c>
      <c r="B556">
        <f>'Participant reporting'!B783</f>
        <v>0</v>
      </c>
      <c r="C556">
        <f>'Participant reporting'!C783</f>
        <v>0</v>
      </c>
      <c r="D556">
        <f>'Participant reporting'!D783</f>
        <v>0</v>
      </c>
      <c r="E556" s="15">
        <f>'Participant reporting'!E783</f>
        <v>0</v>
      </c>
      <c r="F556">
        <f>'Participant reporting'!F783</f>
        <v>0</v>
      </c>
      <c r="G556">
        <f>'Participant reporting'!G783</f>
        <v>0</v>
      </c>
      <c r="H556">
        <f>'Participant reporting'!H783</f>
        <v>0</v>
      </c>
      <c r="I556">
        <f>'Participant reporting'!I783</f>
        <v>0</v>
      </c>
      <c r="J556">
        <f>'Participant reporting'!J783</f>
        <v>0</v>
      </c>
      <c r="K556">
        <f>'Participant reporting'!K783</f>
        <v>0</v>
      </c>
      <c r="L556">
        <f>'Participant reporting'!L783</f>
        <v>0</v>
      </c>
      <c r="M556">
        <f>'Participant reporting'!M783</f>
        <v>0</v>
      </c>
      <c r="N556">
        <f>'Participant reporting'!N783</f>
        <v>0</v>
      </c>
      <c r="O556">
        <f>'Participant reporting'!O783</f>
        <v>0</v>
      </c>
    </row>
    <row r="557" spans="1:15" x14ac:dyDescent="0.25">
      <c r="A557">
        <f>'Participant reporting'!A784</f>
        <v>0</v>
      </c>
      <c r="B557">
        <f>'Participant reporting'!B784</f>
        <v>0</v>
      </c>
      <c r="C557">
        <f>'Participant reporting'!C784</f>
        <v>0</v>
      </c>
      <c r="D557">
        <f>'Participant reporting'!D784</f>
        <v>0</v>
      </c>
      <c r="E557" s="15">
        <f>'Participant reporting'!E784</f>
        <v>0</v>
      </c>
      <c r="F557">
        <f>'Participant reporting'!F784</f>
        <v>0</v>
      </c>
      <c r="G557">
        <f>'Participant reporting'!G784</f>
        <v>0</v>
      </c>
      <c r="H557">
        <f>'Participant reporting'!H784</f>
        <v>0</v>
      </c>
      <c r="I557">
        <f>'Participant reporting'!I784</f>
        <v>0</v>
      </c>
      <c r="J557">
        <f>'Participant reporting'!J784</f>
        <v>0</v>
      </c>
      <c r="K557">
        <f>'Participant reporting'!K784</f>
        <v>0</v>
      </c>
      <c r="L557">
        <f>'Participant reporting'!L784</f>
        <v>0</v>
      </c>
      <c r="M557">
        <f>'Participant reporting'!M784</f>
        <v>0</v>
      </c>
      <c r="N557">
        <f>'Participant reporting'!N784</f>
        <v>0</v>
      </c>
      <c r="O557">
        <f>'Participant reporting'!O784</f>
        <v>0</v>
      </c>
    </row>
    <row r="558" spans="1:15" x14ac:dyDescent="0.25">
      <c r="A558">
        <f>'Participant reporting'!A785</f>
        <v>0</v>
      </c>
      <c r="B558">
        <f>'Participant reporting'!B785</f>
        <v>0</v>
      </c>
      <c r="C558">
        <f>'Participant reporting'!C785</f>
        <v>0</v>
      </c>
      <c r="D558">
        <f>'Participant reporting'!D785</f>
        <v>0</v>
      </c>
      <c r="E558" s="15">
        <f>'Participant reporting'!E785</f>
        <v>0</v>
      </c>
      <c r="F558">
        <f>'Participant reporting'!F785</f>
        <v>0</v>
      </c>
      <c r="G558">
        <f>'Participant reporting'!G785</f>
        <v>0</v>
      </c>
      <c r="H558">
        <f>'Participant reporting'!H785</f>
        <v>0</v>
      </c>
      <c r="I558">
        <f>'Participant reporting'!I785</f>
        <v>0</v>
      </c>
      <c r="J558">
        <f>'Participant reporting'!J785</f>
        <v>0</v>
      </c>
      <c r="K558">
        <f>'Participant reporting'!K785</f>
        <v>0</v>
      </c>
      <c r="L558">
        <f>'Participant reporting'!L785</f>
        <v>0</v>
      </c>
      <c r="M558">
        <f>'Participant reporting'!M785</f>
        <v>0</v>
      </c>
      <c r="N558">
        <f>'Participant reporting'!N785</f>
        <v>0</v>
      </c>
      <c r="O558">
        <f>'Participant reporting'!O785</f>
        <v>0</v>
      </c>
    </row>
    <row r="559" spans="1:15" x14ac:dyDescent="0.25">
      <c r="A559">
        <f>'Participant reporting'!A786</f>
        <v>0</v>
      </c>
      <c r="B559">
        <f>'Participant reporting'!B786</f>
        <v>0</v>
      </c>
      <c r="C559">
        <f>'Participant reporting'!C786</f>
        <v>0</v>
      </c>
      <c r="D559">
        <f>'Participant reporting'!D786</f>
        <v>0</v>
      </c>
      <c r="E559" s="15">
        <f>'Participant reporting'!E786</f>
        <v>0</v>
      </c>
      <c r="F559">
        <f>'Participant reporting'!F786</f>
        <v>0</v>
      </c>
      <c r="G559">
        <f>'Participant reporting'!G786</f>
        <v>0</v>
      </c>
      <c r="H559">
        <f>'Participant reporting'!H786</f>
        <v>0</v>
      </c>
      <c r="I559">
        <f>'Participant reporting'!I786</f>
        <v>0</v>
      </c>
      <c r="J559">
        <f>'Participant reporting'!J786</f>
        <v>0</v>
      </c>
      <c r="K559">
        <f>'Participant reporting'!K786</f>
        <v>0</v>
      </c>
      <c r="L559">
        <f>'Participant reporting'!L786</f>
        <v>0</v>
      </c>
      <c r="M559">
        <f>'Participant reporting'!M786</f>
        <v>0</v>
      </c>
      <c r="N559">
        <f>'Participant reporting'!N786</f>
        <v>0</v>
      </c>
      <c r="O559">
        <f>'Participant reporting'!O786</f>
        <v>0</v>
      </c>
    </row>
    <row r="560" spans="1:15" x14ac:dyDescent="0.25">
      <c r="A560">
        <f>'Participant reporting'!A787</f>
        <v>0</v>
      </c>
      <c r="B560">
        <f>'Participant reporting'!B787</f>
        <v>0</v>
      </c>
      <c r="C560">
        <f>'Participant reporting'!C787</f>
        <v>0</v>
      </c>
      <c r="D560">
        <f>'Participant reporting'!D787</f>
        <v>0</v>
      </c>
      <c r="E560" s="15">
        <f>'Participant reporting'!E787</f>
        <v>0</v>
      </c>
      <c r="F560">
        <f>'Participant reporting'!F787</f>
        <v>0</v>
      </c>
      <c r="G560">
        <f>'Participant reporting'!G787</f>
        <v>0</v>
      </c>
      <c r="H560">
        <f>'Participant reporting'!H787</f>
        <v>0</v>
      </c>
      <c r="I560">
        <f>'Participant reporting'!I787</f>
        <v>0</v>
      </c>
      <c r="J560">
        <f>'Participant reporting'!J787</f>
        <v>0</v>
      </c>
      <c r="K560">
        <f>'Participant reporting'!K787</f>
        <v>0</v>
      </c>
      <c r="L560">
        <f>'Participant reporting'!L787</f>
        <v>0</v>
      </c>
      <c r="M560">
        <f>'Participant reporting'!M787</f>
        <v>0</v>
      </c>
      <c r="N560">
        <f>'Participant reporting'!N787</f>
        <v>0</v>
      </c>
      <c r="O560">
        <f>'Participant reporting'!O787</f>
        <v>0</v>
      </c>
    </row>
    <row r="561" spans="1:15" x14ac:dyDescent="0.25">
      <c r="A561">
        <f>'Participant reporting'!A788</f>
        <v>0</v>
      </c>
      <c r="B561">
        <f>'Participant reporting'!B788</f>
        <v>0</v>
      </c>
      <c r="C561">
        <f>'Participant reporting'!C788</f>
        <v>0</v>
      </c>
      <c r="D561">
        <f>'Participant reporting'!D788</f>
        <v>0</v>
      </c>
      <c r="E561" s="15">
        <f>'Participant reporting'!E788</f>
        <v>0</v>
      </c>
      <c r="F561">
        <f>'Participant reporting'!F788</f>
        <v>0</v>
      </c>
      <c r="G561">
        <f>'Participant reporting'!G788</f>
        <v>0</v>
      </c>
      <c r="H561">
        <f>'Participant reporting'!H788</f>
        <v>0</v>
      </c>
      <c r="I561">
        <f>'Participant reporting'!I788</f>
        <v>0</v>
      </c>
      <c r="J561">
        <f>'Participant reporting'!J788</f>
        <v>0</v>
      </c>
      <c r="K561">
        <f>'Participant reporting'!K788</f>
        <v>0</v>
      </c>
      <c r="L561">
        <f>'Participant reporting'!L788</f>
        <v>0</v>
      </c>
      <c r="M561">
        <f>'Participant reporting'!M788</f>
        <v>0</v>
      </c>
      <c r="N561">
        <f>'Participant reporting'!N788</f>
        <v>0</v>
      </c>
      <c r="O561">
        <f>'Participant reporting'!O788</f>
        <v>0</v>
      </c>
    </row>
    <row r="562" spans="1:15" x14ac:dyDescent="0.25">
      <c r="A562">
        <f>'Participant reporting'!A789</f>
        <v>0</v>
      </c>
      <c r="B562">
        <f>'Participant reporting'!B789</f>
        <v>0</v>
      </c>
      <c r="C562">
        <f>'Participant reporting'!C789</f>
        <v>0</v>
      </c>
      <c r="D562">
        <f>'Participant reporting'!D789</f>
        <v>0</v>
      </c>
      <c r="E562" s="15">
        <f>'Participant reporting'!E789</f>
        <v>0</v>
      </c>
      <c r="F562">
        <f>'Participant reporting'!F789</f>
        <v>0</v>
      </c>
      <c r="G562">
        <f>'Participant reporting'!G789</f>
        <v>0</v>
      </c>
      <c r="H562">
        <f>'Participant reporting'!H789</f>
        <v>0</v>
      </c>
      <c r="I562">
        <f>'Participant reporting'!I789</f>
        <v>0</v>
      </c>
      <c r="J562">
        <f>'Participant reporting'!J789</f>
        <v>0</v>
      </c>
      <c r="K562">
        <f>'Participant reporting'!K789</f>
        <v>0</v>
      </c>
      <c r="L562">
        <f>'Participant reporting'!L789</f>
        <v>0</v>
      </c>
      <c r="M562">
        <f>'Participant reporting'!M789</f>
        <v>0</v>
      </c>
      <c r="N562">
        <f>'Participant reporting'!N789</f>
        <v>0</v>
      </c>
      <c r="O562">
        <f>'Participant reporting'!O789</f>
        <v>0</v>
      </c>
    </row>
    <row r="563" spans="1:15" x14ac:dyDescent="0.25">
      <c r="A563">
        <f>'Participant reporting'!A790</f>
        <v>0</v>
      </c>
      <c r="B563">
        <f>'Participant reporting'!B790</f>
        <v>0</v>
      </c>
      <c r="C563">
        <f>'Participant reporting'!C790</f>
        <v>0</v>
      </c>
      <c r="D563">
        <f>'Participant reporting'!D790</f>
        <v>0</v>
      </c>
      <c r="E563" s="15">
        <f>'Participant reporting'!E790</f>
        <v>0</v>
      </c>
      <c r="F563">
        <f>'Participant reporting'!F790</f>
        <v>0</v>
      </c>
      <c r="G563">
        <f>'Participant reporting'!G790</f>
        <v>0</v>
      </c>
      <c r="H563">
        <f>'Participant reporting'!H790</f>
        <v>0</v>
      </c>
      <c r="I563">
        <f>'Participant reporting'!I790</f>
        <v>0</v>
      </c>
      <c r="J563">
        <f>'Participant reporting'!J790</f>
        <v>0</v>
      </c>
      <c r="K563">
        <f>'Participant reporting'!K790</f>
        <v>0</v>
      </c>
      <c r="L563">
        <f>'Participant reporting'!L790</f>
        <v>0</v>
      </c>
      <c r="M563">
        <f>'Participant reporting'!M790</f>
        <v>0</v>
      </c>
      <c r="N563">
        <f>'Participant reporting'!N790</f>
        <v>0</v>
      </c>
      <c r="O563">
        <f>'Participant reporting'!O790</f>
        <v>0</v>
      </c>
    </row>
    <row r="564" spans="1:15" x14ac:dyDescent="0.25">
      <c r="A564">
        <f>'Participant reporting'!A791</f>
        <v>0</v>
      </c>
      <c r="B564">
        <f>'Participant reporting'!B791</f>
        <v>0</v>
      </c>
      <c r="C564">
        <f>'Participant reporting'!C791</f>
        <v>0</v>
      </c>
      <c r="D564">
        <f>'Participant reporting'!D791</f>
        <v>0</v>
      </c>
      <c r="E564" s="15">
        <f>'Participant reporting'!E791</f>
        <v>0</v>
      </c>
      <c r="F564">
        <f>'Participant reporting'!F791</f>
        <v>0</v>
      </c>
      <c r="G564">
        <f>'Participant reporting'!G791</f>
        <v>0</v>
      </c>
      <c r="H564">
        <f>'Participant reporting'!H791</f>
        <v>0</v>
      </c>
      <c r="I564">
        <f>'Participant reporting'!I791</f>
        <v>0</v>
      </c>
      <c r="J564">
        <f>'Participant reporting'!J791</f>
        <v>0</v>
      </c>
      <c r="K564">
        <f>'Participant reporting'!K791</f>
        <v>0</v>
      </c>
      <c r="L564">
        <f>'Participant reporting'!L791</f>
        <v>0</v>
      </c>
      <c r="M564">
        <f>'Participant reporting'!M791</f>
        <v>0</v>
      </c>
      <c r="N564">
        <f>'Participant reporting'!N791</f>
        <v>0</v>
      </c>
      <c r="O564">
        <f>'Participant reporting'!O791</f>
        <v>0</v>
      </c>
    </row>
    <row r="565" spans="1:15" x14ac:dyDescent="0.25">
      <c r="A565">
        <f>'Participant reporting'!A792</f>
        <v>0</v>
      </c>
      <c r="B565">
        <f>'Participant reporting'!B792</f>
        <v>0</v>
      </c>
      <c r="C565">
        <f>'Participant reporting'!C792</f>
        <v>0</v>
      </c>
      <c r="D565">
        <f>'Participant reporting'!D792</f>
        <v>0</v>
      </c>
      <c r="E565" s="15">
        <f>'Participant reporting'!E792</f>
        <v>0</v>
      </c>
      <c r="F565">
        <f>'Participant reporting'!F792</f>
        <v>0</v>
      </c>
      <c r="G565">
        <f>'Participant reporting'!G792</f>
        <v>0</v>
      </c>
      <c r="H565">
        <f>'Participant reporting'!H792</f>
        <v>0</v>
      </c>
      <c r="I565">
        <f>'Participant reporting'!I792</f>
        <v>0</v>
      </c>
      <c r="J565">
        <f>'Participant reporting'!J792</f>
        <v>0</v>
      </c>
      <c r="K565">
        <f>'Participant reporting'!K792</f>
        <v>0</v>
      </c>
      <c r="L565">
        <f>'Participant reporting'!L792</f>
        <v>0</v>
      </c>
      <c r="M565">
        <f>'Participant reporting'!M792</f>
        <v>0</v>
      </c>
      <c r="N565">
        <f>'Participant reporting'!N792</f>
        <v>0</v>
      </c>
      <c r="O565">
        <f>'Participant reporting'!O792</f>
        <v>0</v>
      </c>
    </row>
    <row r="566" spans="1:15" x14ac:dyDescent="0.25">
      <c r="A566">
        <f>'Participant reporting'!A793</f>
        <v>0</v>
      </c>
      <c r="B566">
        <f>'Participant reporting'!B793</f>
        <v>0</v>
      </c>
      <c r="C566">
        <f>'Participant reporting'!C793</f>
        <v>0</v>
      </c>
      <c r="D566">
        <f>'Participant reporting'!D793</f>
        <v>0</v>
      </c>
      <c r="E566" s="15">
        <f>'Participant reporting'!E793</f>
        <v>0</v>
      </c>
      <c r="F566">
        <f>'Participant reporting'!F793</f>
        <v>0</v>
      </c>
      <c r="G566">
        <f>'Participant reporting'!G793</f>
        <v>0</v>
      </c>
      <c r="H566">
        <f>'Participant reporting'!H793</f>
        <v>0</v>
      </c>
      <c r="I566">
        <f>'Participant reporting'!I793</f>
        <v>0</v>
      </c>
      <c r="J566">
        <f>'Participant reporting'!J793</f>
        <v>0</v>
      </c>
      <c r="K566">
        <f>'Participant reporting'!K793</f>
        <v>0</v>
      </c>
      <c r="L566">
        <f>'Participant reporting'!L793</f>
        <v>0</v>
      </c>
      <c r="M566">
        <f>'Participant reporting'!M793</f>
        <v>0</v>
      </c>
      <c r="N566">
        <f>'Participant reporting'!N793</f>
        <v>0</v>
      </c>
      <c r="O566">
        <f>'Participant reporting'!O793</f>
        <v>0</v>
      </c>
    </row>
    <row r="567" spans="1:15" x14ac:dyDescent="0.25">
      <c r="A567">
        <f>'Participant reporting'!A794</f>
        <v>0</v>
      </c>
      <c r="B567">
        <f>'Participant reporting'!B794</f>
        <v>0</v>
      </c>
      <c r="C567">
        <f>'Participant reporting'!C794</f>
        <v>0</v>
      </c>
      <c r="D567">
        <f>'Participant reporting'!D794</f>
        <v>0</v>
      </c>
      <c r="E567" s="15">
        <f>'Participant reporting'!E794</f>
        <v>0</v>
      </c>
      <c r="F567">
        <f>'Participant reporting'!F794</f>
        <v>0</v>
      </c>
      <c r="G567">
        <f>'Participant reporting'!G794</f>
        <v>0</v>
      </c>
      <c r="H567">
        <f>'Participant reporting'!H794</f>
        <v>0</v>
      </c>
      <c r="I567">
        <f>'Participant reporting'!I794</f>
        <v>0</v>
      </c>
      <c r="J567">
        <f>'Participant reporting'!J794</f>
        <v>0</v>
      </c>
      <c r="K567">
        <f>'Participant reporting'!K794</f>
        <v>0</v>
      </c>
      <c r="L567">
        <f>'Participant reporting'!L794</f>
        <v>0</v>
      </c>
      <c r="M567">
        <f>'Participant reporting'!M794</f>
        <v>0</v>
      </c>
      <c r="N567">
        <f>'Participant reporting'!N794</f>
        <v>0</v>
      </c>
      <c r="O567">
        <f>'Participant reporting'!O794</f>
        <v>0</v>
      </c>
    </row>
    <row r="568" spans="1:15" x14ac:dyDescent="0.25">
      <c r="A568">
        <f>'Participant reporting'!A795</f>
        <v>0</v>
      </c>
      <c r="B568">
        <f>'Participant reporting'!B795</f>
        <v>0</v>
      </c>
      <c r="C568">
        <f>'Participant reporting'!C795</f>
        <v>0</v>
      </c>
      <c r="D568">
        <f>'Participant reporting'!D795</f>
        <v>0</v>
      </c>
      <c r="E568" s="15">
        <f>'Participant reporting'!E795</f>
        <v>0</v>
      </c>
      <c r="F568">
        <f>'Participant reporting'!F795</f>
        <v>0</v>
      </c>
      <c r="G568">
        <f>'Participant reporting'!G795</f>
        <v>0</v>
      </c>
      <c r="H568">
        <f>'Participant reporting'!H795</f>
        <v>0</v>
      </c>
      <c r="I568">
        <f>'Participant reporting'!I795</f>
        <v>0</v>
      </c>
      <c r="J568">
        <f>'Participant reporting'!J795</f>
        <v>0</v>
      </c>
      <c r="K568">
        <f>'Participant reporting'!K795</f>
        <v>0</v>
      </c>
      <c r="L568">
        <f>'Participant reporting'!L795</f>
        <v>0</v>
      </c>
      <c r="M568">
        <f>'Participant reporting'!M795</f>
        <v>0</v>
      </c>
      <c r="N568">
        <f>'Participant reporting'!N795</f>
        <v>0</v>
      </c>
      <c r="O568">
        <f>'Participant reporting'!O795</f>
        <v>0</v>
      </c>
    </row>
    <row r="569" spans="1:15" x14ac:dyDescent="0.25">
      <c r="A569">
        <f>'Participant reporting'!A796</f>
        <v>0</v>
      </c>
      <c r="B569">
        <f>'Participant reporting'!B796</f>
        <v>0</v>
      </c>
      <c r="C569">
        <f>'Participant reporting'!C796</f>
        <v>0</v>
      </c>
      <c r="D569">
        <f>'Participant reporting'!D796</f>
        <v>0</v>
      </c>
      <c r="E569" s="15">
        <f>'Participant reporting'!E796</f>
        <v>0</v>
      </c>
      <c r="F569">
        <f>'Participant reporting'!F796</f>
        <v>0</v>
      </c>
      <c r="G569">
        <f>'Participant reporting'!G796</f>
        <v>0</v>
      </c>
      <c r="H569">
        <f>'Participant reporting'!H796</f>
        <v>0</v>
      </c>
      <c r="I569">
        <f>'Participant reporting'!I796</f>
        <v>0</v>
      </c>
      <c r="J569">
        <f>'Participant reporting'!J796</f>
        <v>0</v>
      </c>
      <c r="K569">
        <f>'Participant reporting'!K796</f>
        <v>0</v>
      </c>
      <c r="L569">
        <f>'Participant reporting'!L796</f>
        <v>0</v>
      </c>
      <c r="M569">
        <f>'Participant reporting'!M796</f>
        <v>0</v>
      </c>
      <c r="N569">
        <f>'Participant reporting'!N796</f>
        <v>0</v>
      </c>
      <c r="O569">
        <f>'Participant reporting'!O796</f>
        <v>0</v>
      </c>
    </row>
    <row r="570" spans="1:15" x14ac:dyDescent="0.25">
      <c r="A570">
        <f>'Participant reporting'!A797</f>
        <v>0</v>
      </c>
      <c r="B570">
        <f>'Participant reporting'!B797</f>
        <v>0</v>
      </c>
      <c r="C570">
        <f>'Participant reporting'!C797</f>
        <v>0</v>
      </c>
      <c r="D570">
        <f>'Participant reporting'!D797</f>
        <v>0</v>
      </c>
      <c r="E570" s="15">
        <f>'Participant reporting'!E797</f>
        <v>0</v>
      </c>
      <c r="F570">
        <f>'Participant reporting'!F797</f>
        <v>0</v>
      </c>
      <c r="G570">
        <f>'Participant reporting'!G797</f>
        <v>0</v>
      </c>
      <c r="H570">
        <f>'Participant reporting'!H797</f>
        <v>0</v>
      </c>
      <c r="I570">
        <f>'Participant reporting'!I797</f>
        <v>0</v>
      </c>
      <c r="J570">
        <f>'Participant reporting'!J797</f>
        <v>0</v>
      </c>
      <c r="K570">
        <f>'Participant reporting'!K797</f>
        <v>0</v>
      </c>
      <c r="L570">
        <f>'Participant reporting'!L797</f>
        <v>0</v>
      </c>
      <c r="M570">
        <f>'Participant reporting'!M797</f>
        <v>0</v>
      </c>
      <c r="N570">
        <f>'Participant reporting'!N797</f>
        <v>0</v>
      </c>
      <c r="O570">
        <f>'Participant reporting'!O797</f>
        <v>0</v>
      </c>
    </row>
    <row r="571" spans="1:15" x14ac:dyDescent="0.25">
      <c r="A571">
        <f>'Participant reporting'!A798</f>
        <v>0</v>
      </c>
      <c r="B571">
        <f>'Participant reporting'!B798</f>
        <v>0</v>
      </c>
      <c r="C571">
        <f>'Participant reporting'!C798</f>
        <v>0</v>
      </c>
      <c r="D571">
        <f>'Participant reporting'!D798</f>
        <v>0</v>
      </c>
      <c r="E571" s="15">
        <f>'Participant reporting'!E798</f>
        <v>0</v>
      </c>
      <c r="F571">
        <f>'Participant reporting'!F798</f>
        <v>0</v>
      </c>
      <c r="G571">
        <f>'Participant reporting'!G798</f>
        <v>0</v>
      </c>
      <c r="H571">
        <f>'Participant reporting'!H798</f>
        <v>0</v>
      </c>
      <c r="I571">
        <f>'Participant reporting'!I798</f>
        <v>0</v>
      </c>
      <c r="J571">
        <f>'Participant reporting'!J798</f>
        <v>0</v>
      </c>
      <c r="K571">
        <f>'Participant reporting'!K798</f>
        <v>0</v>
      </c>
      <c r="L571">
        <f>'Participant reporting'!L798</f>
        <v>0</v>
      </c>
      <c r="M571">
        <f>'Participant reporting'!M798</f>
        <v>0</v>
      </c>
      <c r="N571">
        <f>'Participant reporting'!N798</f>
        <v>0</v>
      </c>
      <c r="O571">
        <f>'Participant reporting'!O798</f>
        <v>0</v>
      </c>
    </row>
    <row r="572" spans="1:15" x14ac:dyDescent="0.25">
      <c r="A572">
        <f>'Participant reporting'!A799</f>
        <v>0</v>
      </c>
      <c r="B572">
        <f>'Participant reporting'!B799</f>
        <v>0</v>
      </c>
      <c r="C572">
        <f>'Participant reporting'!C799</f>
        <v>0</v>
      </c>
      <c r="D572">
        <f>'Participant reporting'!D799</f>
        <v>0</v>
      </c>
      <c r="E572" s="15">
        <f>'Participant reporting'!E799</f>
        <v>0</v>
      </c>
      <c r="F572">
        <f>'Participant reporting'!F799</f>
        <v>0</v>
      </c>
      <c r="G572">
        <f>'Participant reporting'!G799</f>
        <v>0</v>
      </c>
      <c r="H572">
        <f>'Participant reporting'!H799</f>
        <v>0</v>
      </c>
      <c r="I572">
        <f>'Participant reporting'!I799</f>
        <v>0</v>
      </c>
      <c r="J572">
        <f>'Participant reporting'!J799</f>
        <v>0</v>
      </c>
      <c r="K572">
        <f>'Participant reporting'!K799</f>
        <v>0</v>
      </c>
      <c r="L572">
        <f>'Participant reporting'!L799</f>
        <v>0</v>
      </c>
      <c r="M572">
        <f>'Participant reporting'!M799</f>
        <v>0</v>
      </c>
      <c r="N572">
        <f>'Participant reporting'!N799</f>
        <v>0</v>
      </c>
      <c r="O572">
        <f>'Participant reporting'!O799</f>
        <v>0</v>
      </c>
    </row>
    <row r="573" spans="1:15" x14ac:dyDescent="0.25">
      <c r="A573">
        <f>'Participant reporting'!A800</f>
        <v>0</v>
      </c>
      <c r="B573">
        <f>'Participant reporting'!B800</f>
        <v>0</v>
      </c>
      <c r="C573">
        <f>'Participant reporting'!C800</f>
        <v>0</v>
      </c>
      <c r="D573">
        <f>'Participant reporting'!D800</f>
        <v>0</v>
      </c>
      <c r="E573" s="15">
        <f>'Participant reporting'!E800</f>
        <v>0</v>
      </c>
      <c r="F573">
        <f>'Participant reporting'!F800</f>
        <v>0</v>
      </c>
      <c r="G573">
        <f>'Participant reporting'!G800</f>
        <v>0</v>
      </c>
      <c r="H573">
        <f>'Participant reporting'!H800</f>
        <v>0</v>
      </c>
      <c r="I573">
        <f>'Participant reporting'!I800</f>
        <v>0</v>
      </c>
      <c r="J573">
        <f>'Participant reporting'!J800</f>
        <v>0</v>
      </c>
      <c r="K573">
        <f>'Participant reporting'!K800</f>
        <v>0</v>
      </c>
      <c r="L573">
        <f>'Participant reporting'!L800</f>
        <v>0</v>
      </c>
      <c r="M573">
        <f>'Participant reporting'!M800</f>
        <v>0</v>
      </c>
      <c r="N573">
        <f>'Participant reporting'!N800</f>
        <v>0</v>
      </c>
      <c r="O573">
        <f>'Participant reporting'!O800</f>
        <v>0</v>
      </c>
    </row>
    <row r="574" spans="1:15" x14ac:dyDescent="0.25">
      <c r="A574">
        <f>'Participant reporting'!A801</f>
        <v>0</v>
      </c>
      <c r="B574">
        <f>'Participant reporting'!B801</f>
        <v>0</v>
      </c>
      <c r="C574">
        <f>'Participant reporting'!C801</f>
        <v>0</v>
      </c>
      <c r="D574">
        <f>'Participant reporting'!D801</f>
        <v>0</v>
      </c>
      <c r="E574" s="15">
        <f>'Participant reporting'!E801</f>
        <v>0</v>
      </c>
      <c r="F574">
        <f>'Participant reporting'!F801</f>
        <v>0</v>
      </c>
      <c r="G574">
        <f>'Participant reporting'!G801</f>
        <v>0</v>
      </c>
      <c r="H574">
        <f>'Participant reporting'!H801</f>
        <v>0</v>
      </c>
      <c r="I574">
        <f>'Participant reporting'!I801</f>
        <v>0</v>
      </c>
      <c r="J574">
        <f>'Participant reporting'!J801</f>
        <v>0</v>
      </c>
      <c r="K574">
        <f>'Participant reporting'!K801</f>
        <v>0</v>
      </c>
      <c r="L574">
        <f>'Participant reporting'!L801</f>
        <v>0</v>
      </c>
      <c r="M574">
        <f>'Participant reporting'!M801</f>
        <v>0</v>
      </c>
      <c r="N574">
        <f>'Participant reporting'!N801</f>
        <v>0</v>
      </c>
      <c r="O574">
        <f>'Participant reporting'!O801</f>
        <v>0</v>
      </c>
    </row>
    <row r="575" spans="1:15" x14ac:dyDescent="0.25">
      <c r="A575">
        <f>'Participant reporting'!A802</f>
        <v>0</v>
      </c>
      <c r="B575">
        <f>'Participant reporting'!B802</f>
        <v>0</v>
      </c>
      <c r="C575">
        <f>'Participant reporting'!C802</f>
        <v>0</v>
      </c>
      <c r="D575">
        <f>'Participant reporting'!D802</f>
        <v>0</v>
      </c>
      <c r="E575" s="15">
        <f>'Participant reporting'!E802</f>
        <v>0</v>
      </c>
      <c r="F575">
        <f>'Participant reporting'!F802</f>
        <v>0</v>
      </c>
      <c r="G575">
        <f>'Participant reporting'!G802</f>
        <v>0</v>
      </c>
      <c r="H575">
        <f>'Participant reporting'!H802</f>
        <v>0</v>
      </c>
      <c r="I575">
        <f>'Participant reporting'!I802</f>
        <v>0</v>
      </c>
      <c r="J575">
        <f>'Participant reporting'!J802</f>
        <v>0</v>
      </c>
      <c r="K575">
        <f>'Participant reporting'!K802</f>
        <v>0</v>
      </c>
      <c r="L575">
        <f>'Participant reporting'!L802</f>
        <v>0</v>
      </c>
      <c r="M575">
        <f>'Participant reporting'!M802</f>
        <v>0</v>
      </c>
      <c r="N575">
        <f>'Participant reporting'!N802</f>
        <v>0</v>
      </c>
      <c r="O575">
        <f>'Participant reporting'!O802</f>
        <v>0</v>
      </c>
    </row>
    <row r="576" spans="1:15" x14ac:dyDescent="0.25">
      <c r="A576">
        <f>'Participant reporting'!A803</f>
        <v>0</v>
      </c>
      <c r="B576">
        <f>'Participant reporting'!B803</f>
        <v>0</v>
      </c>
      <c r="C576">
        <f>'Participant reporting'!C803</f>
        <v>0</v>
      </c>
      <c r="D576">
        <f>'Participant reporting'!D803</f>
        <v>0</v>
      </c>
      <c r="E576" s="15">
        <f>'Participant reporting'!E803</f>
        <v>0</v>
      </c>
      <c r="F576">
        <f>'Participant reporting'!F803</f>
        <v>0</v>
      </c>
      <c r="G576">
        <f>'Participant reporting'!G803</f>
        <v>0</v>
      </c>
      <c r="H576">
        <f>'Participant reporting'!H803</f>
        <v>0</v>
      </c>
      <c r="I576">
        <f>'Participant reporting'!I803</f>
        <v>0</v>
      </c>
      <c r="J576">
        <f>'Participant reporting'!J803</f>
        <v>0</v>
      </c>
      <c r="K576">
        <f>'Participant reporting'!K803</f>
        <v>0</v>
      </c>
      <c r="L576">
        <f>'Participant reporting'!L803</f>
        <v>0</v>
      </c>
      <c r="M576">
        <f>'Participant reporting'!M803</f>
        <v>0</v>
      </c>
      <c r="N576">
        <f>'Participant reporting'!N803</f>
        <v>0</v>
      </c>
      <c r="O576">
        <f>'Participant reporting'!O803</f>
        <v>0</v>
      </c>
    </row>
    <row r="577" spans="1:15" x14ac:dyDescent="0.25">
      <c r="A577">
        <f>'Participant reporting'!A804</f>
        <v>0</v>
      </c>
      <c r="B577">
        <f>'Participant reporting'!B804</f>
        <v>0</v>
      </c>
      <c r="C577">
        <f>'Participant reporting'!C804</f>
        <v>0</v>
      </c>
      <c r="D577">
        <f>'Participant reporting'!D804</f>
        <v>0</v>
      </c>
      <c r="E577" s="15">
        <f>'Participant reporting'!E804</f>
        <v>0</v>
      </c>
      <c r="F577">
        <f>'Participant reporting'!F804</f>
        <v>0</v>
      </c>
      <c r="G577">
        <f>'Participant reporting'!G804</f>
        <v>0</v>
      </c>
      <c r="H577">
        <f>'Participant reporting'!H804</f>
        <v>0</v>
      </c>
      <c r="I577">
        <f>'Participant reporting'!I804</f>
        <v>0</v>
      </c>
      <c r="J577">
        <f>'Participant reporting'!J804</f>
        <v>0</v>
      </c>
      <c r="K577">
        <f>'Participant reporting'!K804</f>
        <v>0</v>
      </c>
      <c r="L577">
        <f>'Participant reporting'!L804</f>
        <v>0</v>
      </c>
      <c r="M577">
        <f>'Participant reporting'!M804</f>
        <v>0</v>
      </c>
      <c r="N577">
        <f>'Participant reporting'!N804</f>
        <v>0</v>
      </c>
      <c r="O577">
        <f>'Participant reporting'!O804</f>
        <v>0</v>
      </c>
    </row>
    <row r="578" spans="1:15" x14ac:dyDescent="0.25">
      <c r="A578">
        <f>'Participant reporting'!A805</f>
        <v>0</v>
      </c>
      <c r="B578">
        <f>'Participant reporting'!B805</f>
        <v>0</v>
      </c>
      <c r="C578">
        <f>'Participant reporting'!C805</f>
        <v>0</v>
      </c>
      <c r="D578">
        <f>'Participant reporting'!D805</f>
        <v>0</v>
      </c>
      <c r="E578" s="15">
        <f>'Participant reporting'!E805</f>
        <v>0</v>
      </c>
      <c r="F578">
        <f>'Participant reporting'!F805</f>
        <v>0</v>
      </c>
      <c r="G578">
        <f>'Participant reporting'!G805</f>
        <v>0</v>
      </c>
      <c r="H578">
        <f>'Participant reporting'!H805</f>
        <v>0</v>
      </c>
      <c r="I578">
        <f>'Participant reporting'!I805</f>
        <v>0</v>
      </c>
      <c r="J578">
        <f>'Participant reporting'!J805</f>
        <v>0</v>
      </c>
      <c r="K578">
        <f>'Participant reporting'!K805</f>
        <v>0</v>
      </c>
      <c r="L578">
        <f>'Participant reporting'!L805</f>
        <v>0</v>
      </c>
      <c r="M578">
        <f>'Participant reporting'!M805</f>
        <v>0</v>
      </c>
      <c r="N578">
        <f>'Participant reporting'!N805</f>
        <v>0</v>
      </c>
      <c r="O578">
        <f>'Participant reporting'!O805</f>
        <v>0</v>
      </c>
    </row>
    <row r="579" spans="1:15" x14ac:dyDescent="0.25">
      <c r="A579">
        <f>'Participant reporting'!A806</f>
        <v>0</v>
      </c>
      <c r="B579">
        <f>'Participant reporting'!B806</f>
        <v>0</v>
      </c>
      <c r="C579">
        <f>'Participant reporting'!C806</f>
        <v>0</v>
      </c>
      <c r="D579">
        <f>'Participant reporting'!D806</f>
        <v>0</v>
      </c>
      <c r="E579" s="15">
        <f>'Participant reporting'!E806</f>
        <v>0</v>
      </c>
      <c r="F579">
        <f>'Participant reporting'!F806</f>
        <v>0</v>
      </c>
      <c r="G579">
        <f>'Participant reporting'!G806</f>
        <v>0</v>
      </c>
      <c r="H579">
        <f>'Participant reporting'!H806</f>
        <v>0</v>
      </c>
      <c r="I579">
        <f>'Participant reporting'!I806</f>
        <v>0</v>
      </c>
      <c r="J579">
        <f>'Participant reporting'!J806</f>
        <v>0</v>
      </c>
      <c r="K579">
        <f>'Participant reporting'!K806</f>
        <v>0</v>
      </c>
      <c r="L579">
        <f>'Participant reporting'!L806</f>
        <v>0</v>
      </c>
      <c r="M579">
        <f>'Participant reporting'!M806</f>
        <v>0</v>
      </c>
      <c r="N579">
        <f>'Participant reporting'!N806</f>
        <v>0</v>
      </c>
      <c r="O579">
        <f>'Participant reporting'!O806</f>
        <v>0</v>
      </c>
    </row>
    <row r="580" spans="1:15" x14ac:dyDescent="0.25">
      <c r="A580">
        <f>'Participant reporting'!A807</f>
        <v>0</v>
      </c>
      <c r="B580">
        <f>'Participant reporting'!B807</f>
        <v>0</v>
      </c>
      <c r="C580">
        <f>'Participant reporting'!C807</f>
        <v>0</v>
      </c>
      <c r="D580">
        <f>'Participant reporting'!D807</f>
        <v>0</v>
      </c>
      <c r="E580" s="15">
        <f>'Participant reporting'!E807</f>
        <v>0</v>
      </c>
      <c r="F580">
        <f>'Participant reporting'!F807</f>
        <v>0</v>
      </c>
      <c r="G580">
        <f>'Participant reporting'!G807</f>
        <v>0</v>
      </c>
      <c r="H580">
        <f>'Participant reporting'!H807</f>
        <v>0</v>
      </c>
      <c r="I580">
        <f>'Participant reporting'!I807</f>
        <v>0</v>
      </c>
      <c r="J580">
        <f>'Participant reporting'!J807</f>
        <v>0</v>
      </c>
      <c r="K580">
        <f>'Participant reporting'!K807</f>
        <v>0</v>
      </c>
      <c r="L580">
        <f>'Participant reporting'!L807</f>
        <v>0</v>
      </c>
      <c r="M580">
        <f>'Participant reporting'!M807</f>
        <v>0</v>
      </c>
      <c r="N580">
        <f>'Participant reporting'!N807</f>
        <v>0</v>
      </c>
      <c r="O580">
        <f>'Participant reporting'!O807</f>
        <v>0</v>
      </c>
    </row>
    <row r="581" spans="1:15" x14ac:dyDescent="0.25">
      <c r="A581">
        <f>'Participant reporting'!A808</f>
        <v>0</v>
      </c>
      <c r="B581">
        <f>'Participant reporting'!B808</f>
        <v>0</v>
      </c>
      <c r="C581">
        <f>'Participant reporting'!C808</f>
        <v>0</v>
      </c>
      <c r="D581">
        <f>'Participant reporting'!D808</f>
        <v>0</v>
      </c>
      <c r="E581" s="15">
        <f>'Participant reporting'!E808</f>
        <v>0</v>
      </c>
      <c r="F581">
        <f>'Participant reporting'!F808</f>
        <v>0</v>
      </c>
      <c r="G581">
        <f>'Participant reporting'!G808</f>
        <v>0</v>
      </c>
      <c r="H581">
        <f>'Participant reporting'!H808</f>
        <v>0</v>
      </c>
      <c r="I581">
        <f>'Participant reporting'!I808</f>
        <v>0</v>
      </c>
      <c r="J581">
        <f>'Participant reporting'!J808</f>
        <v>0</v>
      </c>
      <c r="K581">
        <f>'Participant reporting'!K808</f>
        <v>0</v>
      </c>
      <c r="L581">
        <f>'Participant reporting'!L808</f>
        <v>0</v>
      </c>
      <c r="M581">
        <f>'Participant reporting'!M808</f>
        <v>0</v>
      </c>
      <c r="N581">
        <f>'Participant reporting'!N808</f>
        <v>0</v>
      </c>
      <c r="O581">
        <f>'Participant reporting'!O808</f>
        <v>0</v>
      </c>
    </row>
    <row r="582" spans="1:15" x14ac:dyDescent="0.25">
      <c r="A582">
        <f>'Participant reporting'!A809</f>
        <v>0</v>
      </c>
      <c r="B582">
        <f>'Participant reporting'!B809</f>
        <v>0</v>
      </c>
      <c r="C582">
        <f>'Participant reporting'!C809</f>
        <v>0</v>
      </c>
      <c r="D582">
        <f>'Participant reporting'!D809</f>
        <v>0</v>
      </c>
      <c r="E582" s="15">
        <f>'Participant reporting'!E809</f>
        <v>0</v>
      </c>
      <c r="F582">
        <f>'Participant reporting'!F809</f>
        <v>0</v>
      </c>
      <c r="G582">
        <f>'Participant reporting'!G809</f>
        <v>0</v>
      </c>
      <c r="H582">
        <f>'Participant reporting'!H809</f>
        <v>0</v>
      </c>
      <c r="I582">
        <f>'Participant reporting'!I809</f>
        <v>0</v>
      </c>
      <c r="J582">
        <f>'Participant reporting'!J809</f>
        <v>0</v>
      </c>
      <c r="K582">
        <f>'Participant reporting'!K809</f>
        <v>0</v>
      </c>
      <c r="L582">
        <f>'Participant reporting'!L809</f>
        <v>0</v>
      </c>
      <c r="M582">
        <f>'Participant reporting'!M809</f>
        <v>0</v>
      </c>
      <c r="N582">
        <f>'Participant reporting'!N809</f>
        <v>0</v>
      </c>
      <c r="O582">
        <f>'Participant reporting'!O809</f>
        <v>0</v>
      </c>
    </row>
    <row r="583" spans="1:15" x14ac:dyDescent="0.25">
      <c r="A583">
        <f>'Participant reporting'!A810</f>
        <v>0</v>
      </c>
      <c r="B583">
        <f>'Participant reporting'!B810</f>
        <v>0</v>
      </c>
      <c r="C583">
        <f>'Participant reporting'!C810</f>
        <v>0</v>
      </c>
      <c r="D583">
        <f>'Participant reporting'!D810</f>
        <v>0</v>
      </c>
      <c r="E583" s="15">
        <f>'Participant reporting'!E810</f>
        <v>0</v>
      </c>
      <c r="F583">
        <f>'Participant reporting'!F810</f>
        <v>0</v>
      </c>
      <c r="G583">
        <f>'Participant reporting'!G810</f>
        <v>0</v>
      </c>
      <c r="H583">
        <f>'Participant reporting'!H810</f>
        <v>0</v>
      </c>
      <c r="I583">
        <f>'Participant reporting'!I810</f>
        <v>0</v>
      </c>
      <c r="J583">
        <f>'Participant reporting'!J810</f>
        <v>0</v>
      </c>
      <c r="K583">
        <f>'Participant reporting'!K810</f>
        <v>0</v>
      </c>
      <c r="L583">
        <f>'Participant reporting'!L810</f>
        <v>0</v>
      </c>
      <c r="M583">
        <f>'Participant reporting'!M810</f>
        <v>0</v>
      </c>
      <c r="N583">
        <f>'Participant reporting'!N810</f>
        <v>0</v>
      </c>
      <c r="O583">
        <f>'Participant reporting'!O810</f>
        <v>0</v>
      </c>
    </row>
    <row r="584" spans="1:15" x14ac:dyDescent="0.25">
      <c r="A584">
        <f>'Participant reporting'!A811</f>
        <v>0</v>
      </c>
      <c r="B584">
        <f>'Participant reporting'!B811</f>
        <v>0</v>
      </c>
      <c r="C584">
        <f>'Participant reporting'!C811</f>
        <v>0</v>
      </c>
      <c r="D584">
        <f>'Participant reporting'!D811</f>
        <v>0</v>
      </c>
      <c r="E584" s="15">
        <f>'Participant reporting'!E811</f>
        <v>0</v>
      </c>
      <c r="F584">
        <f>'Participant reporting'!F811</f>
        <v>0</v>
      </c>
      <c r="G584">
        <f>'Participant reporting'!G811</f>
        <v>0</v>
      </c>
      <c r="H584">
        <f>'Participant reporting'!H811</f>
        <v>0</v>
      </c>
      <c r="I584">
        <f>'Participant reporting'!I811</f>
        <v>0</v>
      </c>
      <c r="J584">
        <f>'Participant reporting'!J811</f>
        <v>0</v>
      </c>
      <c r="K584">
        <f>'Participant reporting'!K811</f>
        <v>0</v>
      </c>
      <c r="L584">
        <f>'Participant reporting'!L811</f>
        <v>0</v>
      </c>
      <c r="M584">
        <f>'Participant reporting'!M811</f>
        <v>0</v>
      </c>
      <c r="N584">
        <f>'Participant reporting'!N811</f>
        <v>0</v>
      </c>
      <c r="O584">
        <f>'Participant reporting'!O811</f>
        <v>0</v>
      </c>
    </row>
    <row r="585" spans="1:15" x14ac:dyDescent="0.25">
      <c r="A585">
        <f>'Participant reporting'!A812</f>
        <v>0</v>
      </c>
      <c r="B585">
        <f>'Participant reporting'!B812</f>
        <v>0</v>
      </c>
      <c r="C585">
        <f>'Participant reporting'!C812</f>
        <v>0</v>
      </c>
      <c r="D585">
        <f>'Participant reporting'!D812</f>
        <v>0</v>
      </c>
      <c r="E585" s="15">
        <f>'Participant reporting'!E812</f>
        <v>0</v>
      </c>
      <c r="F585">
        <f>'Participant reporting'!F812</f>
        <v>0</v>
      </c>
      <c r="G585">
        <f>'Participant reporting'!G812</f>
        <v>0</v>
      </c>
      <c r="H585">
        <f>'Participant reporting'!H812</f>
        <v>0</v>
      </c>
      <c r="I585">
        <f>'Participant reporting'!I812</f>
        <v>0</v>
      </c>
      <c r="J585">
        <f>'Participant reporting'!J812</f>
        <v>0</v>
      </c>
      <c r="K585">
        <f>'Participant reporting'!K812</f>
        <v>0</v>
      </c>
      <c r="L585">
        <f>'Participant reporting'!L812</f>
        <v>0</v>
      </c>
      <c r="M585">
        <f>'Participant reporting'!M812</f>
        <v>0</v>
      </c>
      <c r="N585">
        <f>'Participant reporting'!N812</f>
        <v>0</v>
      </c>
      <c r="O585">
        <f>'Participant reporting'!O812</f>
        <v>0</v>
      </c>
    </row>
    <row r="586" spans="1:15" x14ac:dyDescent="0.25">
      <c r="A586">
        <f>'Participant reporting'!A813</f>
        <v>0</v>
      </c>
      <c r="B586">
        <f>'Participant reporting'!B813</f>
        <v>0</v>
      </c>
      <c r="C586">
        <f>'Participant reporting'!C813</f>
        <v>0</v>
      </c>
      <c r="D586">
        <f>'Participant reporting'!D813</f>
        <v>0</v>
      </c>
      <c r="E586" s="15">
        <f>'Participant reporting'!E813</f>
        <v>0</v>
      </c>
      <c r="F586">
        <f>'Participant reporting'!F813</f>
        <v>0</v>
      </c>
      <c r="G586">
        <f>'Participant reporting'!G813</f>
        <v>0</v>
      </c>
      <c r="H586">
        <f>'Participant reporting'!H813</f>
        <v>0</v>
      </c>
      <c r="I586">
        <f>'Participant reporting'!I813</f>
        <v>0</v>
      </c>
      <c r="J586">
        <f>'Participant reporting'!J813</f>
        <v>0</v>
      </c>
      <c r="K586">
        <f>'Participant reporting'!K813</f>
        <v>0</v>
      </c>
      <c r="L586">
        <f>'Participant reporting'!L813</f>
        <v>0</v>
      </c>
      <c r="M586">
        <f>'Participant reporting'!M813</f>
        <v>0</v>
      </c>
      <c r="N586">
        <f>'Participant reporting'!N813</f>
        <v>0</v>
      </c>
      <c r="O586">
        <f>'Participant reporting'!O813</f>
        <v>0</v>
      </c>
    </row>
    <row r="587" spans="1:15" x14ac:dyDescent="0.25">
      <c r="A587">
        <f>'Participant reporting'!A814</f>
        <v>0</v>
      </c>
      <c r="B587">
        <f>'Participant reporting'!B814</f>
        <v>0</v>
      </c>
      <c r="C587">
        <f>'Participant reporting'!C814</f>
        <v>0</v>
      </c>
      <c r="D587">
        <f>'Participant reporting'!D814</f>
        <v>0</v>
      </c>
      <c r="E587" s="15">
        <f>'Participant reporting'!E814</f>
        <v>0</v>
      </c>
      <c r="F587">
        <f>'Participant reporting'!F814</f>
        <v>0</v>
      </c>
      <c r="G587">
        <f>'Participant reporting'!G814</f>
        <v>0</v>
      </c>
      <c r="H587">
        <f>'Participant reporting'!H814</f>
        <v>0</v>
      </c>
      <c r="I587">
        <f>'Participant reporting'!I814</f>
        <v>0</v>
      </c>
      <c r="J587">
        <f>'Participant reporting'!J814</f>
        <v>0</v>
      </c>
      <c r="K587">
        <f>'Participant reporting'!K814</f>
        <v>0</v>
      </c>
      <c r="L587">
        <f>'Participant reporting'!L814</f>
        <v>0</v>
      </c>
      <c r="M587">
        <f>'Participant reporting'!M814</f>
        <v>0</v>
      </c>
      <c r="N587">
        <f>'Participant reporting'!N814</f>
        <v>0</v>
      </c>
      <c r="O587">
        <f>'Participant reporting'!O814</f>
        <v>0</v>
      </c>
    </row>
    <row r="588" spans="1:15" x14ac:dyDescent="0.25">
      <c r="A588">
        <f>'Participant reporting'!A815</f>
        <v>0</v>
      </c>
      <c r="B588">
        <f>'Participant reporting'!B815</f>
        <v>0</v>
      </c>
      <c r="C588">
        <f>'Participant reporting'!C815</f>
        <v>0</v>
      </c>
      <c r="D588">
        <f>'Participant reporting'!D815</f>
        <v>0</v>
      </c>
      <c r="E588" s="15">
        <f>'Participant reporting'!E815</f>
        <v>0</v>
      </c>
      <c r="F588">
        <f>'Participant reporting'!F815</f>
        <v>0</v>
      </c>
      <c r="G588">
        <f>'Participant reporting'!G815</f>
        <v>0</v>
      </c>
      <c r="H588">
        <f>'Participant reporting'!H815</f>
        <v>0</v>
      </c>
      <c r="I588">
        <f>'Participant reporting'!I815</f>
        <v>0</v>
      </c>
      <c r="J588">
        <f>'Participant reporting'!J815</f>
        <v>0</v>
      </c>
      <c r="K588">
        <f>'Participant reporting'!K815</f>
        <v>0</v>
      </c>
      <c r="L588">
        <f>'Participant reporting'!L815</f>
        <v>0</v>
      </c>
      <c r="M588">
        <f>'Participant reporting'!M815</f>
        <v>0</v>
      </c>
      <c r="N588">
        <f>'Participant reporting'!N815</f>
        <v>0</v>
      </c>
      <c r="O588">
        <f>'Participant reporting'!O815</f>
        <v>0</v>
      </c>
    </row>
    <row r="589" spans="1:15" x14ac:dyDescent="0.25">
      <c r="A589">
        <f>'Participant reporting'!A816</f>
        <v>0</v>
      </c>
      <c r="B589">
        <f>'Participant reporting'!B816</f>
        <v>0</v>
      </c>
      <c r="C589">
        <f>'Participant reporting'!C816</f>
        <v>0</v>
      </c>
      <c r="D589">
        <f>'Participant reporting'!D816</f>
        <v>0</v>
      </c>
      <c r="E589" s="15">
        <f>'Participant reporting'!E816</f>
        <v>0</v>
      </c>
      <c r="F589">
        <f>'Participant reporting'!F816</f>
        <v>0</v>
      </c>
      <c r="G589">
        <f>'Participant reporting'!G816</f>
        <v>0</v>
      </c>
      <c r="H589">
        <f>'Participant reporting'!H816</f>
        <v>0</v>
      </c>
      <c r="I589">
        <f>'Participant reporting'!I816</f>
        <v>0</v>
      </c>
      <c r="J589">
        <f>'Participant reporting'!J816</f>
        <v>0</v>
      </c>
      <c r="K589">
        <f>'Participant reporting'!K816</f>
        <v>0</v>
      </c>
      <c r="L589">
        <f>'Participant reporting'!L816</f>
        <v>0</v>
      </c>
      <c r="M589">
        <f>'Participant reporting'!M816</f>
        <v>0</v>
      </c>
      <c r="N589">
        <f>'Participant reporting'!N816</f>
        <v>0</v>
      </c>
      <c r="O589">
        <f>'Participant reporting'!O816</f>
        <v>0</v>
      </c>
    </row>
    <row r="590" spans="1:15" x14ac:dyDescent="0.25">
      <c r="A590">
        <f>'Participant reporting'!A817</f>
        <v>0</v>
      </c>
      <c r="B590">
        <f>'Participant reporting'!B817</f>
        <v>0</v>
      </c>
      <c r="C590">
        <f>'Participant reporting'!C817</f>
        <v>0</v>
      </c>
      <c r="D590">
        <f>'Participant reporting'!D817</f>
        <v>0</v>
      </c>
      <c r="E590" s="15">
        <f>'Participant reporting'!E817</f>
        <v>0</v>
      </c>
      <c r="F590">
        <f>'Participant reporting'!F817</f>
        <v>0</v>
      </c>
      <c r="G590">
        <f>'Participant reporting'!G817</f>
        <v>0</v>
      </c>
      <c r="H590">
        <f>'Participant reporting'!H817</f>
        <v>0</v>
      </c>
      <c r="I590">
        <f>'Participant reporting'!I817</f>
        <v>0</v>
      </c>
      <c r="J590">
        <f>'Participant reporting'!J817</f>
        <v>0</v>
      </c>
      <c r="K590">
        <f>'Participant reporting'!K817</f>
        <v>0</v>
      </c>
      <c r="L590">
        <f>'Participant reporting'!L817</f>
        <v>0</v>
      </c>
      <c r="M590">
        <f>'Participant reporting'!M817</f>
        <v>0</v>
      </c>
      <c r="N590">
        <f>'Participant reporting'!N817</f>
        <v>0</v>
      </c>
      <c r="O590">
        <f>'Participant reporting'!O817</f>
        <v>0</v>
      </c>
    </row>
    <row r="591" spans="1:15" x14ac:dyDescent="0.25">
      <c r="A591">
        <f>'Participant reporting'!A818</f>
        <v>0</v>
      </c>
      <c r="B591">
        <f>'Participant reporting'!B818</f>
        <v>0</v>
      </c>
      <c r="C591">
        <f>'Participant reporting'!C818</f>
        <v>0</v>
      </c>
      <c r="D591">
        <f>'Participant reporting'!D818</f>
        <v>0</v>
      </c>
      <c r="E591" s="15">
        <f>'Participant reporting'!E818</f>
        <v>0</v>
      </c>
      <c r="F591">
        <f>'Participant reporting'!F818</f>
        <v>0</v>
      </c>
      <c r="G591">
        <f>'Participant reporting'!G818</f>
        <v>0</v>
      </c>
      <c r="H591">
        <f>'Participant reporting'!H818</f>
        <v>0</v>
      </c>
      <c r="I591">
        <f>'Participant reporting'!I818</f>
        <v>0</v>
      </c>
      <c r="J591">
        <f>'Participant reporting'!J818</f>
        <v>0</v>
      </c>
      <c r="K591">
        <f>'Participant reporting'!K818</f>
        <v>0</v>
      </c>
      <c r="L591">
        <f>'Participant reporting'!L818</f>
        <v>0</v>
      </c>
      <c r="M591">
        <f>'Participant reporting'!M818</f>
        <v>0</v>
      </c>
      <c r="N591">
        <f>'Participant reporting'!N818</f>
        <v>0</v>
      </c>
      <c r="O591">
        <f>'Participant reporting'!O818</f>
        <v>0</v>
      </c>
    </row>
    <row r="592" spans="1:15" x14ac:dyDescent="0.25">
      <c r="A592">
        <f>'Participant reporting'!A819</f>
        <v>0</v>
      </c>
      <c r="B592">
        <f>'Participant reporting'!B819</f>
        <v>0</v>
      </c>
      <c r="C592">
        <f>'Participant reporting'!C819</f>
        <v>0</v>
      </c>
      <c r="D592">
        <f>'Participant reporting'!D819</f>
        <v>0</v>
      </c>
      <c r="E592" s="15">
        <f>'Participant reporting'!E819</f>
        <v>0</v>
      </c>
      <c r="F592">
        <f>'Participant reporting'!F819</f>
        <v>0</v>
      </c>
      <c r="G592">
        <f>'Participant reporting'!G819</f>
        <v>0</v>
      </c>
      <c r="H592">
        <f>'Participant reporting'!H819</f>
        <v>0</v>
      </c>
      <c r="I592">
        <f>'Participant reporting'!I819</f>
        <v>0</v>
      </c>
      <c r="J592">
        <f>'Participant reporting'!J819</f>
        <v>0</v>
      </c>
      <c r="K592">
        <f>'Participant reporting'!K819</f>
        <v>0</v>
      </c>
      <c r="L592">
        <f>'Participant reporting'!L819</f>
        <v>0</v>
      </c>
      <c r="M592">
        <f>'Participant reporting'!M819</f>
        <v>0</v>
      </c>
      <c r="N592">
        <f>'Participant reporting'!N819</f>
        <v>0</v>
      </c>
      <c r="O592">
        <f>'Participant reporting'!O819</f>
        <v>0</v>
      </c>
    </row>
    <row r="593" spans="1:15" x14ac:dyDescent="0.25">
      <c r="A593">
        <f>'Participant reporting'!A820</f>
        <v>0</v>
      </c>
      <c r="B593">
        <f>'Participant reporting'!B820</f>
        <v>0</v>
      </c>
      <c r="C593">
        <f>'Participant reporting'!C820</f>
        <v>0</v>
      </c>
      <c r="D593">
        <f>'Participant reporting'!D820</f>
        <v>0</v>
      </c>
      <c r="E593" s="15">
        <f>'Participant reporting'!E820</f>
        <v>0</v>
      </c>
      <c r="F593">
        <f>'Participant reporting'!F820</f>
        <v>0</v>
      </c>
      <c r="G593">
        <f>'Participant reporting'!G820</f>
        <v>0</v>
      </c>
      <c r="H593">
        <f>'Participant reporting'!H820</f>
        <v>0</v>
      </c>
      <c r="I593">
        <f>'Participant reporting'!I820</f>
        <v>0</v>
      </c>
      <c r="J593">
        <f>'Participant reporting'!J820</f>
        <v>0</v>
      </c>
      <c r="K593">
        <f>'Participant reporting'!K820</f>
        <v>0</v>
      </c>
      <c r="L593">
        <f>'Participant reporting'!L820</f>
        <v>0</v>
      </c>
      <c r="M593">
        <f>'Participant reporting'!M820</f>
        <v>0</v>
      </c>
      <c r="N593">
        <f>'Participant reporting'!N820</f>
        <v>0</v>
      </c>
      <c r="O593">
        <f>'Participant reporting'!O820</f>
        <v>0</v>
      </c>
    </row>
    <row r="594" spans="1:15" x14ac:dyDescent="0.25">
      <c r="A594">
        <f>'Participant reporting'!A821</f>
        <v>0</v>
      </c>
      <c r="B594">
        <f>'Participant reporting'!B821</f>
        <v>0</v>
      </c>
      <c r="C594">
        <f>'Participant reporting'!C821</f>
        <v>0</v>
      </c>
      <c r="D594">
        <f>'Participant reporting'!D821</f>
        <v>0</v>
      </c>
      <c r="E594" s="15">
        <f>'Participant reporting'!E821</f>
        <v>0</v>
      </c>
      <c r="F594">
        <f>'Participant reporting'!F821</f>
        <v>0</v>
      </c>
      <c r="G594">
        <f>'Participant reporting'!G821</f>
        <v>0</v>
      </c>
      <c r="H594">
        <f>'Participant reporting'!H821</f>
        <v>0</v>
      </c>
      <c r="I594">
        <f>'Participant reporting'!I821</f>
        <v>0</v>
      </c>
      <c r="J594">
        <f>'Participant reporting'!J821</f>
        <v>0</v>
      </c>
      <c r="K594">
        <f>'Participant reporting'!K821</f>
        <v>0</v>
      </c>
      <c r="L594">
        <f>'Participant reporting'!L821</f>
        <v>0</v>
      </c>
      <c r="M594">
        <f>'Participant reporting'!M821</f>
        <v>0</v>
      </c>
      <c r="N594">
        <f>'Participant reporting'!N821</f>
        <v>0</v>
      </c>
      <c r="O594">
        <f>'Participant reporting'!O821</f>
        <v>0</v>
      </c>
    </row>
    <row r="595" spans="1:15" x14ac:dyDescent="0.25">
      <c r="A595">
        <f>'Participant reporting'!A822</f>
        <v>0</v>
      </c>
      <c r="B595">
        <f>'Participant reporting'!B822</f>
        <v>0</v>
      </c>
      <c r="C595">
        <f>'Participant reporting'!C822</f>
        <v>0</v>
      </c>
      <c r="D595">
        <f>'Participant reporting'!D822</f>
        <v>0</v>
      </c>
      <c r="E595" s="15">
        <f>'Participant reporting'!E822</f>
        <v>0</v>
      </c>
      <c r="F595">
        <f>'Participant reporting'!F822</f>
        <v>0</v>
      </c>
      <c r="G595">
        <f>'Participant reporting'!G822</f>
        <v>0</v>
      </c>
      <c r="H595">
        <f>'Participant reporting'!H822</f>
        <v>0</v>
      </c>
      <c r="I595">
        <f>'Participant reporting'!I822</f>
        <v>0</v>
      </c>
      <c r="J595">
        <f>'Participant reporting'!J822</f>
        <v>0</v>
      </c>
      <c r="K595">
        <f>'Participant reporting'!K822</f>
        <v>0</v>
      </c>
      <c r="L595">
        <f>'Participant reporting'!L822</f>
        <v>0</v>
      </c>
      <c r="M595">
        <f>'Participant reporting'!M822</f>
        <v>0</v>
      </c>
      <c r="N595">
        <f>'Participant reporting'!N822</f>
        <v>0</v>
      </c>
      <c r="O595">
        <f>'Participant reporting'!O822</f>
        <v>0</v>
      </c>
    </row>
    <row r="596" spans="1:15" x14ac:dyDescent="0.25">
      <c r="A596">
        <f>'Participant reporting'!A823</f>
        <v>0</v>
      </c>
      <c r="B596">
        <f>'Participant reporting'!B823</f>
        <v>0</v>
      </c>
      <c r="C596">
        <f>'Participant reporting'!C823</f>
        <v>0</v>
      </c>
      <c r="D596">
        <f>'Participant reporting'!D823</f>
        <v>0</v>
      </c>
      <c r="E596" s="15">
        <f>'Participant reporting'!E823</f>
        <v>0</v>
      </c>
      <c r="F596">
        <f>'Participant reporting'!F823</f>
        <v>0</v>
      </c>
      <c r="G596">
        <f>'Participant reporting'!G823</f>
        <v>0</v>
      </c>
      <c r="H596">
        <f>'Participant reporting'!H823</f>
        <v>0</v>
      </c>
      <c r="I596">
        <f>'Participant reporting'!I823</f>
        <v>0</v>
      </c>
      <c r="J596">
        <f>'Participant reporting'!J823</f>
        <v>0</v>
      </c>
      <c r="K596">
        <f>'Participant reporting'!K823</f>
        <v>0</v>
      </c>
      <c r="L596">
        <f>'Participant reporting'!L823</f>
        <v>0</v>
      </c>
      <c r="M596">
        <f>'Participant reporting'!M823</f>
        <v>0</v>
      </c>
      <c r="N596">
        <f>'Participant reporting'!N823</f>
        <v>0</v>
      </c>
      <c r="O596">
        <f>'Participant reporting'!O823</f>
        <v>0</v>
      </c>
    </row>
    <row r="597" spans="1:15" x14ac:dyDescent="0.25">
      <c r="A597">
        <f>'Participant reporting'!A824</f>
        <v>0</v>
      </c>
      <c r="B597">
        <f>'Participant reporting'!B824</f>
        <v>0</v>
      </c>
      <c r="C597">
        <f>'Participant reporting'!C824</f>
        <v>0</v>
      </c>
      <c r="D597">
        <f>'Participant reporting'!D824</f>
        <v>0</v>
      </c>
      <c r="E597" s="15">
        <f>'Participant reporting'!E824</f>
        <v>0</v>
      </c>
      <c r="F597">
        <f>'Participant reporting'!F824</f>
        <v>0</v>
      </c>
      <c r="G597">
        <f>'Participant reporting'!G824</f>
        <v>0</v>
      </c>
      <c r="H597">
        <f>'Participant reporting'!H824</f>
        <v>0</v>
      </c>
      <c r="I597">
        <f>'Participant reporting'!I824</f>
        <v>0</v>
      </c>
      <c r="J597">
        <f>'Participant reporting'!J824</f>
        <v>0</v>
      </c>
      <c r="K597">
        <f>'Participant reporting'!K824</f>
        <v>0</v>
      </c>
      <c r="L597">
        <f>'Participant reporting'!L824</f>
        <v>0</v>
      </c>
      <c r="M597">
        <f>'Participant reporting'!M824</f>
        <v>0</v>
      </c>
      <c r="N597">
        <f>'Participant reporting'!N824</f>
        <v>0</v>
      </c>
      <c r="O597">
        <f>'Participant reporting'!O824</f>
        <v>0</v>
      </c>
    </row>
    <row r="598" spans="1:15" x14ac:dyDescent="0.25">
      <c r="A598">
        <f>'Participant reporting'!A825</f>
        <v>0</v>
      </c>
      <c r="B598">
        <f>'Participant reporting'!B825</f>
        <v>0</v>
      </c>
      <c r="C598">
        <f>'Participant reporting'!C825</f>
        <v>0</v>
      </c>
      <c r="D598">
        <f>'Participant reporting'!D825</f>
        <v>0</v>
      </c>
      <c r="E598" s="15">
        <f>'Participant reporting'!E825</f>
        <v>0</v>
      </c>
      <c r="F598">
        <f>'Participant reporting'!F825</f>
        <v>0</v>
      </c>
      <c r="G598">
        <f>'Participant reporting'!G825</f>
        <v>0</v>
      </c>
      <c r="H598">
        <f>'Participant reporting'!H825</f>
        <v>0</v>
      </c>
      <c r="I598">
        <f>'Participant reporting'!I825</f>
        <v>0</v>
      </c>
      <c r="J598">
        <f>'Participant reporting'!J825</f>
        <v>0</v>
      </c>
      <c r="K598">
        <f>'Participant reporting'!K825</f>
        <v>0</v>
      </c>
      <c r="L598">
        <f>'Participant reporting'!L825</f>
        <v>0</v>
      </c>
      <c r="M598">
        <f>'Participant reporting'!M825</f>
        <v>0</v>
      </c>
      <c r="N598">
        <f>'Participant reporting'!N825</f>
        <v>0</v>
      </c>
      <c r="O598">
        <f>'Participant reporting'!O825</f>
        <v>0</v>
      </c>
    </row>
    <row r="599" spans="1:15" x14ac:dyDescent="0.25">
      <c r="A599">
        <f>'Participant reporting'!A826</f>
        <v>0</v>
      </c>
      <c r="B599">
        <f>'Participant reporting'!B826</f>
        <v>0</v>
      </c>
      <c r="C599">
        <f>'Participant reporting'!C826</f>
        <v>0</v>
      </c>
      <c r="D599">
        <f>'Participant reporting'!D826</f>
        <v>0</v>
      </c>
      <c r="E599" s="15">
        <f>'Participant reporting'!E826</f>
        <v>0</v>
      </c>
      <c r="F599">
        <f>'Participant reporting'!F826</f>
        <v>0</v>
      </c>
      <c r="G599">
        <f>'Participant reporting'!G826</f>
        <v>0</v>
      </c>
      <c r="H599">
        <f>'Participant reporting'!H826</f>
        <v>0</v>
      </c>
      <c r="I599">
        <f>'Participant reporting'!I826</f>
        <v>0</v>
      </c>
      <c r="J599">
        <f>'Participant reporting'!J826</f>
        <v>0</v>
      </c>
      <c r="K599">
        <f>'Participant reporting'!K826</f>
        <v>0</v>
      </c>
      <c r="L599">
        <f>'Participant reporting'!L826</f>
        <v>0</v>
      </c>
      <c r="M599">
        <f>'Participant reporting'!M826</f>
        <v>0</v>
      </c>
      <c r="N599">
        <f>'Participant reporting'!N826</f>
        <v>0</v>
      </c>
      <c r="O599">
        <f>'Participant reporting'!O826</f>
        <v>0</v>
      </c>
    </row>
    <row r="600" spans="1:15" x14ac:dyDescent="0.25">
      <c r="A600">
        <f>'Participant reporting'!A827</f>
        <v>0</v>
      </c>
      <c r="B600">
        <f>'Participant reporting'!B827</f>
        <v>0</v>
      </c>
      <c r="C600">
        <f>'Participant reporting'!C827</f>
        <v>0</v>
      </c>
      <c r="D600">
        <f>'Participant reporting'!D827</f>
        <v>0</v>
      </c>
      <c r="E600" s="15">
        <f>'Participant reporting'!E827</f>
        <v>0</v>
      </c>
      <c r="F600">
        <f>'Participant reporting'!F827</f>
        <v>0</v>
      </c>
      <c r="G600">
        <f>'Participant reporting'!G827</f>
        <v>0</v>
      </c>
      <c r="H600">
        <f>'Participant reporting'!H827</f>
        <v>0</v>
      </c>
      <c r="I600">
        <f>'Participant reporting'!I827</f>
        <v>0</v>
      </c>
      <c r="J600">
        <f>'Participant reporting'!J827</f>
        <v>0</v>
      </c>
      <c r="K600">
        <f>'Participant reporting'!K827</f>
        <v>0</v>
      </c>
      <c r="L600">
        <f>'Participant reporting'!L827</f>
        <v>0</v>
      </c>
      <c r="M600">
        <f>'Participant reporting'!M827</f>
        <v>0</v>
      </c>
      <c r="N600">
        <f>'Participant reporting'!N827</f>
        <v>0</v>
      </c>
      <c r="O600">
        <f>'Participant reporting'!O827</f>
        <v>0</v>
      </c>
    </row>
    <row r="601" spans="1:15" x14ac:dyDescent="0.25">
      <c r="A601">
        <f>'Participant reporting'!A828</f>
        <v>0</v>
      </c>
      <c r="B601">
        <f>'Participant reporting'!B828</f>
        <v>0</v>
      </c>
      <c r="C601">
        <f>'Participant reporting'!C828</f>
        <v>0</v>
      </c>
      <c r="D601">
        <f>'Participant reporting'!D828</f>
        <v>0</v>
      </c>
      <c r="E601" s="15">
        <f>'Participant reporting'!E828</f>
        <v>0</v>
      </c>
      <c r="F601">
        <f>'Participant reporting'!F828</f>
        <v>0</v>
      </c>
      <c r="G601">
        <f>'Participant reporting'!G828</f>
        <v>0</v>
      </c>
      <c r="H601">
        <f>'Participant reporting'!H828</f>
        <v>0</v>
      </c>
      <c r="I601">
        <f>'Participant reporting'!I828</f>
        <v>0</v>
      </c>
      <c r="J601">
        <f>'Participant reporting'!J828</f>
        <v>0</v>
      </c>
      <c r="K601">
        <f>'Participant reporting'!K828</f>
        <v>0</v>
      </c>
      <c r="L601">
        <f>'Participant reporting'!L828</f>
        <v>0</v>
      </c>
      <c r="M601">
        <f>'Participant reporting'!M828</f>
        <v>0</v>
      </c>
      <c r="N601">
        <f>'Participant reporting'!N828</f>
        <v>0</v>
      </c>
      <c r="O601">
        <f>'Participant reporting'!O828</f>
        <v>0</v>
      </c>
    </row>
    <row r="602" spans="1:15" x14ac:dyDescent="0.25">
      <c r="A602">
        <f>'Participant reporting'!A829</f>
        <v>0</v>
      </c>
      <c r="B602">
        <f>'Participant reporting'!B829</f>
        <v>0</v>
      </c>
      <c r="C602">
        <f>'Participant reporting'!C829</f>
        <v>0</v>
      </c>
      <c r="D602">
        <f>'Participant reporting'!D829</f>
        <v>0</v>
      </c>
      <c r="E602" s="15">
        <f>'Participant reporting'!E829</f>
        <v>0</v>
      </c>
      <c r="F602">
        <f>'Participant reporting'!F829</f>
        <v>0</v>
      </c>
      <c r="G602">
        <f>'Participant reporting'!G829</f>
        <v>0</v>
      </c>
      <c r="H602">
        <f>'Participant reporting'!H829</f>
        <v>0</v>
      </c>
      <c r="I602">
        <f>'Participant reporting'!I829</f>
        <v>0</v>
      </c>
      <c r="J602">
        <f>'Participant reporting'!J829</f>
        <v>0</v>
      </c>
      <c r="K602">
        <f>'Participant reporting'!K829</f>
        <v>0</v>
      </c>
      <c r="L602">
        <f>'Participant reporting'!L829</f>
        <v>0</v>
      </c>
      <c r="M602">
        <f>'Participant reporting'!M829</f>
        <v>0</v>
      </c>
      <c r="N602">
        <f>'Participant reporting'!N829</f>
        <v>0</v>
      </c>
      <c r="O602">
        <f>'Participant reporting'!O829</f>
        <v>0</v>
      </c>
    </row>
    <row r="603" spans="1:15" x14ac:dyDescent="0.25">
      <c r="A603">
        <f>'Participant reporting'!A830</f>
        <v>0</v>
      </c>
      <c r="B603">
        <f>'Participant reporting'!B830</f>
        <v>0</v>
      </c>
      <c r="C603">
        <f>'Participant reporting'!C830</f>
        <v>0</v>
      </c>
      <c r="D603">
        <f>'Participant reporting'!D830</f>
        <v>0</v>
      </c>
      <c r="E603" s="15">
        <f>'Participant reporting'!E830</f>
        <v>0</v>
      </c>
      <c r="F603">
        <f>'Participant reporting'!F830</f>
        <v>0</v>
      </c>
      <c r="G603">
        <f>'Participant reporting'!G830</f>
        <v>0</v>
      </c>
      <c r="H603">
        <f>'Participant reporting'!H830</f>
        <v>0</v>
      </c>
      <c r="I603">
        <f>'Participant reporting'!I830</f>
        <v>0</v>
      </c>
      <c r="J603">
        <f>'Participant reporting'!J830</f>
        <v>0</v>
      </c>
      <c r="K603">
        <f>'Participant reporting'!K830</f>
        <v>0</v>
      </c>
      <c r="L603">
        <f>'Participant reporting'!L830</f>
        <v>0</v>
      </c>
      <c r="M603">
        <f>'Participant reporting'!M830</f>
        <v>0</v>
      </c>
      <c r="N603">
        <f>'Participant reporting'!N830</f>
        <v>0</v>
      </c>
      <c r="O603">
        <f>'Participant reporting'!O830</f>
        <v>0</v>
      </c>
    </row>
    <row r="604" spans="1:15" x14ac:dyDescent="0.25">
      <c r="A604">
        <f>'Participant reporting'!A831</f>
        <v>0</v>
      </c>
      <c r="B604">
        <f>'Participant reporting'!B831</f>
        <v>0</v>
      </c>
      <c r="C604">
        <f>'Participant reporting'!C831</f>
        <v>0</v>
      </c>
      <c r="D604">
        <f>'Participant reporting'!D831</f>
        <v>0</v>
      </c>
      <c r="E604" s="15">
        <f>'Participant reporting'!E831</f>
        <v>0</v>
      </c>
      <c r="F604">
        <f>'Participant reporting'!F831</f>
        <v>0</v>
      </c>
      <c r="G604">
        <f>'Participant reporting'!G831</f>
        <v>0</v>
      </c>
      <c r="H604">
        <f>'Participant reporting'!H831</f>
        <v>0</v>
      </c>
      <c r="I604">
        <f>'Participant reporting'!I831</f>
        <v>0</v>
      </c>
      <c r="J604">
        <f>'Participant reporting'!J831</f>
        <v>0</v>
      </c>
      <c r="K604">
        <f>'Participant reporting'!K831</f>
        <v>0</v>
      </c>
      <c r="L604">
        <f>'Participant reporting'!L831</f>
        <v>0</v>
      </c>
      <c r="M604">
        <f>'Participant reporting'!M831</f>
        <v>0</v>
      </c>
      <c r="N604">
        <f>'Participant reporting'!N831</f>
        <v>0</v>
      </c>
      <c r="O604">
        <f>'Participant reporting'!O831</f>
        <v>0</v>
      </c>
    </row>
    <row r="605" spans="1:15" x14ac:dyDescent="0.25">
      <c r="A605">
        <f>'Participant reporting'!A832</f>
        <v>0</v>
      </c>
      <c r="B605">
        <f>'Participant reporting'!B832</f>
        <v>0</v>
      </c>
      <c r="C605">
        <f>'Participant reporting'!C832</f>
        <v>0</v>
      </c>
      <c r="D605">
        <f>'Participant reporting'!D832</f>
        <v>0</v>
      </c>
      <c r="E605" s="15">
        <f>'Participant reporting'!E832</f>
        <v>0</v>
      </c>
      <c r="F605">
        <f>'Participant reporting'!F832</f>
        <v>0</v>
      </c>
      <c r="G605">
        <f>'Participant reporting'!G832</f>
        <v>0</v>
      </c>
      <c r="H605">
        <f>'Participant reporting'!H832</f>
        <v>0</v>
      </c>
      <c r="I605">
        <f>'Participant reporting'!I832</f>
        <v>0</v>
      </c>
      <c r="J605">
        <f>'Participant reporting'!J832</f>
        <v>0</v>
      </c>
      <c r="K605">
        <f>'Participant reporting'!K832</f>
        <v>0</v>
      </c>
      <c r="L605">
        <f>'Participant reporting'!L832</f>
        <v>0</v>
      </c>
      <c r="M605">
        <f>'Participant reporting'!M832</f>
        <v>0</v>
      </c>
      <c r="N605">
        <f>'Participant reporting'!N832</f>
        <v>0</v>
      </c>
      <c r="O605">
        <f>'Participant reporting'!O832</f>
        <v>0</v>
      </c>
    </row>
    <row r="606" spans="1:15" x14ac:dyDescent="0.25">
      <c r="A606">
        <f>'Participant reporting'!A833</f>
        <v>0</v>
      </c>
      <c r="B606">
        <f>'Participant reporting'!B833</f>
        <v>0</v>
      </c>
      <c r="C606">
        <f>'Participant reporting'!C833</f>
        <v>0</v>
      </c>
      <c r="D606">
        <f>'Participant reporting'!D833</f>
        <v>0</v>
      </c>
      <c r="E606" s="15">
        <f>'Participant reporting'!E833</f>
        <v>0</v>
      </c>
      <c r="F606">
        <f>'Participant reporting'!F833</f>
        <v>0</v>
      </c>
      <c r="G606">
        <f>'Participant reporting'!G833</f>
        <v>0</v>
      </c>
      <c r="H606">
        <f>'Participant reporting'!H833</f>
        <v>0</v>
      </c>
      <c r="I606">
        <f>'Participant reporting'!I833</f>
        <v>0</v>
      </c>
      <c r="J606">
        <f>'Participant reporting'!J833</f>
        <v>0</v>
      </c>
      <c r="K606">
        <f>'Participant reporting'!K833</f>
        <v>0</v>
      </c>
      <c r="L606">
        <f>'Participant reporting'!L833</f>
        <v>0</v>
      </c>
      <c r="M606">
        <f>'Participant reporting'!M833</f>
        <v>0</v>
      </c>
      <c r="N606">
        <f>'Participant reporting'!N833</f>
        <v>0</v>
      </c>
      <c r="O606">
        <f>'Participant reporting'!O833</f>
        <v>0</v>
      </c>
    </row>
    <row r="607" spans="1:15" x14ac:dyDescent="0.25">
      <c r="A607">
        <f>'Participant reporting'!A834</f>
        <v>0</v>
      </c>
      <c r="B607">
        <f>'Participant reporting'!B834</f>
        <v>0</v>
      </c>
      <c r="C607">
        <f>'Participant reporting'!C834</f>
        <v>0</v>
      </c>
      <c r="D607">
        <f>'Participant reporting'!D834</f>
        <v>0</v>
      </c>
      <c r="E607" s="15">
        <f>'Participant reporting'!E834</f>
        <v>0</v>
      </c>
      <c r="F607">
        <f>'Participant reporting'!F834</f>
        <v>0</v>
      </c>
      <c r="G607">
        <f>'Participant reporting'!G834</f>
        <v>0</v>
      </c>
      <c r="H607">
        <f>'Participant reporting'!H834</f>
        <v>0</v>
      </c>
      <c r="I607">
        <f>'Participant reporting'!I834</f>
        <v>0</v>
      </c>
      <c r="J607">
        <f>'Participant reporting'!J834</f>
        <v>0</v>
      </c>
      <c r="K607">
        <f>'Participant reporting'!K834</f>
        <v>0</v>
      </c>
      <c r="L607">
        <f>'Participant reporting'!L834</f>
        <v>0</v>
      </c>
      <c r="M607">
        <f>'Participant reporting'!M834</f>
        <v>0</v>
      </c>
      <c r="N607">
        <f>'Participant reporting'!N834</f>
        <v>0</v>
      </c>
      <c r="O607">
        <f>'Participant reporting'!O834</f>
        <v>0</v>
      </c>
    </row>
    <row r="608" spans="1:15" x14ac:dyDescent="0.25">
      <c r="A608">
        <f>'Participant reporting'!A835</f>
        <v>0</v>
      </c>
      <c r="B608">
        <f>'Participant reporting'!B835</f>
        <v>0</v>
      </c>
      <c r="C608">
        <f>'Participant reporting'!C835</f>
        <v>0</v>
      </c>
      <c r="D608">
        <f>'Participant reporting'!D835</f>
        <v>0</v>
      </c>
      <c r="E608" s="15">
        <f>'Participant reporting'!E835</f>
        <v>0</v>
      </c>
      <c r="F608">
        <f>'Participant reporting'!F835</f>
        <v>0</v>
      </c>
      <c r="G608">
        <f>'Participant reporting'!G835</f>
        <v>0</v>
      </c>
      <c r="H608">
        <f>'Participant reporting'!H835</f>
        <v>0</v>
      </c>
      <c r="I608">
        <f>'Participant reporting'!I835</f>
        <v>0</v>
      </c>
      <c r="J608">
        <f>'Participant reporting'!J835</f>
        <v>0</v>
      </c>
      <c r="K608">
        <f>'Participant reporting'!K835</f>
        <v>0</v>
      </c>
      <c r="L608">
        <f>'Participant reporting'!L835</f>
        <v>0</v>
      </c>
      <c r="M608">
        <f>'Participant reporting'!M835</f>
        <v>0</v>
      </c>
      <c r="N608">
        <f>'Participant reporting'!N835</f>
        <v>0</v>
      </c>
      <c r="O608">
        <f>'Participant reporting'!O835</f>
        <v>0</v>
      </c>
    </row>
    <row r="609" spans="1:15" x14ac:dyDescent="0.25">
      <c r="A609">
        <f>'Participant reporting'!A836</f>
        <v>0</v>
      </c>
      <c r="B609">
        <f>'Participant reporting'!B836</f>
        <v>0</v>
      </c>
      <c r="C609">
        <f>'Participant reporting'!C836</f>
        <v>0</v>
      </c>
      <c r="D609">
        <f>'Participant reporting'!D836</f>
        <v>0</v>
      </c>
      <c r="E609" s="15">
        <f>'Participant reporting'!E836</f>
        <v>0</v>
      </c>
      <c r="F609">
        <f>'Participant reporting'!F836</f>
        <v>0</v>
      </c>
      <c r="G609">
        <f>'Participant reporting'!G836</f>
        <v>0</v>
      </c>
      <c r="H609">
        <f>'Participant reporting'!H836</f>
        <v>0</v>
      </c>
      <c r="I609">
        <f>'Participant reporting'!I836</f>
        <v>0</v>
      </c>
      <c r="J609">
        <f>'Participant reporting'!J836</f>
        <v>0</v>
      </c>
      <c r="K609">
        <f>'Participant reporting'!K836</f>
        <v>0</v>
      </c>
      <c r="L609">
        <f>'Participant reporting'!L836</f>
        <v>0</v>
      </c>
      <c r="M609">
        <f>'Participant reporting'!M836</f>
        <v>0</v>
      </c>
      <c r="N609">
        <f>'Participant reporting'!N836</f>
        <v>0</v>
      </c>
      <c r="O609">
        <f>'Participant reporting'!O836</f>
        <v>0</v>
      </c>
    </row>
    <row r="610" spans="1:15" x14ac:dyDescent="0.25">
      <c r="A610">
        <f>'Participant reporting'!A837</f>
        <v>0</v>
      </c>
      <c r="B610">
        <f>'Participant reporting'!B837</f>
        <v>0</v>
      </c>
      <c r="C610">
        <f>'Participant reporting'!C837</f>
        <v>0</v>
      </c>
      <c r="D610">
        <f>'Participant reporting'!D837</f>
        <v>0</v>
      </c>
      <c r="E610" s="15">
        <f>'Participant reporting'!E837</f>
        <v>0</v>
      </c>
      <c r="F610">
        <f>'Participant reporting'!F837</f>
        <v>0</v>
      </c>
      <c r="G610">
        <f>'Participant reporting'!G837</f>
        <v>0</v>
      </c>
      <c r="H610">
        <f>'Participant reporting'!H837</f>
        <v>0</v>
      </c>
      <c r="I610">
        <f>'Participant reporting'!I837</f>
        <v>0</v>
      </c>
      <c r="J610">
        <f>'Participant reporting'!J837</f>
        <v>0</v>
      </c>
      <c r="K610">
        <f>'Participant reporting'!K837</f>
        <v>0</v>
      </c>
      <c r="L610">
        <f>'Participant reporting'!L837</f>
        <v>0</v>
      </c>
      <c r="M610">
        <f>'Participant reporting'!M837</f>
        <v>0</v>
      </c>
      <c r="N610">
        <f>'Participant reporting'!N837</f>
        <v>0</v>
      </c>
      <c r="O610">
        <f>'Participant reporting'!O837</f>
        <v>0</v>
      </c>
    </row>
    <row r="611" spans="1:15" x14ac:dyDescent="0.25">
      <c r="A611">
        <f>'Participant reporting'!A838</f>
        <v>0</v>
      </c>
      <c r="B611">
        <f>'Participant reporting'!B838</f>
        <v>0</v>
      </c>
      <c r="C611">
        <f>'Participant reporting'!C838</f>
        <v>0</v>
      </c>
      <c r="D611">
        <f>'Participant reporting'!D838</f>
        <v>0</v>
      </c>
      <c r="E611" s="15">
        <f>'Participant reporting'!E838</f>
        <v>0</v>
      </c>
      <c r="F611">
        <f>'Participant reporting'!F838</f>
        <v>0</v>
      </c>
      <c r="G611">
        <f>'Participant reporting'!G838</f>
        <v>0</v>
      </c>
      <c r="H611">
        <f>'Participant reporting'!H838</f>
        <v>0</v>
      </c>
      <c r="I611">
        <f>'Participant reporting'!I838</f>
        <v>0</v>
      </c>
      <c r="J611">
        <f>'Participant reporting'!J838</f>
        <v>0</v>
      </c>
      <c r="K611">
        <f>'Participant reporting'!K838</f>
        <v>0</v>
      </c>
      <c r="L611">
        <f>'Participant reporting'!L838</f>
        <v>0</v>
      </c>
      <c r="M611">
        <f>'Participant reporting'!M838</f>
        <v>0</v>
      </c>
      <c r="N611">
        <f>'Participant reporting'!N838</f>
        <v>0</v>
      </c>
      <c r="O611">
        <f>'Participant reporting'!O838</f>
        <v>0</v>
      </c>
    </row>
    <row r="612" spans="1:15" x14ac:dyDescent="0.25">
      <c r="A612">
        <f>'Participant reporting'!A839</f>
        <v>0</v>
      </c>
      <c r="B612">
        <f>'Participant reporting'!B839</f>
        <v>0</v>
      </c>
      <c r="C612">
        <f>'Participant reporting'!C839</f>
        <v>0</v>
      </c>
      <c r="D612">
        <f>'Participant reporting'!D839</f>
        <v>0</v>
      </c>
      <c r="E612" s="15">
        <f>'Participant reporting'!E839</f>
        <v>0</v>
      </c>
      <c r="F612">
        <f>'Participant reporting'!F839</f>
        <v>0</v>
      </c>
      <c r="G612">
        <f>'Participant reporting'!G839</f>
        <v>0</v>
      </c>
      <c r="H612">
        <f>'Participant reporting'!H839</f>
        <v>0</v>
      </c>
      <c r="I612">
        <f>'Participant reporting'!I839</f>
        <v>0</v>
      </c>
      <c r="J612">
        <f>'Participant reporting'!J839</f>
        <v>0</v>
      </c>
      <c r="K612">
        <f>'Participant reporting'!K839</f>
        <v>0</v>
      </c>
      <c r="L612">
        <f>'Participant reporting'!L839</f>
        <v>0</v>
      </c>
      <c r="M612">
        <f>'Participant reporting'!M839</f>
        <v>0</v>
      </c>
      <c r="N612">
        <f>'Participant reporting'!N839</f>
        <v>0</v>
      </c>
      <c r="O612">
        <f>'Participant reporting'!O839</f>
        <v>0</v>
      </c>
    </row>
    <row r="613" spans="1:15" x14ac:dyDescent="0.25">
      <c r="A613">
        <f>'Participant reporting'!A840</f>
        <v>0</v>
      </c>
      <c r="B613">
        <f>'Participant reporting'!B840</f>
        <v>0</v>
      </c>
      <c r="C613">
        <f>'Participant reporting'!C840</f>
        <v>0</v>
      </c>
      <c r="D613">
        <f>'Participant reporting'!D840</f>
        <v>0</v>
      </c>
      <c r="E613" s="15">
        <f>'Participant reporting'!E840</f>
        <v>0</v>
      </c>
      <c r="F613">
        <f>'Participant reporting'!F840</f>
        <v>0</v>
      </c>
      <c r="G613">
        <f>'Participant reporting'!G840</f>
        <v>0</v>
      </c>
      <c r="H613">
        <f>'Participant reporting'!H840</f>
        <v>0</v>
      </c>
      <c r="I613">
        <f>'Participant reporting'!I840</f>
        <v>0</v>
      </c>
      <c r="J613">
        <f>'Participant reporting'!J840</f>
        <v>0</v>
      </c>
      <c r="K613">
        <f>'Participant reporting'!K840</f>
        <v>0</v>
      </c>
      <c r="L613">
        <f>'Participant reporting'!L840</f>
        <v>0</v>
      </c>
      <c r="M613">
        <f>'Participant reporting'!M840</f>
        <v>0</v>
      </c>
      <c r="N613">
        <f>'Participant reporting'!N840</f>
        <v>0</v>
      </c>
      <c r="O613">
        <f>'Participant reporting'!O840</f>
        <v>0</v>
      </c>
    </row>
    <row r="614" spans="1:15" x14ac:dyDescent="0.25">
      <c r="A614">
        <f>'Participant reporting'!A841</f>
        <v>0</v>
      </c>
      <c r="B614">
        <f>'Participant reporting'!B841</f>
        <v>0</v>
      </c>
      <c r="C614">
        <f>'Participant reporting'!C841</f>
        <v>0</v>
      </c>
      <c r="D614">
        <f>'Participant reporting'!D841</f>
        <v>0</v>
      </c>
      <c r="E614" s="15">
        <f>'Participant reporting'!E841</f>
        <v>0</v>
      </c>
      <c r="F614">
        <f>'Participant reporting'!F841</f>
        <v>0</v>
      </c>
      <c r="G614">
        <f>'Participant reporting'!G841</f>
        <v>0</v>
      </c>
      <c r="H614">
        <f>'Participant reporting'!H841</f>
        <v>0</v>
      </c>
      <c r="I614">
        <f>'Participant reporting'!I841</f>
        <v>0</v>
      </c>
      <c r="J614">
        <f>'Participant reporting'!J841</f>
        <v>0</v>
      </c>
      <c r="K614">
        <f>'Participant reporting'!K841</f>
        <v>0</v>
      </c>
      <c r="L614">
        <f>'Participant reporting'!L841</f>
        <v>0</v>
      </c>
      <c r="M614">
        <f>'Participant reporting'!M841</f>
        <v>0</v>
      </c>
      <c r="N614">
        <f>'Participant reporting'!N841</f>
        <v>0</v>
      </c>
      <c r="O614">
        <f>'Participant reporting'!O841</f>
        <v>0</v>
      </c>
    </row>
    <row r="615" spans="1:15" x14ac:dyDescent="0.25">
      <c r="A615">
        <f>'Participant reporting'!A842</f>
        <v>0</v>
      </c>
      <c r="B615">
        <f>'Participant reporting'!B842</f>
        <v>0</v>
      </c>
      <c r="C615">
        <f>'Participant reporting'!C842</f>
        <v>0</v>
      </c>
      <c r="D615">
        <f>'Participant reporting'!D842</f>
        <v>0</v>
      </c>
      <c r="E615" s="15">
        <f>'Participant reporting'!E842</f>
        <v>0</v>
      </c>
      <c r="F615">
        <f>'Participant reporting'!F842</f>
        <v>0</v>
      </c>
      <c r="G615">
        <f>'Participant reporting'!G842</f>
        <v>0</v>
      </c>
      <c r="H615">
        <f>'Participant reporting'!H842</f>
        <v>0</v>
      </c>
      <c r="I615">
        <f>'Participant reporting'!I842</f>
        <v>0</v>
      </c>
      <c r="J615">
        <f>'Participant reporting'!J842</f>
        <v>0</v>
      </c>
      <c r="K615">
        <f>'Participant reporting'!K842</f>
        <v>0</v>
      </c>
      <c r="L615">
        <f>'Participant reporting'!L842</f>
        <v>0</v>
      </c>
      <c r="M615">
        <f>'Participant reporting'!M842</f>
        <v>0</v>
      </c>
      <c r="N615">
        <f>'Participant reporting'!N842</f>
        <v>0</v>
      </c>
      <c r="O615">
        <f>'Participant reporting'!O842</f>
        <v>0</v>
      </c>
    </row>
    <row r="616" spans="1:15" x14ac:dyDescent="0.25">
      <c r="A616">
        <f>'Participant reporting'!A843</f>
        <v>0</v>
      </c>
      <c r="B616">
        <f>'Participant reporting'!B843</f>
        <v>0</v>
      </c>
      <c r="C616">
        <f>'Participant reporting'!C843</f>
        <v>0</v>
      </c>
      <c r="D616">
        <f>'Participant reporting'!D843</f>
        <v>0</v>
      </c>
      <c r="E616" s="15">
        <f>'Participant reporting'!E843</f>
        <v>0</v>
      </c>
      <c r="F616">
        <f>'Participant reporting'!F843</f>
        <v>0</v>
      </c>
      <c r="G616">
        <f>'Participant reporting'!G843</f>
        <v>0</v>
      </c>
      <c r="H616">
        <f>'Participant reporting'!H843</f>
        <v>0</v>
      </c>
      <c r="I616">
        <f>'Participant reporting'!I843</f>
        <v>0</v>
      </c>
      <c r="J616">
        <f>'Participant reporting'!J843</f>
        <v>0</v>
      </c>
      <c r="K616">
        <f>'Participant reporting'!K843</f>
        <v>0</v>
      </c>
      <c r="L616">
        <f>'Participant reporting'!L843</f>
        <v>0</v>
      </c>
      <c r="M616">
        <f>'Participant reporting'!M843</f>
        <v>0</v>
      </c>
      <c r="N616">
        <f>'Participant reporting'!N843</f>
        <v>0</v>
      </c>
      <c r="O616">
        <f>'Participant reporting'!O843</f>
        <v>0</v>
      </c>
    </row>
    <row r="617" spans="1:15" x14ac:dyDescent="0.25">
      <c r="A617">
        <f>'Participant reporting'!A844</f>
        <v>0</v>
      </c>
      <c r="B617">
        <f>'Participant reporting'!B844</f>
        <v>0</v>
      </c>
      <c r="C617">
        <f>'Participant reporting'!C844</f>
        <v>0</v>
      </c>
      <c r="D617">
        <f>'Participant reporting'!D844</f>
        <v>0</v>
      </c>
      <c r="E617" s="15">
        <f>'Participant reporting'!E844</f>
        <v>0</v>
      </c>
      <c r="F617">
        <f>'Participant reporting'!F844</f>
        <v>0</v>
      </c>
      <c r="G617">
        <f>'Participant reporting'!G844</f>
        <v>0</v>
      </c>
      <c r="H617">
        <f>'Participant reporting'!H844</f>
        <v>0</v>
      </c>
      <c r="I617">
        <f>'Participant reporting'!I844</f>
        <v>0</v>
      </c>
      <c r="J617">
        <f>'Participant reporting'!J844</f>
        <v>0</v>
      </c>
      <c r="K617">
        <f>'Participant reporting'!K844</f>
        <v>0</v>
      </c>
      <c r="L617">
        <f>'Participant reporting'!L844</f>
        <v>0</v>
      </c>
      <c r="M617">
        <f>'Participant reporting'!M844</f>
        <v>0</v>
      </c>
      <c r="N617">
        <f>'Participant reporting'!N844</f>
        <v>0</v>
      </c>
      <c r="O617">
        <f>'Participant reporting'!O844</f>
        <v>0</v>
      </c>
    </row>
    <row r="618" spans="1:15" x14ac:dyDescent="0.25">
      <c r="A618">
        <f>'Participant reporting'!A845</f>
        <v>0</v>
      </c>
      <c r="B618">
        <f>'Participant reporting'!B845</f>
        <v>0</v>
      </c>
      <c r="C618">
        <f>'Participant reporting'!C845</f>
        <v>0</v>
      </c>
      <c r="D618">
        <f>'Participant reporting'!D845</f>
        <v>0</v>
      </c>
      <c r="E618" s="15">
        <f>'Participant reporting'!E845</f>
        <v>0</v>
      </c>
      <c r="F618">
        <f>'Participant reporting'!F845</f>
        <v>0</v>
      </c>
      <c r="G618">
        <f>'Participant reporting'!G845</f>
        <v>0</v>
      </c>
      <c r="H618">
        <f>'Participant reporting'!H845</f>
        <v>0</v>
      </c>
      <c r="I618">
        <f>'Participant reporting'!I845</f>
        <v>0</v>
      </c>
      <c r="J618">
        <f>'Participant reporting'!J845</f>
        <v>0</v>
      </c>
      <c r="K618">
        <f>'Participant reporting'!K845</f>
        <v>0</v>
      </c>
      <c r="L618">
        <f>'Participant reporting'!L845</f>
        <v>0</v>
      </c>
      <c r="M618">
        <f>'Participant reporting'!M845</f>
        <v>0</v>
      </c>
      <c r="N618">
        <f>'Participant reporting'!N845</f>
        <v>0</v>
      </c>
      <c r="O618">
        <f>'Participant reporting'!O845</f>
        <v>0</v>
      </c>
    </row>
    <row r="619" spans="1:15" x14ac:dyDescent="0.25">
      <c r="A619">
        <f>'Participant reporting'!A846</f>
        <v>0</v>
      </c>
      <c r="B619">
        <f>'Participant reporting'!B846</f>
        <v>0</v>
      </c>
      <c r="C619">
        <f>'Participant reporting'!C846</f>
        <v>0</v>
      </c>
      <c r="D619">
        <f>'Participant reporting'!D846</f>
        <v>0</v>
      </c>
      <c r="E619" s="15">
        <f>'Participant reporting'!E846</f>
        <v>0</v>
      </c>
      <c r="F619">
        <f>'Participant reporting'!F846</f>
        <v>0</v>
      </c>
      <c r="G619">
        <f>'Participant reporting'!G846</f>
        <v>0</v>
      </c>
      <c r="H619">
        <f>'Participant reporting'!H846</f>
        <v>0</v>
      </c>
      <c r="I619">
        <f>'Participant reporting'!I846</f>
        <v>0</v>
      </c>
      <c r="J619">
        <f>'Participant reporting'!J846</f>
        <v>0</v>
      </c>
      <c r="K619">
        <f>'Participant reporting'!K846</f>
        <v>0</v>
      </c>
      <c r="L619">
        <f>'Participant reporting'!L846</f>
        <v>0</v>
      </c>
      <c r="M619">
        <f>'Participant reporting'!M846</f>
        <v>0</v>
      </c>
      <c r="N619">
        <f>'Participant reporting'!N846</f>
        <v>0</v>
      </c>
      <c r="O619">
        <f>'Participant reporting'!O846</f>
        <v>0</v>
      </c>
    </row>
    <row r="620" spans="1:15" x14ac:dyDescent="0.25">
      <c r="A620">
        <f>'Participant reporting'!A847</f>
        <v>0</v>
      </c>
      <c r="B620">
        <f>'Participant reporting'!B847</f>
        <v>0</v>
      </c>
      <c r="C620">
        <f>'Participant reporting'!C847</f>
        <v>0</v>
      </c>
      <c r="D620">
        <f>'Participant reporting'!D847</f>
        <v>0</v>
      </c>
      <c r="E620" s="15">
        <f>'Participant reporting'!E847</f>
        <v>0</v>
      </c>
      <c r="F620">
        <f>'Participant reporting'!F847</f>
        <v>0</v>
      </c>
      <c r="G620">
        <f>'Participant reporting'!G847</f>
        <v>0</v>
      </c>
      <c r="H620">
        <f>'Participant reporting'!H847</f>
        <v>0</v>
      </c>
      <c r="I620">
        <f>'Participant reporting'!I847</f>
        <v>0</v>
      </c>
      <c r="J620">
        <f>'Participant reporting'!J847</f>
        <v>0</v>
      </c>
      <c r="K620">
        <f>'Participant reporting'!K847</f>
        <v>0</v>
      </c>
      <c r="L620">
        <f>'Participant reporting'!L847</f>
        <v>0</v>
      </c>
      <c r="M620">
        <f>'Participant reporting'!M847</f>
        <v>0</v>
      </c>
      <c r="N620">
        <f>'Participant reporting'!N847</f>
        <v>0</v>
      </c>
      <c r="O620">
        <f>'Participant reporting'!O847</f>
        <v>0</v>
      </c>
    </row>
    <row r="621" spans="1:15" x14ac:dyDescent="0.25">
      <c r="A621">
        <f>'Participant reporting'!A848</f>
        <v>0</v>
      </c>
      <c r="B621">
        <f>'Participant reporting'!B848</f>
        <v>0</v>
      </c>
      <c r="C621">
        <f>'Participant reporting'!C848</f>
        <v>0</v>
      </c>
      <c r="D621">
        <f>'Participant reporting'!D848</f>
        <v>0</v>
      </c>
      <c r="E621" s="15">
        <f>'Participant reporting'!E848</f>
        <v>0</v>
      </c>
      <c r="F621">
        <f>'Participant reporting'!F848</f>
        <v>0</v>
      </c>
      <c r="G621">
        <f>'Participant reporting'!G848</f>
        <v>0</v>
      </c>
      <c r="H621">
        <f>'Participant reporting'!H848</f>
        <v>0</v>
      </c>
      <c r="I621">
        <f>'Participant reporting'!I848</f>
        <v>0</v>
      </c>
      <c r="J621">
        <f>'Participant reporting'!J848</f>
        <v>0</v>
      </c>
      <c r="K621">
        <f>'Participant reporting'!K848</f>
        <v>0</v>
      </c>
      <c r="L621">
        <f>'Participant reporting'!L848</f>
        <v>0</v>
      </c>
      <c r="M621">
        <f>'Participant reporting'!M848</f>
        <v>0</v>
      </c>
      <c r="N621">
        <f>'Participant reporting'!N848</f>
        <v>0</v>
      </c>
      <c r="O621">
        <f>'Participant reporting'!O848</f>
        <v>0</v>
      </c>
    </row>
    <row r="622" spans="1:15" x14ac:dyDescent="0.25">
      <c r="A622">
        <f>'Participant reporting'!A849</f>
        <v>0</v>
      </c>
      <c r="B622">
        <f>'Participant reporting'!B849</f>
        <v>0</v>
      </c>
      <c r="C622">
        <f>'Participant reporting'!C849</f>
        <v>0</v>
      </c>
      <c r="D622">
        <f>'Participant reporting'!D849</f>
        <v>0</v>
      </c>
      <c r="E622" s="15">
        <f>'Participant reporting'!E849</f>
        <v>0</v>
      </c>
      <c r="F622">
        <f>'Participant reporting'!F849</f>
        <v>0</v>
      </c>
      <c r="G622">
        <f>'Participant reporting'!G849</f>
        <v>0</v>
      </c>
      <c r="H622">
        <f>'Participant reporting'!H849</f>
        <v>0</v>
      </c>
      <c r="I622">
        <f>'Participant reporting'!I849</f>
        <v>0</v>
      </c>
      <c r="J622">
        <f>'Participant reporting'!J849</f>
        <v>0</v>
      </c>
      <c r="K622">
        <f>'Participant reporting'!K849</f>
        <v>0</v>
      </c>
      <c r="L622">
        <f>'Participant reporting'!L849</f>
        <v>0</v>
      </c>
      <c r="M622">
        <f>'Participant reporting'!M849</f>
        <v>0</v>
      </c>
      <c r="N622">
        <f>'Participant reporting'!N849</f>
        <v>0</v>
      </c>
      <c r="O622">
        <f>'Participant reporting'!O849</f>
        <v>0</v>
      </c>
    </row>
    <row r="623" spans="1:15" x14ac:dyDescent="0.25">
      <c r="A623">
        <f>'Participant reporting'!A850</f>
        <v>0</v>
      </c>
      <c r="B623">
        <f>'Participant reporting'!B850</f>
        <v>0</v>
      </c>
      <c r="C623">
        <f>'Participant reporting'!C850</f>
        <v>0</v>
      </c>
      <c r="D623">
        <f>'Participant reporting'!D850</f>
        <v>0</v>
      </c>
      <c r="E623" s="15">
        <f>'Participant reporting'!E850</f>
        <v>0</v>
      </c>
      <c r="F623">
        <f>'Participant reporting'!F850</f>
        <v>0</v>
      </c>
      <c r="G623">
        <f>'Participant reporting'!G850</f>
        <v>0</v>
      </c>
      <c r="H623">
        <f>'Participant reporting'!H850</f>
        <v>0</v>
      </c>
      <c r="I623">
        <f>'Participant reporting'!I850</f>
        <v>0</v>
      </c>
      <c r="J623">
        <f>'Participant reporting'!J850</f>
        <v>0</v>
      </c>
      <c r="K623">
        <f>'Participant reporting'!K850</f>
        <v>0</v>
      </c>
      <c r="L623">
        <f>'Participant reporting'!L850</f>
        <v>0</v>
      </c>
      <c r="M623">
        <f>'Participant reporting'!M850</f>
        <v>0</v>
      </c>
      <c r="N623">
        <f>'Participant reporting'!N850</f>
        <v>0</v>
      </c>
      <c r="O623">
        <f>'Participant reporting'!O850</f>
        <v>0</v>
      </c>
    </row>
    <row r="624" spans="1:15" x14ac:dyDescent="0.25">
      <c r="A624">
        <f>'Participant reporting'!A851</f>
        <v>0</v>
      </c>
      <c r="B624">
        <f>'Participant reporting'!B851</f>
        <v>0</v>
      </c>
      <c r="C624">
        <f>'Participant reporting'!C851</f>
        <v>0</v>
      </c>
      <c r="D624">
        <f>'Participant reporting'!D851</f>
        <v>0</v>
      </c>
      <c r="E624" s="15">
        <f>'Participant reporting'!E851</f>
        <v>0</v>
      </c>
      <c r="F624">
        <f>'Participant reporting'!F851</f>
        <v>0</v>
      </c>
      <c r="G624">
        <f>'Participant reporting'!G851</f>
        <v>0</v>
      </c>
      <c r="H624">
        <f>'Participant reporting'!H851</f>
        <v>0</v>
      </c>
      <c r="I624">
        <f>'Participant reporting'!I851</f>
        <v>0</v>
      </c>
      <c r="J624">
        <f>'Participant reporting'!J851</f>
        <v>0</v>
      </c>
      <c r="K624">
        <f>'Participant reporting'!K851</f>
        <v>0</v>
      </c>
      <c r="L624">
        <f>'Participant reporting'!L851</f>
        <v>0</v>
      </c>
      <c r="M624">
        <f>'Participant reporting'!M851</f>
        <v>0</v>
      </c>
      <c r="N624">
        <f>'Participant reporting'!N851</f>
        <v>0</v>
      </c>
      <c r="O624">
        <f>'Participant reporting'!O851</f>
        <v>0</v>
      </c>
    </row>
    <row r="625" spans="1:15" x14ac:dyDescent="0.25">
      <c r="A625">
        <f>'Participant reporting'!A852</f>
        <v>0</v>
      </c>
      <c r="B625">
        <f>'Participant reporting'!B852</f>
        <v>0</v>
      </c>
      <c r="C625">
        <f>'Participant reporting'!C852</f>
        <v>0</v>
      </c>
      <c r="D625">
        <f>'Participant reporting'!D852</f>
        <v>0</v>
      </c>
      <c r="E625" s="15">
        <f>'Participant reporting'!E852</f>
        <v>0</v>
      </c>
      <c r="F625">
        <f>'Participant reporting'!F852</f>
        <v>0</v>
      </c>
      <c r="G625">
        <f>'Participant reporting'!G852</f>
        <v>0</v>
      </c>
      <c r="H625">
        <f>'Participant reporting'!H852</f>
        <v>0</v>
      </c>
      <c r="I625">
        <f>'Participant reporting'!I852</f>
        <v>0</v>
      </c>
      <c r="J625">
        <f>'Participant reporting'!J852</f>
        <v>0</v>
      </c>
      <c r="K625">
        <f>'Participant reporting'!K852</f>
        <v>0</v>
      </c>
      <c r="L625">
        <f>'Participant reporting'!L852</f>
        <v>0</v>
      </c>
      <c r="M625">
        <f>'Participant reporting'!M852</f>
        <v>0</v>
      </c>
      <c r="N625">
        <f>'Participant reporting'!N852</f>
        <v>0</v>
      </c>
      <c r="O625">
        <f>'Participant reporting'!O852</f>
        <v>0</v>
      </c>
    </row>
    <row r="626" spans="1:15" x14ac:dyDescent="0.25">
      <c r="A626">
        <f>'Participant reporting'!A853</f>
        <v>0</v>
      </c>
      <c r="B626">
        <f>'Participant reporting'!B853</f>
        <v>0</v>
      </c>
      <c r="C626">
        <f>'Participant reporting'!C853</f>
        <v>0</v>
      </c>
      <c r="D626">
        <f>'Participant reporting'!D853</f>
        <v>0</v>
      </c>
      <c r="E626" s="15">
        <f>'Participant reporting'!E853</f>
        <v>0</v>
      </c>
      <c r="F626">
        <f>'Participant reporting'!F853</f>
        <v>0</v>
      </c>
      <c r="G626">
        <f>'Participant reporting'!G853</f>
        <v>0</v>
      </c>
      <c r="H626">
        <f>'Participant reporting'!H853</f>
        <v>0</v>
      </c>
      <c r="I626">
        <f>'Participant reporting'!I853</f>
        <v>0</v>
      </c>
      <c r="J626">
        <f>'Participant reporting'!J853</f>
        <v>0</v>
      </c>
      <c r="K626">
        <f>'Participant reporting'!K853</f>
        <v>0</v>
      </c>
      <c r="L626">
        <f>'Participant reporting'!L853</f>
        <v>0</v>
      </c>
      <c r="M626">
        <f>'Participant reporting'!M853</f>
        <v>0</v>
      </c>
      <c r="N626">
        <f>'Participant reporting'!N853</f>
        <v>0</v>
      </c>
      <c r="O626">
        <f>'Participant reporting'!O853</f>
        <v>0</v>
      </c>
    </row>
    <row r="627" spans="1:15" x14ac:dyDescent="0.25">
      <c r="A627">
        <f>'Participant reporting'!A854</f>
        <v>0</v>
      </c>
      <c r="B627">
        <f>'Participant reporting'!B854</f>
        <v>0</v>
      </c>
      <c r="C627">
        <f>'Participant reporting'!C854</f>
        <v>0</v>
      </c>
      <c r="D627">
        <f>'Participant reporting'!D854</f>
        <v>0</v>
      </c>
      <c r="E627" s="15">
        <f>'Participant reporting'!E854</f>
        <v>0</v>
      </c>
      <c r="F627">
        <f>'Participant reporting'!F854</f>
        <v>0</v>
      </c>
      <c r="G627">
        <f>'Participant reporting'!G854</f>
        <v>0</v>
      </c>
      <c r="H627">
        <f>'Participant reporting'!H854</f>
        <v>0</v>
      </c>
      <c r="I627">
        <f>'Participant reporting'!I854</f>
        <v>0</v>
      </c>
      <c r="J627">
        <f>'Participant reporting'!J854</f>
        <v>0</v>
      </c>
      <c r="K627">
        <f>'Participant reporting'!K854</f>
        <v>0</v>
      </c>
      <c r="L627">
        <f>'Participant reporting'!L854</f>
        <v>0</v>
      </c>
      <c r="M627">
        <f>'Participant reporting'!M854</f>
        <v>0</v>
      </c>
      <c r="N627">
        <f>'Participant reporting'!N854</f>
        <v>0</v>
      </c>
      <c r="O627">
        <f>'Participant reporting'!O854</f>
        <v>0</v>
      </c>
    </row>
    <row r="628" spans="1:15" x14ac:dyDescent="0.25">
      <c r="A628">
        <f>'Participant reporting'!A855</f>
        <v>0</v>
      </c>
      <c r="B628">
        <f>'Participant reporting'!B855</f>
        <v>0</v>
      </c>
      <c r="C628">
        <f>'Participant reporting'!C855</f>
        <v>0</v>
      </c>
      <c r="D628">
        <f>'Participant reporting'!D855</f>
        <v>0</v>
      </c>
      <c r="E628" s="15">
        <f>'Participant reporting'!E855</f>
        <v>0</v>
      </c>
      <c r="F628">
        <f>'Participant reporting'!F855</f>
        <v>0</v>
      </c>
      <c r="G628">
        <f>'Participant reporting'!G855</f>
        <v>0</v>
      </c>
      <c r="H628">
        <f>'Participant reporting'!H855</f>
        <v>0</v>
      </c>
      <c r="I628">
        <f>'Participant reporting'!I855</f>
        <v>0</v>
      </c>
      <c r="J628">
        <f>'Participant reporting'!J855</f>
        <v>0</v>
      </c>
      <c r="K628">
        <f>'Participant reporting'!K855</f>
        <v>0</v>
      </c>
      <c r="L628">
        <f>'Participant reporting'!L855</f>
        <v>0</v>
      </c>
      <c r="M628">
        <f>'Participant reporting'!M855</f>
        <v>0</v>
      </c>
      <c r="N628">
        <f>'Participant reporting'!N855</f>
        <v>0</v>
      </c>
      <c r="O628">
        <f>'Participant reporting'!O855</f>
        <v>0</v>
      </c>
    </row>
    <row r="629" spans="1:15" x14ac:dyDescent="0.25">
      <c r="A629">
        <f>'Participant reporting'!A856</f>
        <v>0</v>
      </c>
      <c r="B629">
        <f>'Participant reporting'!B856</f>
        <v>0</v>
      </c>
      <c r="C629">
        <f>'Participant reporting'!C856</f>
        <v>0</v>
      </c>
      <c r="D629">
        <f>'Participant reporting'!D856</f>
        <v>0</v>
      </c>
      <c r="E629" s="15">
        <f>'Participant reporting'!E856</f>
        <v>0</v>
      </c>
      <c r="F629">
        <f>'Participant reporting'!F856</f>
        <v>0</v>
      </c>
      <c r="G629">
        <f>'Participant reporting'!G856</f>
        <v>0</v>
      </c>
      <c r="H629">
        <f>'Participant reporting'!H856</f>
        <v>0</v>
      </c>
      <c r="I629">
        <f>'Participant reporting'!I856</f>
        <v>0</v>
      </c>
      <c r="J629">
        <f>'Participant reporting'!J856</f>
        <v>0</v>
      </c>
      <c r="K629">
        <f>'Participant reporting'!K856</f>
        <v>0</v>
      </c>
      <c r="L629">
        <f>'Participant reporting'!L856</f>
        <v>0</v>
      </c>
      <c r="M629">
        <f>'Participant reporting'!M856</f>
        <v>0</v>
      </c>
      <c r="N629">
        <f>'Participant reporting'!N856</f>
        <v>0</v>
      </c>
      <c r="O629">
        <f>'Participant reporting'!O856</f>
        <v>0</v>
      </c>
    </row>
    <row r="630" spans="1:15" x14ac:dyDescent="0.25">
      <c r="A630">
        <f>'Participant reporting'!A857</f>
        <v>0</v>
      </c>
      <c r="B630">
        <f>'Participant reporting'!B857</f>
        <v>0</v>
      </c>
      <c r="C630">
        <f>'Participant reporting'!C857</f>
        <v>0</v>
      </c>
      <c r="D630">
        <f>'Participant reporting'!D857</f>
        <v>0</v>
      </c>
      <c r="E630" s="15">
        <f>'Participant reporting'!E857</f>
        <v>0</v>
      </c>
      <c r="F630">
        <f>'Participant reporting'!F857</f>
        <v>0</v>
      </c>
      <c r="G630">
        <f>'Participant reporting'!G857</f>
        <v>0</v>
      </c>
      <c r="H630">
        <f>'Participant reporting'!H857</f>
        <v>0</v>
      </c>
      <c r="I630">
        <f>'Participant reporting'!I857</f>
        <v>0</v>
      </c>
      <c r="J630">
        <f>'Participant reporting'!J857</f>
        <v>0</v>
      </c>
      <c r="K630">
        <f>'Participant reporting'!K857</f>
        <v>0</v>
      </c>
      <c r="L630">
        <f>'Participant reporting'!L857</f>
        <v>0</v>
      </c>
      <c r="M630">
        <f>'Participant reporting'!M857</f>
        <v>0</v>
      </c>
      <c r="N630">
        <f>'Participant reporting'!N857</f>
        <v>0</v>
      </c>
      <c r="O630">
        <f>'Participant reporting'!O857</f>
        <v>0</v>
      </c>
    </row>
    <row r="631" spans="1:15" x14ac:dyDescent="0.25">
      <c r="A631">
        <f>'Participant reporting'!A858</f>
        <v>0</v>
      </c>
      <c r="B631">
        <f>'Participant reporting'!B858</f>
        <v>0</v>
      </c>
      <c r="C631">
        <f>'Participant reporting'!C858</f>
        <v>0</v>
      </c>
      <c r="D631">
        <f>'Participant reporting'!D858</f>
        <v>0</v>
      </c>
      <c r="E631" s="15">
        <f>'Participant reporting'!E858</f>
        <v>0</v>
      </c>
      <c r="F631">
        <f>'Participant reporting'!F858</f>
        <v>0</v>
      </c>
      <c r="G631">
        <f>'Participant reporting'!G858</f>
        <v>0</v>
      </c>
      <c r="H631">
        <f>'Participant reporting'!H858</f>
        <v>0</v>
      </c>
      <c r="I631">
        <f>'Participant reporting'!I858</f>
        <v>0</v>
      </c>
      <c r="J631">
        <f>'Participant reporting'!J858</f>
        <v>0</v>
      </c>
      <c r="K631">
        <f>'Participant reporting'!K858</f>
        <v>0</v>
      </c>
      <c r="L631">
        <f>'Participant reporting'!L858</f>
        <v>0</v>
      </c>
      <c r="M631">
        <f>'Participant reporting'!M858</f>
        <v>0</v>
      </c>
      <c r="N631">
        <f>'Participant reporting'!N858</f>
        <v>0</v>
      </c>
      <c r="O631">
        <f>'Participant reporting'!O858</f>
        <v>0</v>
      </c>
    </row>
    <row r="632" spans="1:15" x14ac:dyDescent="0.25">
      <c r="A632">
        <f>'Participant reporting'!A859</f>
        <v>0</v>
      </c>
      <c r="B632">
        <f>'Participant reporting'!B859</f>
        <v>0</v>
      </c>
      <c r="C632">
        <f>'Participant reporting'!C859</f>
        <v>0</v>
      </c>
      <c r="D632">
        <f>'Participant reporting'!D859</f>
        <v>0</v>
      </c>
      <c r="E632" s="15">
        <f>'Participant reporting'!E859</f>
        <v>0</v>
      </c>
      <c r="F632">
        <f>'Participant reporting'!F859</f>
        <v>0</v>
      </c>
      <c r="G632">
        <f>'Participant reporting'!G859</f>
        <v>0</v>
      </c>
      <c r="H632">
        <f>'Participant reporting'!H859</f>
        <v>0</v>
      </c>
      <c r="I632">
        <f>'Participant reporting'!I859</f>
        <v>0</v>
      </c>
      <c r="J632">
        <f>'Participant reporting'!J859</f>
        <v>0</v>
      </c>
      <c r="K632">
        <f>'Participant reporting'!K859</f>
        <v>0</v>
      </c>
      <c r="L632">
        <f>'Participant reporting'!L859</f>
        <v>0</v>
      </c>
      <c r="M632">
        <f>'Participant reporting'!M859</f>
        <v>0</v>
      </c>
      <c r="N632">
        <f>'Participant reporting'!N859</f>
        <v>0</v>
      </c>
      <c r="O632">
        <f>'Participant reporting'!O859</f>
        <v>0</v>
      </c>
    </row>
    <row r="633" spans="1:15" x14ac:dyDescent="0.25">
      <c r="A633">
        <f>'Participant reporting'!A860</f>
        <v>0</v>
      </c>
      <c r="B633">
        <f>'Participant reporting'!B860</f>
        <v>0</v>
      </c>
      <c r="C633">
        <f>'Participant reporting'!C860</f>
        <v>0</v>
      </c>
      <c r="D633">
        <f>'Participant reporting'!D860</f>
        <v>0</v>
      </c>
      <c r="E633" s="15">
        <f>'Participant reporting'!E860</f>
        <v>0</v>
      </c>
      <c r="F633">
        <f>'Participant reporting'!F860</f>
        <v>0</v>
      </c>
      <c r="G633">
        <f>'Participant reporting'!G860</f>
        <v>0</v>
      </c>
      <c r="H633">
        <f>'Participant reporting'!H860</f>
        <v>0</v>
      </c>
      <c r="I633">
        <f>'Participant reporting'!I860</f>
        <v>0</v>
      </c>
      <c r="J633">
        <f>'Participant reporting'!J860</f>
        <v>0</v>
      </c>
      <c r="K633">
        <f>'Participant reporting'!K860</f>
        <v>0</v>
      </c>
      <c r="L633">
        <f>'Participant reporting'!L860</f>
        <v>0</v>
      </c>
      <c r="M633">
        <f>'Participant reporting'!M860</f>
        <v>0</v>
      </c>
      <c r="N633">
        <f>'Participant reporting'!N860</f>
        <v>0</v>
      </c>
      <c r="O633">
        <f>'Participant reporting'!O860</f>
        <v>0</v>
      </c>
    </row>
    <row r="634" spans="1:15" x14ac:dyDescent="0.25">
      <c r="A634">
        <f>'Participant reporting'!A861</f>
        <v>0</v>
      </c>
      <c r="B634">
        <f>'Participant reporting'!B861</f>
        <v>0</v>
      </c>
      <c r="C634">
        <f>'Participant reporting'!C861</f>
        <v>0</v>
      </c>
      <c r="D634">
        <f>'Participant reporting'!D861</f>
        <v>0</v>
      </c>
      <c r="E634" s="15">
        <f>'Participant reporting'!E861</f>
        <v>0</v>
      </c>
      <c r="F634">
        <f>'Participant reporting'!F861</f>
        <v>0</v>
      </c>
      <c r="G634">
        <f>'Participant reporting'!G861</f>
        <v>0</v>
      </c>
      <c r="H634">
        <f>'Participant reporting'!H861</f>
        <v>0</v>
      </c>
      <c r="I634">
        <f>'Participant reporting'!I861</f>
        <v>0</v>
      </c>
      <c r="J634">
        <f>'Participant reporting'!J861</f>
        <v>0</v>
      </c>
      <c r="K634">
        <f>'Participant reporting'!K861</f>
        <v>0</v>
      </c>
      <c r="L634">
        <f>'Participant reporting'!L861</f>
        <v>0</v>
      </c>
      <c r="M634">
        <f>'Participant reporting'!M861</f>
        <v>0</v>
      </c>
      <c r="N634">
        <f>'Participant reporting'!N861</f>
        <v>0</v>
      </c>
      <c r="O634">
        <f>'Participant reporting'!O861</f>
        <v>0</v>
      </c>
    </row>
    <row r="635" spans="1:15" x14ac:dyDescent="0.25">
      <c r="A635">
        <f>'Participant reporting'!A862</f>
        <v>0</v>
      </c>
      <c r="B635">
        <f>'Participant reporting'!B862</f>
        <v>0</v>
      </c>
      <c r="C635">
        <f>'Participant reporting'!C862</f>
        <v>0</v>
      </c>
      <c r="D635">
        <f>'Participant reporting'!D862</f>
        <v>0</v>
      </c>
      <c r="E635" s="15">
        <f>'Participant reporting'!E862</f>
        <v>0</v>
      </c>
      <c r="F635">
        <f>'Participant reporting'!F862</f>
        <v>0</v>
      </c>
      <c r="G635">
        <f>'Participant reporting'!G862</f>
        <v>0</v>
      </c>
      <c r="H635">
        <f>'Participant reporting'!H862</f>
        <v>0</v>
      </c>
      <c r="I635">
        <f>'Participant reporting'!I862</f>
        <v>0</v>
      </c>
      <c r="J635">
        <f>'Participant reporting'!J862</f>
        <v>0</v>
      </c>
      <c r="K635">
        <f>'Participant reporting'!K862</f>
        <v>0</v>
      </c>
      <c r="L635">
        <f>'Participant reporting'!L862</f>
        <v>0</v>
      </c>
      <c r="M635">
        <f>'Participant reporting'!M862</f>
        <v>0</v>
      </c>
      <c r="N635">
        <f>'Participant reporting'!N862</f>
        <v>0</v>
      </c>
      <c r="O635">
        <f>'Participant reporting'!O862</f>
        <v>0</v>
      </c>
    </row>
    <row r="636" spans="1:15" x14ac:dyDescent="0.25">
      <c r="A636">
        <f>'Participant reporting'!A863</f>
        <v>0</v>
      </c>
      <c r="B636">
        <f>'Participant reporting'!B863</f>
        <v>0</v>
      </c>
      <c r="C636">
        <f>'Participant reporting'!C863</f>
        <v>0</v>
      </c>
      <c r="D636">
        <f>'Participant reporting'!D863</f>
        <v>0</v>
      </c>
      <c r="E636" s="15">
        <f>'Participant reporting'!E863</f>
        <v>0</v>
      </c>
      <c r="F636">
        <f>'Participant reporting'!F863</f>
        <v>0</v>
      </c>
      <c r="G636">
        <f>'Participant reporting'!G863</f>
        <v>0</v>
      </c>
      <c r="H636">
        <f>'Participant reporting'!H863</f>
        <v>0</v>
      </c>
      <c r="I636">
        <f>'Participant reporting'!I863</f>
        <v>0</v>
      </c>
      <c r="J636">
        <f>'Participant reporting'!J863</f>
        <v>0</v>
      </c>
      <c r="K636">
        <f>'Participant reporting'!K863</f>
        <v>0</v>
      </c>
      <c r="L636">
        <f>'Participant reporting'!L863</f>
        <v>0</v>
      </c>
      <c r="M636">
        <f>'Participant reporting'!M863</f>
        <v>0</v>
      </c>
      <c r="N636">
        <f>'Participant reporting'!N863</f>
        <v>0</v>
      </c>
      <c r="O636">
        <f>'Participant reporting'!O863</f>
        <v>0</v>
      </c>
    </row>
    <row r="637" spans="1:15" x14ac:dyDescent="0.25">
      <c r="A637">
        <f>'Participant reporting'!A864</f>
        <v>0</v>
      </c>
      <c r="B637">
        <f>'Participant reporting'!B864</f>
        <v>0</v>
      </c>
      <c r="C637">
        <f>'Participant reporting'!C864</f>
        <v>0</v>
      </c>
      <c r="D637">
        <f>'Participant reporting'!D864</f>
        <v>0</v>
      </c>
      <c r="E637" s="15">
        <f>'Participant reporting'!E864</f>
        <v>0</v>
      </c>
      <c r="F637">
        <f>'Participant reporting'!F864</f>
        <v>0</v>
      </c>
      <c r="G637">
        <f>'Participant reporting'!G864</f>
        <v>0</v>
      </c>
      <c r="H637">
        <f>'Participant reporting'!H864</f>
        <v>0</v>
      </c>
      <c r="I637">
        <f>'Participant reporting'!I864</f>
        <v>0</v>
      </c>
      <c r="J637">
        <f>'Participant reporting'!J864</f>
        <v>0</v>
      </c>
      <c r="K637">
        <f>'Participant reporting'!K864</f>
        <v>0</v>
      </c>
      <c r="L637">
        <f>'Participant reporting'!L864</f>
        <v>0</v>
      </c>
      <c r="M637">
        <f>'Participant reporting'!M864</f>
        <v>0</v>
      </c>
      <c r="N637">
        <f>'Participant reporting'!N864</f>
        <v>0</v>
      </c>
      <c r="O637">
        <f>'Participant reporting'!O864</f>
        <v>0</v>
      </c>
    </row>
    <row r="638" spans="1:15" x14ac:dyDescent="0.25">
      <c r="A638">
        <f>'Participant reporting'!A865</f>
        <v>0</v>
      </c>
      <c r="B638">
        <f>'Participant reporting'!B865</f>
        <v>0</v>
      </c>
      <c r="C638">
        <f>'Participant reporting'!C865</f>
        <v>0</v>
      </c>
      <c r="D638">
        <f>'Participant reporting'!D865</f>
        <v>0</v>
      </c>
      <c r="E638" s="15">
        <f>'Participant reporting'!E865</f>
        <v>0</v>
      </c>
      <c r="F638">
        <f>'Participant reporting'!F865</f>
        <v>0</v>
      </c>
      <c r="G638">
        <f>'Participant reporting'!G865</f>
        <v>0</v>
      </c>
      <c r="H638">
        <f>'Participant reporting'!H865</f>
        <v>0</v>
      </c>
      <c r="I638">
        <f>'Participant reporting'!I865</f>
        <v>0</v>
      </c>
      <c r="J638">
        <f>'Participant reporting'!J865</f>
        <v>0</v>
      </c>
      <c r="K638">
        <f>'Participant reporting'!K865</f>
        <v>0</v>
      </c>
      <c r="L638">
        <f>'Participant reporting'!L865</f>
        <v>0</v>
      </c>
      <c r="M638">
        <f>'Participant reporting'!M865</f>
        <v>0</v>
      </c>
      <c r="N638">
        <f>'Participant reporting'!N865</f>
        <v>0</v>
      </c>
      <c r="O638">
        <f>'Participant reporting'!O865</f>
        <v>0</v>
      </c>
    </row>
    <row r="639" spans="1:15" x14ac:dyDescent="0.25">
      <c r="A639">
        <f>'Participant reporting'!A866</f>
        <v>0</v>
      </c>
      <c r="B639">
        <f>'Participant reporting'!B866</f>
        <v>0</v>
      </c>
      <c r="C639">
        <f>'Participant reporting'!C866</f>
        <v>0</v>
      </c>
      <c r="D639">
        <f>'Participant reporting'!D866</f>
        <v>0</v>
      </c>
      <c r="E639" s="15">
        <f>'Participant reporting'!E866</f>
        <v>0</v>
      </c>
      <c r="F639">
        <f>'Participant reporting'!F866</f>
        <v>0</v>
      </c>
      <c r="G639">
        <f>'Participant reporting'!G866</f>
        <v>0</v>
      </c>
      <c r="H639">
        <f>'Participant reporting'!H866</f>
        <v>0</v>
      </c>
      <c r="I639">
        <f>'Participant reporting'!I866</f>
        <v>0</v>
      </c>
      <c r="J639">
        <f>'Participant reporting'!J866</f>
        <v>0</v>
      </c>
      <c r="K639">
        <f>'Participant reporting'!K866</f>
        <v>0</v>
      </c>
      <c r="L639">
        <f>'Participant reporting'!L866</f>
        <v>0</v>
      </c>
      <c r="M639">
        <f>'Participant reporting'!M866</f>
        <v>0</v>
      </c>
      <c r="N639">
        <f>'Participant reporting'!N866</f>
        <v>0</v>
      </c>
      <c r="O639">
        <f>'Participant reporting'!O866</f>
        <v>0</v>
      </c>
    </row>
    <row r="640" spans="1:15" x14ac:dyDescent="0.25">
      <c r="A640">
        <f>'Participant reporting'!A867</f>
        <v>0</v>
      </c>
      <c r="B640">
        <f>'Participant reporting'!B867</f>
        <v>0</v>
      </c>
      <c r="C640">
        <f>'Participant reporting'!C867</f>
        <v>0</v>
      </c>
      <c r="D640">
        <f>'Participant reporting'!D867</f>
        <v>0</v>
      </c>
      <c r="E640" s="15">
        <f>'Participant reporting'!E867</f>
        <v>0</v>
      </c>
      <c r="F640">
        <f>'Participant reporting'!F867</f>
        <v>0</v>
      </c>
      <c r="G640">
        <f>'Participant reporting'!G867</f>
        <v>0</v>
      </c>
      <c r="H640">
        <f>'Participant reporting'!H867</f>
        <v>0</v>
      </c>
      <c r="I640">
        <f>'Participant reporting'!I867</f>
        <v>0</v>
      </c>
      <c r="J640">
        <f>'Participant reporting'!J867</f>
        <v>0</v>
      </c>
      <c r="K640">
        <f>'Participant reporting'!K867</f>
        <v>0</v>
      </c>
      <c r="L640">
        <f>'Participant reporting'!L867</f>
        <v>0</v>
      </c>
      <c r="M640">
        <f>'Participant reporting'!M867</f>
        <v>0</v>
      </c>
      <c r="N640">
        <f>'Participant reporting'!N867</f>
        <v>0</v>
      </c>
      <c r="O640">
        <f>'Participant reporting'!O867</f>
        <v>0</v>
      </c>
    </row>
    <row r="641" spans="1:15" x14ac:dyDescent="0.25">
      <c r="A641">
        <f>'Participant reporting'!A868</f>
        <v>0</v>
      </c>
      <c r="B641">
        <f>'Participant reporting'!B868</f>
        <v>0</v>
      </c>
      <c r="C641">
        <f>'Participant reporting'!C868</f>
        <v>0</v>
      </c>
      <c r="D641">
        <f>'Participant reporting'!D868</f>
        <v>0</v>
      </c>
      <c r="E641" s="15">
        <f>'Participant reporting'!E868</f>
        <v>0</v>
      </c>
      <c r="F641">
        <f>'Participant reporting'!F868</f>
        <v>0</v>
      </c>
      <c r="G641">
        <f>'Participant reporting'!G868</f>
        <v>0</v>
      </c>
      <c r="H641">
        <f>'Participant reporting'!H868</f>
        <v>0</v>
      </c>
      <c r="I641">
        <f>'Participant reporting'!I868</f>
        <v>0</v>
      </c>
      <c r="J641">
        <f>'Participant reporting'!J868</f>
        <v>0</v>
      </c>
      <c r="K641">
        <f>'Participant reporting'!K868</f>
        <v>0</v>
      </c>
      <c r="L641">
        <f>'Participant reporting'!L868</f>
        <v>0</v>
      </c>
      <c r="M641">
        <f>'Participant reporting'!M868</f>
        <v>0</v>
      </c>
      <c r="N641">
        <f>'Participant reporting'!N868</f>
        <v>0</v>
      </c>
      <c r="O641">
        <f>'Participant reporting'!O868</f>
        <v>0</v>
      </c>
    </row>
    <row r="642" spans="1:15" x14ac:dyDescent="0.25">
      <c r="A642">
        <f>'Participant reporting'!A869</f>
        <v>0</v>
      </c>
      <c r="B642">
        <f>'Participant reporting'!B869</f>
        <v>0</v>
      </c>
      <c r="C642">
        <f>'Participant reporting'!C869</f>
        <v>0</v>
      </c>
      <c r="D642">
        <f>'Participant reporting'!D869</f>
        <v>0</v>
      </c>
      <c r="E642" s="15">
        <f>'Participant reporting'!E869</f>
        <v>0</v>
      </c>
      <c r="F642">
        <f>'Participant reporting'!F869</f>
        <v>0</v>
      </c>
      <c r="G642">
        <f>'Participant reporting'!G869</f>
        <v>0</v>
      </c>
      <c r="H642">
        <f>'Participant reporting'!H869</f>
        <v>0</v>
      </c>
      <c r="I642">
        <f>'Participant reporting'!I869</f>
        <v>0</v>
      </c>
      <c r="J642">
        <f>'Participant reporting'!J869</f>
        <v>0</v>
      </c>
      <c r="K642">
        <f>'Participant reporting'!K869</f>
        <v>0</v>
      </c>
      <c r="L642">
        <f>'Participant reporting'!L869</f>
        <v>0</v>
      </c>
      <c r="M642">
        <f>'Participant reporting'!M869</f>
        <v>0</v>
      </c>
      <c r="N642">
        <f>'Participant reporting'!N869</f>
        <v>0</v>
      </c>
      <c r="O642">
        <f>'Participant reporting'!O869</f>
        <v>0</v>
      </c>
    </row>
    <row r="643" spans="1:15" x14ac:dyDescent="0.25">
      <c r="A643">
        <f>'Participant reporting'!A870</f>
        <v>0</v>
      </c>
      <c r="B643">
        <f>'Participant reporting'!B870</f>
        <v>0</v>
      </c>
      <c r="C643">
        <f>'Participant reporting'!C870</f>
        <v>0</v>
      </c>
      <c r="D643">
        <f>'Participant reporting'!D870</f>
        <v>0</v>
      </c>
      <c r="E643" s="15">
        <f>'Participant reporting'!E870</f>
        <v>0</v>
      </c>
      <c r="F643">
        <f>'Participant reporting'!F870</f>
        <v>0</v>
      </c>
      <c r="G643">
        <f>'Participant reporting'!G870</f>
        <v>0</v>
      </c>
      <c r="H643">
        <f>'Participant reporting'!H870</f>
        <v>0</v>
      </c>
      <c r="I643">
        <f>'Participant reporting'!I870</f>
        <v>0</v>
      </c>
      <c r="J643">
        <f>'Participant reporting'!J870</f>
        <v>0</v>
      </c>
      <c r="K643">
        <f>'Participant reporting'!K870</f>
        <v>0</v>
      </c>
      <c r="L643">
        <f>'Participant reporting'!L870</f>
        <v>0</v>
      </c>
      <c r="M643">
        <f>'Participant reporting'!M870</f>
        <v>0</v>
      </c>
      <c r="N643">
        <f>'Participant reporting'!N870</f>
        <v>0</v>
      </c>
      <c r="O643">
        <f>'Participant reporting'!O870</f>
        <v>0</v>
      </c>
    </row>
    <row r="644" spans="1:15" x14ac:dyDescent="0.25">
      <c r="A644">
        <f>'Participant reporting'!A871</f>
        <v>0</v>
      </c>
      <c r="B644">
        <f>'Participant reporting'!B871</f>
        <v>0</v>
      </c>
      <c r="C644">
        <f>'Participant reporting'!C871</f>
        <v>0</v>
      </c>
      <c r="D644">
        <f>'Participant reporting'!D871</f>
        <v>0</v>
      </c>
      <c r="E644" s="15">
        <f>'Participant reporting'!E871</f>
        <v>0</v>
      </c>
      <c r="F644">
        <f>'Participant reporting'!F871</f>
        <v>0</v>
      </c>
      <c r="G644">
        <f>'Participant reporting'!G871</f>
        <v>0</v>
      </c>
      <c r="H644">
        <f>'Participant reporting'!H871</f>
        <v>0</v>
      </c>
      <c r="I644">
        <f>'Participant reporting'!I871</f>
        <v>0</v>
      </c>
      <c r="J644">
        <f>'Participant reporting'!J871</f>
        <v>0</v>
      </c>
      <c r="K644">
        <f>'Participant reporting'!K871</f>
        <v>0</v>
      </c>
      <c r="L644">
        <f>'Participant reporting'!L871</f>
        <v>0</v>
      </c>
      <c r="M644">
        <f>'Participant reporting'!M871</f>
        <v>0</v>
      </c>
      <c r="N644">
        <f>'Participant reporting'!N871</f>
        <v>0</v>
      </c>
      <c r="O644">
        <f>'Participant reporting'!O871</f>
        <v>0</v>
      </c>
    </row>
    <row r="645" spans="1:15" x14ac:dyDescent="0.25">
      <c r="A645">
        <f>'Participant reporting'!A872</f>
        <v>0</v>
      </c>
      <c r="B645">
        <f>'Participant reporting'!B872</f>
        <v>0</v>
      </c>
      <c r="C645">
        <f>'Participant reporting'!C872</f>
        <v>0</v>
      </c>
      <c r="D645">
        <f>'Participant reporting'!D872</f>
        <v>0</v>
      </c>
      <c r="E645" s="15">
        <f>'Participant reporting'!E872</f>
        <v>0</v>
      </c>
      <c r="F645">
        <f>'Participant reporting'!F872</f>
        <v>0</v>
      </c>
      <c r="G645">
        <f>'Participant reporting'!G872</f>
        <v>0</v>
      </c>
      <c r="H645">
        <f>'Participant reporting'!H872</f>
        <v>0</v>
      </c>
      <c r="I645">
        <f>'Participant reporting'!I872</f>
        <v>0</v>
      </c>
      <c r="J645">
        <f>'Participant reporting'!J872</f>
        <v>0</v>
      </c>
      <c r="K645">
        <f>'Participant reporting'!K872</f>
        <v>0</v>
      </c>
      <c r="L645">
        <f>'Participant reporting'!L872</f>
        <v>0</v>
      </c>
      <c r="M645">
        <f>'Participant reporting'!M872</f>
        <v>0</v>
      </c>
      <c r="N645">
        <f>'Participant reporting'!N872</f>
        <v>0</v>
      </c>
      <c r="O645">
        <f>'Participant reporting'!O872</f>
        <v>0</v>
      </c>
    </row>
    <row r="646" spans="1:15" x14ac:dyDescent="0.25">
      <c r="A646">
        <f>'Participant reporting'!A873</f>
        <v>0</v>
      </c>
      <c r="B646">
        <f>'Participant reporting'!B873</f>
        <v>0</v>
      </c>
      <c r="C646">
        <f>'Participant reporting'!C873</f>
        <v>0</v>
      </c>
      <c r="D646">
        <f>'Participant reporting'!D873</f>
        <v>0</v>
      </c>
      <c r="E646" s="15">
        <f>'Participant reporting'!E873</f>
        <v>0</v>
      </c>
      <c r="F646">
        <f>'Participant reporting'!F873</f>
        <v>0</v>
      </c>
      <c r="G646">
        <f>'Participant reporting'!G873</f>
        <v>0</v>
      </c>
      <c r="H646">
        <f>'Participant reporting'!H873</f>
        <v>0</v>
      </c>
      <c r="I646">
        <f>'Participant reporting'!I873</f>
        <v>0</v>
      </c>
      <c r="J646">
        <f>'Participant reporting'!J873</f>
        <v>0</v>
      </c>
      <c r="K646">
        <f>'Participant reporting'!K873</f>
        <v>0</v>
      </c>
      <c r="L646">
        <f>'Participant reporting'!L873</f>
        <v>0</v>
      </c>
      <c r="M646">
        <f>'Participant reporting'!M873</f>
        <v>0</v>
      </c>
      <c r="N646">
        <f>'Participant reporting'!N873</f>
        <v>0</v>
      </c>
      <c r="O646">
        <f>'Participant reporting'!O873</f>
        <v>0</v>
      </c>
    </row>
    <row r="647" spans="1:15" x14ac:dyDescent="0.25">
      <c r="A647">
        <f>'Participant reporting'!A874</f>
        <v>0</v>
      </c>
      <c r="B647">
        <f>'Participant reporting'!B874</f>
        <v>0</v>
      </c>
      <c r="C647">
        <f>'Participant reporting'!C874</f>
        <v>0</v>
      </c>
      <c r="D647">
        <f>'Participant reporting'!D874</f>
        <v>0</v>
      </c>
      <c r="E647" s="15">
        <f>'Participant reporting'!E874</f>
        <v>0</v>
      </c>
      <c r="F647">
        <f>'Participant reporting'!F874</f>
        <v>0</v>
      </c>
      <c r="G647">
        <f>'Participant reporting'!G874</f>
        <v>0</v>
      </c>
      <c r="H647">
        <f>'Participant reporting'!H874</f>
        <v>0</v>
      </c>
      <c r="I647">
        <f>'Participant reporting'!I874</f>
        <v>0</v>
      </c>
      <c r="J647">
        <f>'Participant reporting'!J874</f>
        <v>0</v>
      </c>
      <c r="K647">
        <f>'Participant reporting'!K874</f>
        <v>0</v>
      </c>
      <c r="L647">
        <f>'Participant reporting'!L874</f>
        <v>0</v>
      </c>
      <c r="M647">
        <f>'Participant reporting'!M874</f>
        <v>0</v>
      </c>
      <c r="N647">
        <f>'Participant reporting'!N874</f>
        <v>0</v>
      </c>
      <c r="O647">
        <f>'Participant reporting'!O874</f>
        <v>0</v>
      </c>
    </row>
    <row r="648" spans="1:15" x14ac:dyDescent="0.25">
      <c r="A648">
        <f>'Participant reporting'!A875</f>
        <v>0</v>
      </c>
      <c r="B648">
        <f>'Participant reporting'!B875</f>
        <v>0</v>
      </c>
      <c r="C648">
        <f>'Participant reporting'!C875</f>
        <v>0</v>
      </c>
      <c r="D648">
        <f>'Participant reporting'!D875</f>
        <v>0</v>
      </c>
      <c r="E648" s="15">
        <f>'Participant reporting'!E875</f>
        <v>0</v>
      </c>
      <c r="F648">
        <f>'Participant reporting'!F875</f>
        <v>0</v>
      </c>
      <c r="G648">
        <f>'Participant reporting'!G875</f>
        <v>0</v>
      </c>
      <c r="H648">
        <f>'Participant reporting'!H875</f>
        <v>0</v>
      </c>
      <c r="I648">
        <f>'Participant reporting'!I875</f>
        <v>0</v>
      </c>
      <c r="J648">
        <f>'Participant reporting'!J875</f>
        <v>0</v>
      </c>
      <c r="K648">
        <f>'Participant reporting'!K875</f>
        <v>0</v>
      </c>
      <c r="L648">
        <f>'Participant reporting'!L875</f>
        <v>0</v>
      </c>
      <c r="M648">
        <f>'Participant reporting'!M875</f>
        <v>0</v>
      </c>
      <c r="N648">
        <f>'Participant reporting'!N875</f>
        <v>0</v>
      </c>
      <c r="O648">
        <f>'Participant reporting'!O875</f>
        <v>0</v>
      </c>
    </row>
    <row r="649" spans="1:15" x14ac:dyDescent="0.25">
      <c r="A649">
        <f>'Participant reporting'!A876</f>
        <v>0</v>
      </c>
      <c r="B649">
        <f>'Participant reporting'!B876</f>
        <v>0</v>
      </c>
      <c r="C649">
        <f>'Participant reporting'!C876</f>
        <v>0</v>
      </c>
      <c r="D649">
        <f>'Participant reporting'!D876</f>
        <v>0</v>
      </c>
      <c r="E649" s="15">
        <f>'Participant reporting'!E876</f>
        <v>0</v>
      </c>
      <c r="F649">
        <f>'Participant reporting'!F876</f>
        <v>0</v>
      </c>
      <c r="G649">
        <f>'Participant reporting'!G876</f>
        <v>0</v>
      </c>
      <c r="H649">
        <f>'Participant reporting'!H876</f>
        <v>0</v>
      </c>
      <c r="I649">
        <f>'Participant reporting'!I876</f>
        <v>0</v>
      </c>
      <c r="J649">
        <f>'Participant reporting'!J876</f>
        <v>0</v>
      </c>
      <c r="K649">
        <f>'Participant reporting'!K876</f>
        <v>0</v>
      </c>
      <c r="L649">
        <f>'Participant reporting'!L876</f>
        <v>0</v>
      </c>
      <c r="M649">
        <f>'Participant reporting'!M876</f>
        <v>0</v>
      </c>
      <c r="N649">
        <f>'Participant reporting'!N876</f>
        <v>0</v>
      </c>
      <c r="O649">
        <f>'Participant reporting'!O876</f>
        <v>0</v>
      </c>
    </row>
    <row r="650" spans="1:15" x14ac:dyDescent="0.25">
      <c r="A650">
        <f>'Participant reporting'!A877</f>
        <v>0</v>
      </c>
      <c r="B650">
        <f>'Participant reporting'!B877</f>
        <v>0</v>
      </c>
      <c r="C650">
        <f>'Participant reporting'!C877</f>
        <v>0</v>
      </c>
      <c r="D650">
        <f>'Participant reporting'!D877</f>
        <v>0</v>
      </c>
      <c r="E650" s="15">
        <f>'Participant reporting'!E877</f>
        <v>0</v>
      </c>
      <c r="F650">
        <f>'Participant reporting'!F877</f>
        <v>0</v>
      </c>
      <c r="G650">
        <f>'Participant reporting'!G877</f>
        <v>0</v>
      </c>
      <c r="H650">
        <f>'Participant reporting'!H877</f>
        <v>0</v>
      </c>
      <c r="I650">
        <f>'Participant reporting'!I877</f>
        <v>0</v>
      </c>
      <c r="J650">
        <f>'Participant reporting'!J877</f>
        <v>0</v>
      </c>
      <c r="K650">
        <f>'Participant reporting'!K877</f>
        <v>0</v>
      </c>
      <c r="L650">
        <f>'Participant reporting'!L877</f>
        <v>0</v>
      </c>
      <c r="M650">
        <f>'Participant reporting'!M877</f>
        <v>0</v>
      </c>
      <c r="N650">
        <f>'Participant reporting'!N877</f>
        <v>0</v>
      </c>
      <c r="O650">
        <f>'Participant reporting'!O877</f>
        <v>0</v>
      </c>
    </row>
    <row r="651" spans="1:15" x14ac:dyDescent="0.25">
      <c r="A651">
        <f>'Participant reporting'!A878</f>
        <v>0</v>
      </c>
      <c r="B651">
        <f>'Participant reporting'!B878</f>
        <v>0</v>
      </c>
      <c r="C651">
        <f>'Participant reporting'!C878</f>
        <v>0</v>
      </c>
      <c r="D651">
        <f>'Participant reporting'!D878</f>
        <v>0</v>
      </c>
      <c r="E651" s="15">
        <f>'Participant reporting'!E878</f>
        <v>0</v>
      </c>
      <c r="F651">
        <f>'Participant reporting'!F878</f>
        <v>0</v>
      </c>
      <c r="G651">
        <f>'Participant reporting'!G878</f>
        <v>0</v>
      </c>
      <c r="H651">
        <f>'Participant reporting'!H878</f>
        <v>0</v>
      </c>
      <c r="I651">
        <f>'Participant reporting'!I878</f>
        <v>0</v>
      </c>
      <c r="J651">
        <f>'Participant reporting'!J878</f>
        <v>0</v>
      </c>
      <c r="K651">
        <f>'Participant reporting'!K878</f>
        <v>0</v>
      </c>
      <c r="L651">
        <f>'Participant reporting'!L878</f>
        <v>0</v>
      </c>
      <c r="M651">
        <f>'Participant reporting'!M878</f>
        <v>0</v>
      </c>
      <c r="N651">
        <f>'Participant reporting'!N878</f>
        <v>0</v>
      </c>
      <c r="O651">
        <f>'Participant reporting'!O878</f>
        <v>0</v>
      </c>
    </row>
    <row r="652" spans="1:15" x14ac:dyDescent="0.25">
      <c r="A652">
        <f>'Participant reporting'!A879</f>
        <v>0</v>
      </c>
      <c r="B652">
        <f>'Participant reporting'!B879</f>
        <v>0</v>
      </c>
      <c r="C652">
        <f>'Participant reporting'!C879</f>
        <v>0</v>
      </c>
      <c r="D652">
        <f>'Participant reporting'!D879</f>
        <v>0</v>
      </c>
      <c r="E652" s="15">
        <f>'Participant reporting'!E879</f>
        <v>0</v>
      </c>
      <c r="F652">
        <f>'Participant reporting'!F879</f>
        <v>0</v>
      </c>
      <c r="G652">
        <f>'Participant reporting'!G879</f>
        <v>0</v>
      </c>
      <c r="H652">
        <f>'Participant reporting'!H879</f>
        <v>0</v>
      </c>
      <c r="I652">
        <f>'Participant reporting'!I879</f>
        <v>0</v>
      </c>
      <c r="J652">
        <f>'Participant reporting'!J879</f>
        <v>0</v>
      </c>
      <c r="K652">
        <f>'Participant reporting'!K879</f>
        <v>0</v>
      </c>
      <c r="L652">
        <f>'Participant reporting'!L879</f>
        <v>0</v>
      </c>
      <c r="M652">
        <f>'Participant reporting'!M879</f>
        <v>0</v>
      </c>
      <c r="N652">
        <f>'Participant reporting'!N879</f>
        <v>0</v>
      </c>
      <c r="O652">
        <f>'Participant reporting'!O879</f>
        <v>0</v>
      </c>
    </row>
    <row r="653" spans="1:15" x14ac:dyDescent="0.25">
      <c r="A653">
        <f>'Participant reporting'!A880</f>
        <v>0</v>
      </c>
      <c r="B653">
        <f>'Participant reporting'!B880</f>
        <v>0</v>
      </c>
      <c r="C653">
        <f>'Participant reporting'!C880</f>
        <v>0</v>
      </c>
      <c r="D653">
        <f>'Participant reporting'!D880</f>
        <v>0</v>
      </c>
      <c r="E653" s="15">
        <f>'Participant reporting'!E880</f>
        <v>0</v>
      </c>
      <c r="F653">
        <f>'Participant reporting'!F880</f>
        <v>0</v>
      </c>
      <c r="G653">
        <f>'Participant reporting'!G880</f>
        <v>0</v>
      </c>
      <c r="H653">
        <f>'Participant reporting'!H880</f>
        <v>0</v>
      </c>
      <c r="I653">
        <f>'Participant reporting'!I880</f>
        <v>0</v>
      </c>
      <c r="J653">
        <f>'Participant reporting'!J880</f>
        <v>0</v>
      </c>
      <c r="K653">
        <f>'Participant reporting'!K880</f>
        <v>0</v>
      </c>
      <c r="L653">
        <f>'Participant reporting'!L880</f>
        <v>0</v>
      </c>
      <c r="M653">
        <f>'Participant reporting'!M880</f>
        <v>0</v>
      </c>
      <c r="N653">
        <f>'Participant reporting'!N880</f>
        <v>0</v>
      </c>
      <c r="O653">
        <f>'Participant reporting'!O880</f>
        <v>0</v>
      </c>
    </row>
    <row r="654" spans="1:15" x14ac:dyDescent="0.25">
      <c r="A654">
        <f>'Participant reporting'!A881</f>
        <v>0</v>
      </c>
      <c r="B654">
        <f>'Participant reporting'!B881</f>
        <v>0</v>
      </c>
      <c r="C654">
        <f>'Participant reporting'!C881</f>
        <v>0</v>
      </c>
      <c r="D654">
        <f>'Participant reporting'!D881</f>
        <v>0</v>
      </c>
      <c r="E654" s="15">
        <f>'Participant reporting'!E881</f>
        <v>0</v>
      </c>
      <c r="F654">
        <f>'Participant reporting'!F881</f>
        <v>0</v>
      </c>
      <c r="G654">
        <f>'Participant reporting'!G881</f>
        <v>0</v>
      </c>
      <c r="H654">
        <f>'Participant reporting'!H881</f>
        <v>0</v>
      </c>
      <c r="I654">
        <f>'Participant reporting'!I881</f>
        <v>0</v>
      </c>
      <c r="J654">
        <f>'Participant reporting'!J881</f>
        <v>0</v>
      </c>
      <c r="K654">
        <f>'Participant reporting'!K881</f>
        <v>0</v>
      </c>
      <c r="L654">
        <f>'Participant reporting'!L881</f>
        <v>0</v>
      </c>
      <c r="M654">
        <f>'Participant reporting'!M881</f>
        <v>0</v>
      </c>
      <c r="N654">
        <f>'Participant reporting'!N881</f>
        <v>0</v>
      </c>
      <c r="O654">
        <f>'Participant reporting'!O881</f>
        <v>0</v>
      </c>
    </row>
    <row r="655" spans="1:15" x14ac:dyDescent="0.25">
      <c r="A655">
        <f>'Participant reporting'!A882</f>
        <v>0</v>
      </c>
      <c r="B655">
        <f>'Participant reporting'!B882</f>
        <v>0</v>
      </c>
      <c r="C655">
        <f>'Participant reporting'!C882</f>
        <v>0</v>
      </c>
      <c r="D655">
        <f>'Participant reporting'!D882</f>
        <v>0</v>
      </c>
      <c r="E655" s="15">
        <f>'Participant reporting'!E882</f>
        <v>0</v>
      </c>
      <c r="F655">
        <f>'Participant reporting'!F882</f>
        <v>0</v>
      </c>
      <c r="G655">
        <f>'Participant reporting'!G882</f>
        <v>0</v>
      </c>
      <c r="H655">
        <f>'Participant reporting'!H882</f>
        <v>0</v>
      </c>
      <c r="I655">
        <f>'Participant reporting'!I882</f>
        <v>0</v>
      </c>
      <c r="J655">
        <f>'Participant reporting'!J882</f>
        <v>0</v>
      </c>
      <c r="K655">
        <f>'Participant reporting'!K882</f>
        <v>0</v>
      </c>
      <c r="L655">
        <f>'Participant reporting'!L882</f>
        <v>0</v>
      </c>
      <c r="M655">
        <f>'Participant reporting'!M882</f>
        <v>0</v>
      </c>
      <c r="N655">
        <f>'Participant reporting'!N882</f>
        <v>0</v>
      </c>
      <c r="O655">
        <f>'Participant reporting'!O882</f>
        <v>0</v>
      </c>
    </row>
    <row r="656" spans="1:15" x14ac:dyDescent="0.25">
      <c r="A656">
        <f>'Participant reporting'!A883</f>
        <v>0</v>
      </c>
      <c r="B656">
        <f>'Participant reporting'!B883</f>
        <v>0</v>
      </c>
      <c r="C656">
        <f>'Participant reporting'!C883</f>
        <v>0</v>
      </c>
      <c r="D656">
        <f>'Participant reporting'!D883</f>
        <v>0</v>
      </c>
      <c r="E656" s="15">
        <f>'Participant reporting'!E883</f>
        <v>0</v>
      </c>
      <c r="F656">
        <f>'Participant reporting'!F883</f>
        <v>0</v>
      </c>
      <c r="G656">
        <f>'Participant reporting'!G883</f>
        <v>0</v>
      </c>
      <c r="H656">
        <f>'Participant reporting'!H883</f>
        <v>0</v>
      </c>
      <c r="I656">
        <f>'Participant reporting'!I883</f>
        <v>0</v>
      </c>
      <c r="J656">
        <f>'Participant reporting'!J883</f>
        <v>0</v>
      </c>
      <c r="K656">
        <f>'Participant reporting'!K883</f>
        <v>0</v>
      </c>
      <c r="L656">
        <f>'Participant reporting'!L883</f>
        <v>0</v>
      </c>
      <c r="M656">
        <f>'Participant reporting'!M883</f>
        <v>0</v>
      </c>
      <c r="N656">
        <f>'Participant reporting'!N883</f>
        <v>0</v>
      </c>
      <c r="O656">
        <f>'Participant reporting'!O883</f>
        <v>0</v>
      </c>
    </row>
    <row r="657" spans="1:15" x14ac:dyDescent="0.25">
      <c r="A657">
        <f>'Participant reporting'!A884</f>
        <v>0</v>
      </c>
      <c r="B657">
        <f>'Participant reporting'!B884</f>
        <v>0</v>
      </c>
      <c r="C657">
        <f>'Participant reporting'!C884</f>
        <v>0</v>
      </c>
      <c r="D657">
        <f>'Participant reporting'!D884</f>
        <v>0</v>
      </c>
      <c r="E657" s="15">
        <f>'Participant reporting'!E884</f>
        <v>0</v>
      </c>
      <c r="F657">
        <f>'Participant reporting'!F884</f>
        <v>0</v>
      </c>
      <c r="G657">
        <f>'Participant reporting'!G884</f>
        <v>0</v>
      </c>
      <c r="H657">
        <f>'Participant reporting'!H884</f>
        <v>0</v>
      </c>
      <c r="I657">
        <f>'Participant reporting'!I884</f>
        <v>0</v>
      </c>
      <c r="J657">
        <f>'Participant reporting'!J884</f>
        <v>0</v>
      </c>
      <c r="K657">
        <f>'Participant reporting'!K884</f>
        <v>0</v>
      </c>
      <c r="L657">
        <f>'Participant reporting'!L884</f>
        <v>0</v>
      </c>
      <c r="M657">
        <f>'Participant reporting'!M884</f>
        <v>0</v>
      </c>
      <c r="N657">
        <f>'Participant reporting'!N884</f>
        <v>0</v>
      </c>
      <c r="O657">
        <f>'Participant reporting'!O884</f>
        <v>0</v>
      </c>
    </row>
    <row r="658" spans="1:15" x14ac:dyDescent="0.25">
      <c r="A658">
        <f>'Participant reporting'!A885</f>
        <v>0</v>
      </c>
      <c r="B658">
        <f>'Participant reporting'!B885</f>
        <v>0</v>
      </c>
      <c r="C658">
        <f>'Participant reporting'!C885</f>
        <v>0</v>
      </c>
      <c r="D658">
        <f>'Participant reporting'!D885</f>
        <v>0</v>
      </c>
      <c r="E658" s="15">
        <f>'Participant reporting'!E885</f>
        <v>0</v>
      </c>
      <c r="F658">
        <f>'Participant reporting'!F885</f>
        <v>0</v>
      </c>
      <c r="G658">
        <f>'Participant reporting'!G885</f>
        <v>0</v>
      </c>
      <c r="H658">
        <f>'Participant reporting'!H885</f>
        <v>0</v>
      </c>
      <c r="I658">
        <f>'Participant reporting'!I885</f>
        <v>0</v>
      </c>
      <c r="J658">
        <f>'Participant reporting'!J885</f>
        <v>0</v>
      </c>
      <c r="K658">
        <f>'Participant reporting'!K885</f>
        <v>0</v>
      </c>
      <c r="L658">
        <f>'Participant reporting'!L885</f>
        <v>0</v>
      </c>
      <c r="M658">
        <f>'Participant reporting'!M885</f>
        <v>0</v>
      </c>
      <c r="N658">
        <f>'Participant reporting'!N885</f>
        <v>0</v>
      </c>
      <c r="O658">
        <f>'Participant reporting'!O885</f>
        <v>0</v>
      </c>
    </row>
    <row r="659" spans="1:15" x14ac:dyDescent="0.25">
      <c r="A659">
        <f>'Participant reporting'!A886</f>
        <v>0</v>
      </c>
      <c r="B659">
        <f>'Participant reporting'!B886</f>
        <v>0</v>
      </c>
      <c r="C659">
        <f>'Participant reporting'!C886</f>
        <v>0</v>
      </c>
      <c r="D659">
        <f>'Participant reporting'!D886</f>
        <v>0</v>
      </c>
      <c r="E659" s="15">
        <f>'Participant reporting'!E886</f>
        <v>0</v>
      </c>
      <c r="F659">
        <f>'Participant reporting'!F886</f>
        <v>0</v>
      </c>
      <c r="G659">
        <f>'Participant reporting'!G886</f>
        <v>0</v>
      </c>
      <c r="H659">
        <f>'Participant reporting'!H886</f>
        <v>0</v>
      </c>
      <c r="I659">
        <f>'Participant reporting'!I886</f>
        <v>0</v>
      </c>
      <c r="J659">
        <f>'Participant reporting'!J886</f>
        <v>0</v>
      </c>
      <c r="K659">
        <f>'Participant reporting'!K886</f>
        <v>0</v>
      </c>
      <c r="L659">
        <f>'Participant reporting'!L886</f>
        <v>0</v>
      </c>
      <c r="M659">
        <f>'Participant reporting'!M886</f>
        <v>0</v>
      </c>
      <c r="N659">
        <f>'Participant reporting'!N886</f>
        <v>0</v>
      </c>
      <c r="O659">
        <f>'Participant reporting'!O886</f>
        <v>0</v>
      </c>
    </row>
    <row r="660" spans="1:15" x14ac:dyDescent="0.25">
      <c r="A660">
        <f>'Participant reporting'!A887</f>
        <v>0</v>
      </c>
      <c r="B660">
        <f>'Participant reporting'!B887</f>
        <v>0</v>
      </c>
      <c r="C660">
        <f>'Participant reporting'!C887</f>
        <v>0</v>
      </c>
      <c r="D660">
        <f>'Participant reporting'!D887</f>
        <v>0</v>
      </c>
      <c r="E660" s="15">
        <f>'Participant reporting'!E887</f>
        <v>0</v>
      </c>
      <c r="F660">
        <f>'Participant reporting'!F887</f>
        <v>0</v>
      </c>
      <c r="G660">
        <f>'Participant reporting'!G887</f>
        <v>0</v>
      </c>
      <c r="H660">
        <f>'Participant reporting'!H887</f>
        <v>0</v>
      </c>
      <c r="I660">
        <f>'Participant reporting'!I887</f>
        <v>0</v>
      </c>
      <c r="J660">
        <f>'Participant reporting'!J887</f>
        <v>0</v>
      </c>
      <c r="K660">
        <f>'Participant reporting'!K887</f>
        <v>0</v>
      </c>
      <c r="L660">
        <f>'Participant reporting'!L887</f>
        <v>0</v>
      </c>
      <c r="M660">
        <f>'Participant reporting'!M887</f>
        <v>0</v>
      </c>
      <c r="N660">
        <f>'Participant reporting'!N887</f>
        <v>0</v>
      </c>
      <c r="O660">
        <f>'Participant reporting'!O887</f>
        <v>0</v>
      </c>
    </row>
    <row r="661" spans="1:15" x14ac:dyDescent="0.25">
      <c r="A661">
        <f>'Participant reporting'!A888</f>
        <v>0</v>
      </c>
      <c r="B661">
        <f>'Participant reporting'!B888</f>
        <v>0</v>
      </c>
      <c r="C661">
        <f>'Participant reporting'!C888</f>
        <v>0</v>
      </c>
      <c r="D661">
        <f>'Participant reporting'!D888</f>
        <v>0</v>
      </c>
      <c r="E661" s="15">
        <f>'Participant reporting'!E888</f>
        <v>0</v>
      </c>
      <c r="F661">
        <f>'Participant reporting'!F888</f>
        <v>0</v>
      </c>
      <c r="G661">
        <f>'Participant reporting'!G888</f>
        <v>0</v>
      </c>
      <c r="H661">
        <f>'Participant reporting'!H888</f>
        <v>0</v>
      </c>
      <c r="I661">
        <f>'Participant reporting'!I888</f>
        <v>0</v>
      </c>
      <c r="J661">
        <f>'Participant reporting'!J888</f>
        <v>0</v>
      </c>
      <c r="K661">
        <f>'Participant reporting'!K888</f>
        <v>0</v>
      </c>
      <c r="L661">
        <f>'Participant reporting'!L888</f>
        <v>0</v>
      </c>
      <c r="M661">
        <f>'Participant reporting'!M888</f>
        <v>0</v>
      </c>
      <c r="N661">
        <f>'Participant reporting'!N888</f>
        <v>0</v>
      </c>
      <c r="O661">
        <f>'Participant reporting'!O888</f>
        <v>0</v>
      </c>
    </row>
    <row r="662" spans="1:15" x14ac:dyDescent="0.25">
      <c r="A662">
        <f>'Participant reporting'!A889</f>
        <v>0</v>
      </c>
      <c r="B662">
        <f>'Participant reporting'!B889</f>
        <v>0</v>
      </c>
      <c r="C662">
        <f>'Participant reporting'!C889</f>
        <v>0</v>
      </c>
      <c r="D662">
        <f>'Participant reporting'!D889</f>
        <v>0</v>
      </c>
      <c r="E662" s="15">
        <f>'Participant reporting'!E889</f>
        <v>0</v>
      </c>
      <c r="F662">
        <f>'Participant reporting'!F889</f>
        <v>0</v>
      </c>
      <c r="G662">
        <f>'Participant reporting'!G889</f>
        <v>0</v>
      </c>
      <c r="H662">
        <f>'Participant reporting'!H889</f>
        <v>0</v>
      </c>
      <c r="I662">
        <f>'Participant reporting'!I889</f>
        <v>0</v>
      </c>
      <c r="J662">
        <f>'Participant reporting'!J889</f>
        <v>0</v>
      </c>
      <c r="K662">
        <f>'Participant reporting'!K889</f>
        <v>0</v>
      </c>
      <c r="L662">
        <f>'Participant reporting'!L889</f>
        <v>0</v>
      </c>
      <c r="M662">
        <f>'Participant reporting'!M889</f>
        <v>0</v>
      </c>
      <c r="N662">
        <f>'Participant reporting'!N889</f>
        <v>0</v>
      </c>
      <c r="O662">
        <f>'Participant reporting'!O889</f>
        <v>0</v>
      </c>
    </row>
    <row r="663" spans="1:15" x14ac:dyDescent="0.25">
      <c r="A663">
        <f>'Participant reporting'!A890</f>
        <v>0</v>
      </c>
      <c r="B663">
        <f>'Participant reporting'!B890</f>
        <v>0</v>
      </c>
      <c r="C663">
        <f>'Participant reporting'!C890</f>
        <v>0</v>
      </c>
      <c r="D663">
        <f>'Participant reporting'!D890</f>
        <v>0</v>
      </c>
      <c r="E663" s="15">
        <f>'Participant reporting'!E890</f>
        <v>0</v>
      </c>
      <c r="F663">
        <f>'Participant reporting'!F890</f>
        <v>0</v>
      </c>
      <c r="G663">
        <f>'Participant reporting'!G890</f>
        <v>0</v>
      </c>
      <c r="H663">
        <f>'Participant reporting'!H890</f>
        <v>0</v>
      </c>
      <c r="I663">
        <f>'Participant reporting'!I890</f>
        <v>0</v>
      </c>
      <c r="J663">
        <f>'Participant reporting'!J890</f>
        <v>0</v>
      </c>
      <c r="K663">
        <f>'Participant reporting'!K890</f>
        <v>0</v>
      </c>
      <c r="L663">
        <f>'Participant reporting'!L890</f>
        <v>0</v>
      </c>
      <c r="M663">
        <f>'Participant reporting'!M890</f>
        <v>0</v>
      </c>
      <c r="N663">
        <f>'Participant reporting'!N890</f>
        <v>0</v>
      </c>
      <c r="O663">
        <f>'Participant reporting'!O890</f>
        <v>0</v>
      </c>
    </row>
    <row r="664" spans="1:15" x14ac:dyDescent="0.25">
      <c r="A664">
        <f>'Participant reporting'!A891</f>
        <v>0</v>
      </c>
      <c r="B664">
        <f>'Participant reporting'!B891</f>
        <v>0</v>
      </c>
      <c r="C664">
        <f>'Participant reporting'!C891</f>
        <v>0</v>
      </c>
      <c r="D664">
        <f>'Participant reporting'!D891</f>
        <v>0</v>
      </c>
      <c r="E664" s="15">
        <f>'Participant reporting'!E891</f>
        <v>0</v>
      </c>
      <c r="F664">
        <f>'Participant reporting'!F891</f>
        <v>0</v>
      </c>
      <c r="G664">
        <f>'Participant reporting'!G891</f>
        <v>0</v>
      </c>
      <c r="H664">
        <f>'Participant reporting'!H891</f>
        <v>0</v>
      </c>
      <c r="I664">
        <f>'Participant reporting'!I891</f>
        <v>0</v>
      </c>
      <c r="J664">
        <f>'Participant reporting'!J891</f>
        <v>0</v>
      </c>
      <c r="K664">
        <f>'Participant reporting'!K891</f>
        <v>0</v>
      </c>
      <c r="L664">
        <f>'Participant reporting'!L891</f>
        <v>0</v>
      </c>
      <c r="M664">
        <f>'Participant reporting'!M891</f>
        <v>0</v>
      </c>
      <c r="N664">
        <f>'Participant reporting'!N891</f>
        <v>0</v>
      </c>
      <c r="O664">
        <f>'Participant reporting'!O891</f>
        <v>0</v>
      </c>
    </row>
    <row r="665" spans="1:15" x14ac:dyDescent="0.25">
      <c r="A665">
        <f>'Participant reporting'!A892</f>
        <v>0</v>
      </c>
      <c r="B665">
        <f>'Participant reporting'!B892</f>
        <v>0</v>
      </c>
      <c r="C665">
        <f>'Participant reporting'!C892</f>
        <v>0</v>
      </c>
      <c r="D665">
        <f>'Participant reporting'!D892</f>
        <v>0</v>
      </c>
      <c r="E665" s="15">
        <f>'Participant reporting'!E892</f>
        <v>0</v>
      </c>
      <c r="F665">
        <f>'Participant reporting'!F892</f>
        <v>0</v>
      </c>
      <c r="G665">
        <f>'Participant reporting'!G892</f>
        <v>0</v>
      </c>
      <c r="H665">
        <f>'Participant reporting'!H892</f>
        <v>0</v>
      </c>
      <c r="I665">
        <f>'Participant reporting'!I892</f>
        <v>0</v>
      </c>
      <c r="J665">
        <f>'Participant reporting'!J892</f>
        <v>0</v>
      </c>
      <c r="K665">
        <f>'Participant reporting'!K892</f>
        <v>0</v>
      </c>
      <c r="L665">
        <f>'Participant reporting'!L892</f>
        <v>0</v>
      </c>
      <c r="M665">
        <f>'Participant reporting'!M892</f>
        <v>0</v>
      </c>
      <c r="N665">
        <f>'Participant reporting'!N892</f>
        <v>0</v>
      </c>
      <c r="O665">
        <f>'Participant reporting'!O892</f>
        <v>0</v>
      </c>
    </row>
    <row r="666" spans="1:15" x14ac:dyDescent="0.25">
      <c r="A666">
        <f>'Participant reporting'!A893</f>
        <v>0</v>
      </c>
      <c r="B666">
        <f>'Participant reporting'!B893</f>
        <v>0</v>
      </c>
      <c r="C666">
        <f>'Participant reporting'!C893</f>
        <v>0</v>
      </c>
      <c r="D666">
        <f>'Participant reporting'!D893</f>
        <v>0</v>
      </c>
      <c r="E666" s="15">
        <f>'Participant reporting'!E893</f>
        <v>0</v>
      </c>
      <c r="F666">
        <f>'Participant reporting'!F893</f>
        <v>0</v>
      </c>
      <c r="G666">
        <f>'Participant reporting'!G893</f>
        <v>0</v>
      </c>
      <c r="H666">
        <f>'Participant reporting'!H893</f>
        <v>0</v>
      </c>
      <c r="I666">
        <f>'Participant reporting'!I893</f>
        <v>0</v>
      </c>
      <c r="J666">
        <f>'Participant reporting'!J893</f>
        <v>0</v>
      </c>
      <c r="K666">
        <f>'Participant reporting'!K893</f>
        <v>0</v>
      </c>
      <c r="L666">
        <f>'Participant reporting'!L893</f>
        <v>0</v>
      </c>
      <c r="M666">
        <f>'Participant reporting'!M893</f>
        <v>0</v>
      </c>
      <c r="N666">
        <f>'Participant reporting'!N893</f>
        <v>0</v>
      </c>
      <c r="O666">
        <f>'Participant reporting'!O893</f>
        <v>0</v>
      </c>
    </row>
    <row r="667" spans="1:15" x14ac:dyDescent="0.25">
      <c r="A667">
        <f>'Participant reporting'!A894</f>
        <v>0</v>
      </c>
      <c r="B667">
        <f>'Participant reporting'!B894</f>
        <v>0</v>
      </c>
      <c r="C667">
        <f>'Participant reporting'!C894</f>
        <v>0</v>
      </c>
      <c r="D667">
        <f>'Participant reporting'!D894</f>
        <v>0</v>
      </c>
      <c r="E667" s="15">
        <f>'Participant reporting'!E894</f>
        <v>0</v>
      </c>
      <c r="F667">
        <f>'Participant reporting'!F894</f>
        <v>0</v>
      </c>
      <c r="G667">
        <f>'Participant reporting'!G894</f>
        <v>0</v>
      </c>
      <c r="H667">
        <f>'Participant reporting'!H894</f>
        <v>0</v>
      </c>
      <c r="I667">
        <f>'Participant reporting'!I894</f>
        <v>0</v>
      </c>
      <c r="J667">
        <f>'Participant reporting'!J894</f>
        <v>0</v>
      </c>
      <c r="K667">
        <f>'Participant reporting'!K894</f>
        <v>0</v>
      </c>
      <c r="L667">
        <f>'Participant reporting'!L894</f>
        <v>0</v>
      </c>
      <c r="M667">
        <f>'Participant reporting'!M894</f>
        <v>0</v>
      </c>
      <c r="N667">
        <f>'Participant reporting'!N894</f>
        <v>0</v>
      </c>
      <c r="O667">
        <f>'Participant reporting'!O894</f>
        <v>0</v>
      </c>
    </row>
    <row r="668" spans="1:15" x14ac:dyDescent="0.25">
      <c r="A668">
        <f>'Participant reporting'!A895</f>
        <v>0</v>
      </c>
      <c r="B668">
        <f>'Participant reporting'!B895</f>
        <v>0</v>
      </c>
      <c r="C668">
        <f>'Participant reporting'!C895</f>
        <v>0</v>
      </c>
      <c r="D668">
        <f>'Participant reporting'!D895</f>
        <v>0</v>
      </c>
      <c r="E668" s="15">
        <f>'Participant reporting'!E895</f>
        <v>0</v>
      </c>
      <c r="F668">
        <f>'Participant reporting'!F895</f>
        <v>0</v>
      </c>
      <c r="G668">
        <f>'Participant reporting'!G895</f>
        <v>0</v>
      </c>
      <c r="H668">
        <f>'Participant reporting'!H895</f>
        <v>0</v>
      </c>
      <c r="I668">
        <f>'Participant reporting'!I895</f>
        <v>0</v>
      </c>
      <c r="J668">
        <f>'Participant reporting'!J895</f>
        <v>0</v>
      </c>
      <c r="K668">
        <f>'Participant reporting'!K895</f>
        <v>0</v>
      </c>
      <c r="L668">
        <f>'Participant reporting'!L895</f>
        <v>0</v>
      </c>
      <c r="M668">
        <f>'Participant reporting'!M895</f>
        <v>0</v>
      </c>
      <c r="N668">
        <f>'Participant reporting'!N895</f>
        <v>0</v>
      </c>
      <c r="O668">
        <f>'Participant reporting'!O895</f>
        <v>0</v>
      </c>
    </row>
    <row r="669" spans="1:15" x14ac:dyDescent="0.25">
      <c r="A669">
        <f>'Participant reporting'!A896</f>
        <v>0</v>
      </c>
      <c r="B669">
        <f>'Participant reporting'!B896</f>
        <v>0</v>
      </c>
      <c r="C669">
        <f>'Participant reporting'!C896</f>
        <v>0</v>
      </c>
      <c r="D669">
        <f>'Participant reporting'!D896</f>
        <v>0</v>
      </c>
      <c r="E669" s="15">
        <f>'Participant reporting'!E896</f>
        <v>0</v>
      </c>
      <c r="F669">
        <f>'Participant reporting'!F896</f>
        <v>0</v>
      </c>
      <c r="G669">
        <f>'Participant reporting'!G896</f>
        <v>0</v>
      </c>
      <c r="H669">
        <f>'Participant reporting'!H896</f>
        <v>0</v>
      </c>
      <c r="I669">
        <f>'Participant reporting'!I896</f>
        <v>0</v>
      </c>
      <c r="J669">
        <f>'Participant reporting'!J896</f>
        <v>0</v>
      </c>
      <c r="K669">
        <f>'Participant reporting'!K896</f>
        <v>0</v>
      </c>
      <c r="L669">
        <f>'Participant reporting'!L896</f>
        <v>0</v>
      </c>
      <c r="M669">
        <f>'Participant reporting'!M896</f>
        <v>0</v>
      </c>
      <c r="N669">
        <f>'Participant reporting'!N896</f>
        <v>0</v>
      </c>
      <c r="O669">
        <f>'Participant reporting'!O896</f>
        <v>0</v>
      </c>
    </row>
    <row r="670" spans="1:15" x14ac:dyDescent="0.25">
      <c r="A670">
        <f>'Participant reporting'!A897</f>
        <v>0</v>
      </c>
      <c r="B670">
        <f>'Participant reporting'!B897</f>
        <v>0</v>
      </c>
      <c r="C670">
        <f>'Participant reporting'!C897</f>
        <v>0</v>
      </c>
      <c r="D670">
        <f>'Participant reporting'!D897</f>
        <v>0</v>
      </c>
      <c r="E670" s="15">
        <f>'Participant reporting'!E897</f>
        <v>0</v>
      </c>
      <c r="F670">
        <f>'Participant reporting'!F897</f>
        <v>0</v>
      </c>
      <c r="G670">
        <f>'Participant reporting'!G897</f>
        <v>0</v>
      </c>
      <c r="H670">
        <f>'Participant reporting'!H897</f>
        <v>0</v>
      </c>
      <c r="I670">
        <f>'Participant reporting'!I897</f>
        <v>0</v>
      </c>
      <c r="J670">
        <f>'Participant reporting'!J897</f>
        <v>0</v>
      </c>
      <c r="K670">
        <f>'Participant reporting'!K897</f>
        <v>0</v>
      </c>
      <c r="L670">
        <f>'Participant reporting'!L897</f>
        <v>0</v>
      </c>
      <c r="M670">
        <f>'Participant reporting'!M897</f>
        <v>0</v>
      </c>
      <c r="N670">
        <f>'Participant reporting'!N897</f>
        <v>0</v>
      </c>
      <c r="O670">
        <f>'Participant reporting'!O897</f>
        <v>0</v>
      </c>
    </row>
    <row r="671" spans="1:15" x14ac:dyDescent="0.25">
      <c r="A671">
        <f>'Participant reporting'!A898</f>
        <v>0</v>
      </c>
      <c r="B671">
        <f>'Participant reporting'!B898</f>
        <v>0</v>
      </c>
      <c r="C671">
        <f>'Participant reporting'!C898</f>
        <v>0</v>
      </c>
      <c r="D671">
        <f>'Participant reporting'!D898</f>
        <v>0</v>
      </c>
      <c r="E671" s="15">
        <f>'Participant reporting'!E898</f>
        <v>0</v>
      </c>
      <c r="F671">
        <f>'Participant reporting'!F898</f>
        <v>0</v>
      </c>
      <c r="G671">
        <f>'Participant reporting'!G898</f>
        <v>0</v>
      </c>
      <c r="H671">
        <f>'Participant reporting'!H898</f>
        <v>0</v>
      </c>
      <c r="I671">
        <f>'Participant reporting'!I898</f>
        <v>0</v>
      </c>
      <c r="J671">
        <f>'Participant reporting'!J898</f>
        <v>0</v>
      </c>
      <c r="K671">
        <f>'Participant reporting'!K898</f>
        <v>0</v>
      </c>
      <c r="L671">
        <f>'Participant reporting'!L898</f>
        <v>0</v>
      </c>
      <c r="M671">
        <f>'Participant reporting'!M898</f>
        <v>0</v>
      </c>
      <c r="N671">
        <f>'Participant reporting'!N898</f>
        <v>0</v>
      </c>
      <c r="O671">
        <f>'Participant reporting'!O898</f>
        <v>0</v>
      </c>
    </row>
    <row r="672" spans="1:15" x14ac:dyDescent="0.25">
      <c r="A672">
        <f>'Participant reporting'!A899</f>
        <v>0</v>
      </c>
      <c r="B672">
        <f>'Participant reporting'!B899</f>
        <v>0</v>
      </c>
      <c r="C672">
        <f>'Participant reporting'!C899</f>
        <v>0</v>
      </c>
      <c r="D672">
        <f>'Participant reporting'!D899</f>
        <v>0</v>
      </c>
      <c r="E672" s="15">
        <f>'Participant reporting'!E899</f>
        <v>0</v>
      </c>
      <c r="F672">
        <f>'Participant reporting'!F899</f>
        <v>0</v>
      </c>
      <c r="G672">
        <f>'Participant reporting'!G899</f>
        <v>0</v>
      </c>
      <c r="H672">
        <f>'Participant reporting'!H899</f>
        <v>0</v>
      </c>
      <c r="I672">
        <f>'Participant reporting'!I899</f>
        <v>0</v>
      </c>
      <c r="J672">
        <f>'Participant reporting'!J899</f>
        <v>0</v>
      </c>
      <c r="K672">
        <f>'Participant reporting'!K899</f>
        <v>0</v>
      </c>
      <c r="L672">
        <f>'Participant reporting'!L899</f>
        <v>0</v>
      </c>
      <c r="M672">
        <f>'Participant reporting'!M899</f>
        <v>0</v>
      </c>
      <c r="N672">
        <f>'Participant reporting'!N899</f>
        <v>0</v>
      </c>
      <c r="O672">
        <f>'Participant reporting'!O899</f>
        <v>0</v>
      </c>
    </row>
    <row r="673" spans="1:15" x14ac:dyDescent="0.25">
      <c r="A673">
        <f>'Participant reporting'!A900</f>
        <v>0</v>
      </c>
      <c r="B673">
        <f>'Participant reporting'!B900</f>
        <v>0</v>
      </c>
      <c r="C673">
        <f>'Participant reporting'!C900</f>
        <v>0</v>
      </c>
      <c r="D673">
        <f>'Participant reporting'!D900</f>
        <v>0</v>
      </c>
      <c r="E673" s="15">
        <f>'Participant reporting'!E900</f>
        <v>0</v>
      </c>
      <c r="F673">
        <f>'Participant reporting'!F900</f>
        <v>0</v>
      </c>
      <c r="G673">
        <f>'Participant reporting'!G900</f>
        <v>0</v>
      </c>
      <c r="H673">
        <f>'Participant reporting'!H900</f>
        <v>0</v>
      </c>
      <c r="I673">
        <f>'Participant reporting'!I900</f>
        <v>0</v>
      </c>
      <c r="J673">
        <f>'Participant reporting'!J900</f>
        <v>0</v>
      </c>
      <c r="K673">
        <f>'Participant reporting'!K900</f>
        <v>0</v>
      </c>
      <c r="L673">
        <f>'Participant reporting'!L900</f>
        <v>0</v>
      </c>
      <c r="M673">
        <f>'Participant reporting'!M900</f>
        <v>0</v>
      </c>
      <c r="N673">
        <f>'Participant reporting'!N900</f>
        <v>0</v>
      </c>
      <c r="O673">
        <f>'Participant reporting'!O900</f>
        <v>0</v>
      </c>
    </row>
    <row r="674" spans="1:15" x14ac:dyDescent="0.25">
      <c r="A674">
        <f>'Participant reporting'!A901</f>
        <v>0</v>
      </c>
      <c r="B674">
        <f>'Participant reporting'!B901</f>
        <v>0</v>
      </c>
      <c r="C674">
        <f>'Participant reporting'!C901</f>
        <v>0</v>
      </c>
      <c r="D674">
        <f>'Participant reporting'!D901</f>
        <v>0</v>
      </c>
      <c r="E674" s="15">
        <f>'Participant reporting'!E901</f>
        <v>0</v>
      </c>
      <c r="F674">
        <f>'Participant reporting'!F901</f>
        <v>0</v>
      </c>
      <c r="G674">
        <f>'Participant reporting'!G901</f>
        <v>0</v>
      </c>
      <c r="H674">
        <f>'Participant reporting'!H901</f>
        <v>0</v>
      </c>
      <c r="I674">
        <f>'Participant reporting'!I901</f>
        <v>0</v>
      </c>
      <c r="J674">
        <f>'Participant reporting'!J901</f>
        <v>0</v>
      </c>
      <c r="K674">
        <f>'Participant reporting'!K901</f>
        <v>0</v>
      </c>
      <c r="L674">
        <f>'Participant reporting'!L901</f>
        <v>0</v>
      </c>
      <c r="M674">
        <f>'Participant reporting'!M901</f>
        <v>0</v>
      </c>
      <c r="N674">
        <f>'Participant reporting'!N901</f>
        <v>0</v>
      </c>
      <c r="O674">
        <f>'Participant reporting'!O901</f>
        <v>0</v>
      </c>
    </row>
    <row r="675" spans="1:15" x14ac:dyDescent="0.25">
      <c r="A675">
        <f>'Participant reporting'!A902</f>
        <v>0</v>
      </c>
      <c r="B675">
        <f>'Participant reporting'!B902</f>
        <v>0</v>
      </c>
      <c r="C675">
        <f>'Participant reporting'!C902</f>
        <v>0</v>
      </c>
      <c r="D675">
        <f>'Participant reporting'!D902</f>
        <v>0</v>
      </c>
      <c r="E675" s="15">
        <f>'Participant reporting'!E902</f>
        <v>0</v>
      </c>
      <c r="F675">
        <f>'Participant reporting'!F902</f>
        <v>0</v>
      </c>
      <c r="G675">
        <f>'Participant reporting'!G902</f>
        <v>0</v>
      </c>
      <c r="H675">
        <f>'Participant reporting'!H902</f>
        <v>0</v>
      </c>
      <c r="I675">
        <f>'Participant reporting'!I902</f>
        <v>0</v>
      </c>
      <c r="J675">
        <f>'Participant reporting'!J902</f>
        <v>0</v>
      </c>
      <c r="K675">
        <f>'Participant reporting'!K902</f>
        <v>0</v>
      </c>
      <c r="L675">
        <f>'Participant reporting'!L902</f>
        <v>0</v>
      </c>
      <c r="M675">
        <f>'Participant reporting'!M902</f>
        <v>0</v>
      </c>
      <c r="N675">
        <f>'Participant reporting'!N902</f>
        <v>0</v>
      </c>
      <c r="O675">
        <f>'Participant reporting'!O902</f>
        <v>0</v>
      </c>
    </row>
    <row r="676" spans="1:15" x14ac:dyDescent="0.25">
      <c r="A676">
        <f>'Participant reporting'!A903</f>
        <v>0</v>
      </c>
      <c r="B676">
        <f>'Participant reporting'!B903</f>
        <v>0</v>
      </c>
      <c r="C676">
        <f>'Participant reporting'!C903</f>
        <v>0</v>
      </c>
      <c r="D676">
        <f>'Participant reporting'!D903</f>
        <v>0</v>
      </c>
      <c r="E676" s="15">
        <f>'Participant reporting'!E903</f>
        <v>0</v>
      </c>
      <c r="F676">
        <f>'Participant reporting'!F903</f>
        <v>0</v>
      </c>
      <c r="G676">
        <f>'Participant reporting'!G903</f>
        <v>0</v>
      </c>
      <c r="H676">
        <f>'Participant reporting'!H903</f>
        <v>0</v>
      </c>
      <c r="I676">
        <f>'Participant reporting'!I903</f>
        <v>0</v>
      </c>
      <c r="J676">
        <f>'Participant reporting'!J903</f>
        <v>0</v>
      </c>
      <c r="K676">
        <f>'Participant reporting'!K903</f>
        <v>0</v>
      </c>
      <c r="L676">
        <f>'Participant reporting'!L903</f>
        <v>0</v>
      </c>
      <c r="M676">
        <f>'Participant reporting'!M903</f>
        <v>0</v>
      </c>
      <c r="N676">
        <f>'Participant reporting'!N903</f>
        <v>0</v>
      </c>
      <c r="O676">
        <f>'Participant reporting'!O903</f>
        <v>0</v>
      </c>
    </row>
    <row r="677" spans="1:15" x14ac:dyDescent="0.25">
      <c r="A677">
        <f>'Participant reporting'!A904</f>
        <v>0</v>
      </c>
      <c r="B677">
        <f>'Participant reporting'!B904</f>
        <v>0</v>
      </c>
      <c r="C677">
        <f>'Participant reporting'!C904</f>
        <v>0</v>
      </c>
      <c r="D677">
        <f>'Participant reporting'!D904</f>
        <v>0</v>
      </c>
      <c r="E677" s="15">
        <f>'Participant reporting'!E904</f>
        <v>0</v>
      </c>
      <c r="F677">
        <f>'Participant reporting'!F904</f>
        <v>0</v>
      </c>
      <c r="G677">
        <f>'Participant reporting'!G904</f>
        <v>0</v>
      </c>
      <c r="H677">
        <f>'Participant reporting'!H904</f>
        <v>0</v>
      </c>
      <c r="I677">
        <f>'Participant reporting'!I904</f>
        <v>0</v>
      </c>
      <c r="J677">
        <f>'Participant reporting'!J904</f>
        <v>0</v>
      </c>
      <c r="K677">
        <f>'Participant reporting'!K904</f>
        <v>0</v>
      </c>
      <c r="L677">
        <f>'Participant reporting'!L904</f>
        <v>0</v>
      </c>
      <c r="M677">
        <f>'Participant reporting'!M904</f>
        <v>0</v>
      </c>
      <c r="N677">
        <f>'Participant reporting'!N904</f>
        <v>0</v>
      </c>
      <c r="O677">
        <f>'Participant reporting'!O904</f>
        <v>0</v>
      </c>
    </row>
    <row r="678" spans="1:15" x14ac:dyDescent="0.25">
      <c r="A678">
        <f>'Participant reporting'!A905</f>
        <v>0</v>
      </c>
      <c r="B678">
        <f>'Participant reporting'!B905</f>
        <v>0</v>
      </c>
      <c r="C678">
        <f>'Participant reporting'!C905</f>
        <v>0</v>
      </c>
      <c r="D678">
        <f>'Participant reporting'!D905</f>
        <v>0</v>
      </c>
      <c r="E678" s="15">
        <f>'Participant reporting'!E905</f>
        <v>0</v>
      </c>
      <c r="F678">
        <f>'Participant reporting'!F905</f>
        <v>0</v>
      </c>
      <c r="G678">
        <f>'Participant reporting'!G905</f>
        <v>0</v>
      </c>
      <c r="H678">
        <f>'Participant reporting'!H905</f>
        <v>0</v>
      </c>
      <c r="I678">
        <f>'Participant reporting'!I905</f>
        <v>0</v>
      </c>
      <c r="J678">
        <f>'Participant reporting'!J905</f>
        <v>0</v>
      </c>
      <c r="K678">
        <f>'Participant reporting'!K905</f>
        <v>0</v>
      </c>
      <c r="L678">
        <f>'Participant reporting'!L905</f>
        <v>0</v>
      </c>
      <c r="M678">
        <f>'Participant reporting'!M905</f>
        <v>0</v>
      </c>
      <c r="N678">
        <f>'Participant reporting'!N905</f>
        <v>0</v>
      </c>
      <c r="O678">
        <f>'Participant reporting'!O905</f>
        <v>0</v>
      </c>
    </row>
    <row r="679" spans="1:15" x14ac:dyDescent="0.25">
      <c r="A679">
        <f>'Participant reporting'!A906</f>
        <v>0</v>
      </c>
      <c r="B679">
        <f>'Participant reporting'!B906</f>
        <v>0</v>
      </c>
      <c r="C679">
        <f>'Participant reporting'!C906</f>
        <v>0</v>
      </c>
      <c r="D679">
        <f>'Participant reporting'!D906</f>
        <v>0</v>
      </c>
      <c r="E679" s="15">
        <f>'Participant reporting'!E906</f>
        <v>0</v>
      </c>
      <c r="F679">
        <f>'Participant reporting'!F906</f>
        <v>0</v>
      </c>
      <c r="G679">
        <f>'Participant reporting'!G906</f>
        <v>0</v>
      </c>
      <c r="H679">
        <f>'Participant reporting'!H906</f>
        <v>0</v>
      </c>
      <c r="I679">
        <f>'Participant reporting'!I906</f>
        <v>0</v>
      </c>
      <c r="J679">
        <f>'Participant reporting'!J906</f>
        <v>0</v>
      </c>
      <c r="K679">
        <f>'Participant reporting'!K906</f>
        <v>0</v>
      </c>
      <c r="L679">
        <f>'Participant reporting'!L906</f>
        <v>0</v>
      </c>
      <c r="M679">
        <f>'Participant reporting'!M906</f>
        <v>0</v>
      </c>
      <c r="N679">
        <f>'Participant reporting'!N906</f>
        <v>0</v>
      </c>
      <c r="O679">
        <f>'Participant reporting'!O906</f>
        <v>0</v>
      </c>
    </row>
    <row r="680" spans="1:15" x14ac:dyDescent="0.25">
      <c r="A680">
        <f>'Participant reporting'!A907</f>
        <v>0</v>
      </c>
      <c r="B680">
        <f>'Participant reporting'!B907</f>
        <v>0</v>
      </c>
      <c r="C680">
        <f>'Participant reporting'!C907</f>
        <v>0</v>
      </c>
      <c r="D680">
        <f>'Participant reporting'!D907</f>
        <v>0</v>
      </c>
      <c r="E680" s="15">
        <f>'Participant reporting'!E907</f>
        <v>0</v>
      </c>
      <c r="F680">
        <f>'Participant reporting'!F907</f>
        <v>0</v>
      </c>
      <c r="G680">
        <f>'Participant reporting'!G907</f>
        <v>0</v>
      </c>
      <c r="H680">
        <f>'Participant reporting'!H907</f>
        <v>0</v>
      </c>
      <c r="I680">
        <f>'Participant reporting'!I907</f>
        <v>0</v>
      </c>
      <c r="J680">
        <f>'Participant reporting'!J907</f>
        <v>0</v>
      </c>
      <c r="K680">
        <f>'Participant reporting'!K907</f>
        <v>0</v>
      </c>
      <c r="L680">
        <f>'Participant reporting'!L907</f>
        <v>0</v>
      </c>
      <c r="M680">
        <f>'Participant reporting'!M907</f>
        <v>0</v>
      </c>
      <c r="N680">
        <f>'Participant reporting'!N907</f>
        <v>0</v>
      </c>
      <c r="O680">
        <f>'Participant reporting'!O907</f>
        <v>0</v>
      </c>
    </row>
    <row r="681" spans="1:15" x14ac:dyDescent="0.25">
      <c r="A681">
        <f>'Participant reporting'!A908</f>
        <v>0</v>
      </c>
      <c r="B681">
        <f>'Participant reporting'!B908</f>
        <v>0</v>
      </c>
      <c r="C681">
        <f>'Participant reporting'!C908</f>
        <v>0</v>
      </c>
      <c r="D681">
        <f>'Participant reporting'!D908</f>
        <v>0</v>
      </c>
      <c r="E681" s="15">
        <f>'Participant reporting'!E908</f>
        <v>0</v>
      </c>
      <c r="F681">
        <f>'Participant reporting'!F908</f>
        <v>0</v>
      </c>
      <c r="G681">
        <f>'Participant reporting'!G908</f>
        <v>0</v>
      </c>
      <c r="H681">
        <f>'Participant reporting'!H908</f>
        <v>0</v>
      </c>
      <c r="I681">
        <f>'Participant reporting'!I908</f>
        <v>0</v>
      </c>
      <c r="J681">
        <f>'Participant reporting'!J908</f>
        <v>0</v>
      </c>
      <c r="K681">
        <f>'Participant reporting'!K908</f>
        <v>0</v>
      </c>
      <c r="L681">
        <f>'Participant reporting'!L908</f>
        <v>0</v>
      </c>
      <c r="M681">
        <f>'Participant reporting'!M908</f>
        <v>0</v>
      </c>
      <c r="N681">
        <f>'Participant reporting'!N908</f>
        <v>0</v>
      </c>
      <c r="O681">
        <f>'Participant reporting'!O908</f>
        <v>0</v>
      </c>
    </row>
    <row r="682" spans="1:15" x14ac:dyDescent="0.25">
      <c r="A682">
        <f>'Participant reporting'!A909</f>
        <v>0</v>
      </c>
      <c r="B682">
        <f>'Participant reporting'!B909</f>
        <v>0</v>
      </c>
      <c r="C682">
        <f>'Participant reporting'!C909</f>
        <v>0</v>
      </c>
      <c r="D682">
        <f>'Participant reporting'!D909</f>
        <v>0</v>
      </c>
      <c r="E682" s="15">
        <f>'Participant reporting'!E909</f>
        <v>0</v>
      </c>
      <c r="F682">
        <f>'Participant reporting'!F909</f>
        <v>0</v>
      </c>
      <c r="G682">
        <f>'Participant reporting'!G909</f>
        <v>0</v>
      </c>
      <c r="H682">
        <f>'Participant reporting'!H909</f>
        <v>0</v>
      </c>
      <c r="I682">
        <f>'Participant reporting'!I909</f>
        <v>0</v>
      </c>
      <c r="J682">
        <f>'Participant reporting'!J909</f>
        <v>0</v>
      </c>
      <c r="K682">
        <f>'Participant reporting'!K909</f>
        <v>0</v>
      </c>
      <c r="L682">
        <f>'Participant reporting'!L909</f>
        <v>0</v>
      </c>
      <c r="M682">
        <f>'Participant reporting'!M909</f>
        <v>0</v>
      </c>
      <c r="N682">
        <f>'Participant reporting'!N909</f>
        <v>0</v>
      </c>
      <c r="O682">
        <f>'Participant reporting'!O909</f>
        <v>0</v>
      </c>
    </row>
    <row r="683" spans="1:15" x14ac:dyDescent="0.25">
      <c r="A683">
        <f>'Participant reporting'!A910</f>
        <v>0</v>
      </c>
      <c r="B683">
        <f>'Participant reporting'!B910</f>
        <v>0</v>
      </c>
      <c r="C683">
        <f>'Participant reporting'!C910</f>
        <v>0</v>
      </c>
      <c r="D683">
        <f>'Participant reporting'!D910</f>
        <v>0</v>
      </c>
      <c r="E683" s="15">
        <f>'Participant reporting'!E910</f>
        <v>0</v>
      </c>
      <c r="F683">
        <f>'Participant reporting'!F910</f>
        <v>0</v>
      </c>
      <c r="G683">
        <f>'Participant reporting'!G910</f>
        <v>0</v>
      </c>
      <c r="H683">
        <f>'Participant reporting'!H910</f>
        <v>0</v>
      </c>
      <c r="I683">
        <f>'Participant reporting'!I910</f>
        <v>0</v>
      </c>
      <c r="J683">
        <f>'Participant reporting'!J910</f>
        <v>0</v>
      </c>
      <c r="K683">
        <f>'Participant reporting'!K910</f>
        <v>0</v>
      </c>
      <c r="L683">
        <f>'Participant reporting'!L910</f>
        <v>0</v>
      </c>
      <c r="M683">
        <f>'Participant reporting'!M910</f>
        <v>0</v>
      </c>
      <c r="N683">
        <f>'Participant reporting'!N910</f>
        <v>0</v>
      </c>
      <c r="O683">
        <f>'Participant reporting'!O910</f>
        <v>0</v>
      </c>
    </row>
    <row r="684" spans="1:15" x14ac:dyDescent="0.25">
      <c r="A684">
        <f>'Participant reporting'!A911</f>
        <v>0</v>
      </c>
      <c r="B684">
        <f>'Participant reporting'!B911</f>
        <v>0</v>
      </c>
      <c r="C684">
        <f>'Participant reporting'!C911</f>
        <v>0</v>
      </c>
      <c r="D684">
        <f>'Participant reporting'!D911</f>
        <v>0</v>
      </c>
      <c r="E684" s="15">
        <f>'Participant reporting'!E911</f>
        <v>0</v>
      </c>
      <c r="F684">
        <f>'Participant reporting'!F911</f>
        <v>0</v>
      </c>
      <c r="G684">
        <f>'Participant reporting'!G911</f>
        <v>0</v>
      </c>
      <c r="H684">
        <f>'Participant reporting'!H911</f>
        <v>0</v>
      </c>
      <c r="I684">
        <f>'Participant reporting'!I911</f>
        <v>0</v>
      </c>
      <c r="J684">
        <f>'Participant reporting'!J911</f>
        <v>0</v>
      </c>
      <c r="K684">
        <f>'Participant reporting'!K911</f>
        <v>0</v>
      </c>
      <c r="L684">
        <f>'Participant reporting'!L911</f>
        <v>0</v>
      </c>
      <c r="M684">
        <f>'Participant reporting'!M911</f>
        <v>0</v>
      </c>
      <c r="N684">
        <f>'Participant reporting'!N911</f>
        <v>0</v>
      </c>
      <c r="O684">
        <f>'Participant reporting'!O911</f>
        <v>0</v>
      </c>
    </row>
    <row r="685" spans="1:15" x14ac:dyDescent="0.25">
      <c r="A685">
        <f>'Participant reporting'!A912</f>
        <v>0</v>
      </c>
      <c r="B685">
        <f>'Participant reporting'!B912</f>
        <v>0</v>
      </c>
      <c r="C685">
        <f>'Participant reporting'!C912</f>
        <v>0</v>
      </c>
      <c r="D685">
        <f>'Participant reporting'!D912</f>
        <v>0</v>
      </c>
      <c r="E685" s="15">
        <f>'Participant reporting'!E912</f>
        <v>0</v>
      </c>
      <c r="F685">
        <f>'Participant reporting'!F912</f>
        <v>0</v>
      </c>
      <c r="G685">
        <f>'Participant reporting'!G912</f>
        <v>0</v>
      </c>
      <c r="H685">
        <f>'Participant reporting'!H912</f>
        <v>0</v>
      </c>
      <c r="I685">
        <f>'Participant reporting'!I912</f>
        <v>0</v>
      </c>
      <c r="J685">
        <f>'Participant reporting'!J912</f>
        <v>0</v>
      </c>
      <c r="K685">
        <f>'Participant reporting'!K912</f>
        <v>0</v>
      </c>
      <c r="L685">
        <f>'Participant reporting'!L912</f>
        <v>0</v>
      </c>
      <c r="M685">
        <f>'Participant reporting'!M912</f>
        <v>0</v>
      </c>
      <c r="N685">
        <f>'Participant reporting'!N912</f>
        <v>0</v>
      </c>
      <c r="O685">
        <f>'Participant reporting'!O912</f>
        <v>0</v>
      </c>
    </row>
    <row r="686" spans="1:15" x14ac:dyDescent="0.25">
      <c r="A686">
        <f>'Participant reporting'!A913</f>
        <v>0</v>
      </c>
      <c r="B686">
        <f>'Participant reporting'!B913</f>
        <v>0</v>
      </c>
      <c r="C686">
        <f>'Participant reporting'!C913</f>
        <v>0</v>
      </c>
      <c r="D686">
        <f>'Participant reporting'!D913</f>
        <v>0</v>
      </c>
      <c r="E686" s="15">
        <f>'Participant reporting'!E913</f>
        <v>0</v>
      </c>
      <c r="F686">
        <f>'Participant reporting'!F913</f>
        <v>0</v>
      </c>
      <c r="G686">
        <f>'Participant reporting'!G913</f>
        <v>0</v>
      </c>
      <c r="H686">
        <f>'Participant reporting'!H913</f>
        <v>0</v>
      </c>
      <c r="I686">
        <f>'Participant reporting'!I913</f>
        <v>0</v>
      </c>
      <c r="J686">
        <f>'Participant reporting'!J913</f>
        <v>0</v>
      </c>
      <c r="K686">
        <f>'Participant reporting'!K913</f>
        <v>0</v>
      </c>
      <c r="L686">
        <f>'Participant reporting'!L913</f>
        <v>0</v>
      </c>
      <c r="M686">
        <f>'Participant reporting'!M913</f>
        <v>0</v>
      </c>
      <c r="N686">
        <f>'Participant reporting'!N913</f>
        <v>0</v>
      </c>
      <c r="O686">
        <f>'Participant reporting'!O913</f>
        <v>0</v>
      </c>
    </row>
    <row r="687" spans="1:15" x14ac:dyDescent="0.25">
      <c r="A687">
        <f>'Participant reporting'!A914</f>
        <v>0</v>
      </c>
      <c r="B687">
        <f>'Participant reporting'!B914</f>
        <v>0</v>
      </c>
      <c r="C687">
        <f>'Participant reporting'!C914</f>
        <v>0</v>
      </c>
      <c r="D687">
        <f>'Participant reporting'!D914</f>
        <v>0</v>
      </c>
      <c r="E687" s="15">
        <f>'Participant reporting'!E914</f>
        <v>0</v>
      </c>
      <c r="F687">
        <f>'Participant reporting'!F914</f>
        <v>0</v>
      </c>
      <c r="G687">
        <f>'Participant reporting'!G914</f>
        <v>0</v>
      </c>
      <c r="H687">
        <f>'Participant reporting'!H914</f>
        <v>0</v>
      </c>
      <c r="I687">
        <f>'Participant reporting'!I914</f>
        <v>0</v>
      </c>
      <c r="J687">
        <f>'Participant reporting'!J914</f>
        <v>0</v>
      </c>
      <c r="K687">
        <f>'Participant reporting'!K914</f>
        <v>0</v>
      </c>
      <c r="L687">
        <f>'Participant reporting'!L914</f>
        <v>0</v>
      </c>
      <c r="M687">
        <f>'Participant reporting'!M914</f>
        <v>0</v>
      </c>
      <c r="N687">
        <f>'Participant reporting'!N914</f>
        <v>0</v>
      </c>
      <c r="O687">
        <f>'Participant reporting'!O914</f>
        <v>0</v>
      </c>
    </row>
    <row r="688" spans="1:15" x14ac:dyDescent="0.25">
      <c r="A688">
        <f>'Participant reporting'!A915</f>
        <v>0</v>
      </c>
      <c r="B688">
        <f>'Participant reporting'!B915</f>
        <v>0</v>
      </c>
      <c r="C688">
        <f>'Participant reporting'!C915</f>
        <v>0</v>
      </c>
      <c r="D688">
        <f>'Participant reporting'!D915</f>
        <v>0</v>
      </c>
      <c r="E688" s="15">
        <f>'Participant reporting'!E915</f>
        <v>0</v>
      </c>
      <c r="F688">
        <f>'Participant reporting'!F915</f>
        <v>0</v>
      </c>
      <c r="G688">
        <f>'Participant reporting'!G915</f>
        <v>0</v>
      </c>
      <c r="H688">
        <f>'Participant reporting'!H915</f>
        <v>0</v>
      </c>
      <c r="I688">
        <f>'Participant reporting'!I915</f>
        <v>0</v>
      </c>
      <c r="J688">
        <f>'Participant reporting'!J915</f>
        <v>0</v>
      </c>
      <c r="K688">
        <f>'Participant reporting'!K915</f>
        <v>0</v>
      </c>
      <c r="L688">
        <f>'Participant reporting'!L915</f>
        <v>0</v>
      </c>
      <c r="M688">
        <f>'Participant reporting'!M915</f>
        <v>0</v>
      </c>
      <c r="N688">
        <f>'Participant reporting'!N915</f>
        <v>0</v>
      </c>
      <c r="O688">
        <f>'Participant reporting'!O915</f>
        <v>0</v>
      </c>
    </row>
    <row r="689" spans="1:15" x14ac:dyDescent="0.25">
      <c r="A689">
        <f>'Participant reporting'!A916</f>
        <v>0</v>
      </c>
      <c r="B689">
        <f>'Participant reporting'!B916</f>
        <v>0</v>
      </c>
      <c r="C689">
        <f>'Participant reporting'!C916</f>
        <v>0</v>
      </c>
      <c r="D689">
        <f>'Participant reporting'!D916</f>
        <v>0</v>
      </c>
      <c r="E689" s="15">
        <f>'Participant reporting'!E916</f>
        <v>0</v>
      </c>
      <c r="F689">
        <f>'Participant reporting'!F916</f>
        <v>0</v>
      </c>
      <c r="G689">
        <f>'Participant reporting'!G916</f>
        <v>0</v>
      </c>
      <c r="H689">
        <f>'Participant reporting'!H916</f>
        <v>0</v>
      </c>
      <c r="I689">
        <f>'Participant reporting'!I916</f>
        <v>0</v>
      </c>
      <c r="J689">
        <f>'Participant reporting'!J916</f>
        <v>0</v>
      </c>
      <c r="K689">
        <f>'Participant reporting'!K916</f>
        <v>0</v>
      </c>
      <c r="L689">
        <f>'Participant reporting'!L916</f>
        <v>0</v>
      </c>
      <c r="M689">
        <f>'Participant reporting'!M916</f>
        <v>0</v>
      </c>
      <c r="N689">
        <f>'Participant reporting'!N916</f>
        <v>0</v>
      </c>
      <c r="O689">
        <f>'Participant reporting'!O916</f>
        <v>0</v>
      </c>
    </row>
    <row r="690" spans="1:15" x14ac:dyDescent="0.25">
      <c r="A690">
        <f>'Participant reporting'!A917</f>
        <v>0</v>
      </c>
      <c r="B690">
        <f>'Participant reporting'!B917</f>
        <v>0</v>
      </c>
      <c r="C690">
        <f>'Participant reporting'!C917</f>
        <v>0</v>
      </c>
      <c r="D690">
        <f>'Participant reporting'!D917</f>
        <v>0</v>
      </c>
      <c r="E690" s="15">
        <f>'Participant reporting'!E917</f>
        <v>0</v>
      </c>
      <c r="F690">
        <f>'Participant reporting'!F917</f>
        <v>0</v>
      </c>
      <c r="G690">
        <f>'Participant reporting'!G917</f>
        <v>0</v>
      </c>
      <c r="H690">
        <f>'Participant reporting'!H917</f>
        <v>0</v>
      </c>
      <c r="I690">
        <f>'Participant reporting'!I917</f>
        <v>0</v>
      </c>
      <c r="J690">
        <f>'Participant reporting'!J917</f>
        <v>0</v>
      </c>
      <c r="K690">
        <f>'Participant reporting'!K917</f>
        <v>0</v>
      </c>
      <c r="L690">
        <f>'Participant reporting'!L917</f>
        <v>0</v>
      </c>
      <c r="M690">
        <f>'Participant reporting'!M917</f>
        <v>0</v>
      </c>
      <c r="N690">
        <f>'Participant reporting'!N917</f>
        <v>0</v>
      </c>
      <c r="O690">
        <f>'Participant reporting'!O917</f>
        <v>0</v>
      </c>
    </row>
    <row r="691" spans="1:15" x14ac:dyDescent="0.25">
      <c r="A691">
        <f>'Participant reporting'!A918</f>
        <v>0</v>
      </c>
      <c r="B691">
        <f>'Participant reporting'!B918</f>
        <v>0</v>
      </c>
      <c r="C691">
        <f>'Participant reporting'!C918</f>
        <v>0</v>
      </c>
      <c r="D691">
        <f>'Participant reporting'!D918</f>
        <v>0</v>
      </c>
      <c r="E691" s="15">
        <f>'Participant reporting'!E918</f>
        <v>0</v>
      </c>
      <c r="F691">
        <f>'Participant reporting'!F918</f>
        <v>0</v>
      </c>
      <c r="G691">
        <f>'Participant reporting'!G918</f>
        <v>0</v>
      </c>
      <c r="H691">
        <f>'Participant reporting'!H918</f>
        <v>0</v>
      </c>
      <c r="I691">
        <f>'Participant reporting'!I918</f>
        <v>0</v>
      </c>
      <c r="J691">
        <f>'Participant reporting'!J918</f>
        <v>0</v>
      </c>
      <c r="K691">
        <f>'Participant reporting'!K918</f>
        <v>0</v>
      </c>
      <c r="L691">
        <f>'Participant reporting'!L918</f>
        <v>0</v>
      </c>
      <c r="M691">
        <f>'Participant reporting'!M918</f>
        <v>0</v>
      </c>
      <c r="N691">
        <f>'Participant reporting'!N918</f>
        <v>0</v>
      </c>
      <c r="O691">
        <f>'Participant reporting'!O918</f>
        <v>0</v>
      </c>
    </row>
    <row r="692" spans="1:15" x14ac:dyDescent="0.25">
      <c r="A692">
        <f>'Participant reporting'!A919</f>
        <v>0</v>
      </c>
      <c r="B692">
        <f>'Participant reporting'!B919</f>
        <v>0</v>
      </c>
      <c r="C692">
        <f>'Participant reporting'!C919</f>
        <v>0</v>
      </c>
      <c r="D692">
        <f>'Participant reporting'!D919</f>
        <v>0</v>
      </c>
      <c r="E692" s="15">
        <f>'Participant reporting'!E919</f>
        <v>0</v>
      </c>
      <c r="F692">
        <f>'Participant reporting'!F919</f>
        <v>0</v>
      </c>
      <c r="G692">
        <f>'Participant reporting'!G919</f>
        <v>0</v>
      </c>
      <c r="H692">
        <f>'Participant reporting'!H919</f>
        <v>0</v>
      </c>
      <c r="I692">
        <f>'Participant reporting'!I919</f>
        <v>0</v>
      </c>
      <c r="J692">
        <f>'Participant reporting'!J919</f>
        <v>0</v>
      </c>
      <c r="K692">
        <f>'Participant reporting'!K919</f>
        <v>0</v>
      </c>
      <c r="L692">
        <f>'Participant reporting'!L919</f>
        <v>0</v>
      </c>
      <c r="M692">
        <f>'Participant reporting'!M919</f>
        <v>0</v>
      </c>
      <c r="N692">
        <f>'Participant reporting'!N919</f>
        <v>0</v>
      </c>
      <c r="O692">
        <f>'Participant reporting'!O919</f>
        <v>0</v>
      </c>
    </row>
    <row r="693" spans="1:15" x14ac:dyDescent="0.25">
      <c r="A693">
        <f>'Participant reporting'!A920</f>
        <v>0</v>
      </c>
      <c r="B693">
        <f>'Participant reporting'!B920</f>
        <v>0</v>
      </c>
      <c r="C693">
        <f>'Participant reporting'!C920</f>
        <v>0</v>
      </c>
      <c r="D693">
        <f>'Participant reporting'!D920</f>
        <v>0</v>
      </c>
      <c r="E693" s="15">
        <f>'Participant reporting'!E920</f>
        <v>0</v>
      </c>
      <c r="F693">
        <f>'Participant reporting'!F920</f>
        <v>0</v>
      </c>
      <c r="G693">
        <f>'Participant reporting'!G920</f>
        <v>0</v>
      </c>
      <c r="H693">
        <f>'Participant reporting'!H920</f>
        <v>0</v>
      </c>
      <c r="I693">
        <f>'Participant reporting'!I920</f>
        <v>0</v>
      </c>
      <c r="J693">
        <f>'Participant reporting'!J920</f>
        <v>0</v>
      </c>
      <c r="K693">
        <f>'Participant reporting'!K920</f>
        <v>0</v>
      </c>
      <c r="L693">
        <f>'Participant reporting'!L920</f>
        <v>0</v>
      </c>
      <c r="M693">
        <f>'Participant reporting'!M920</f>
        <v>0</v>
      </c>
      <c r="N693">
        <f>'Participant reporting'!N920</f>
        <v>0</v>
      </c>
      <c r="O693">
        <f>'Participant reporting'!O920</f>
        <v>0</v>
      </c>
    </row>
    <row r="694" spans="1:15" x14ac:dyDescent="0.25">
      <c r="A694">
        <f>'Participant reporting'!A921</f>
        <v>0</v>
      </c>
      <c r="B694">
        <f>'Participant reporting'!B921</f>
        <v>0</v>
      </c>
      <c r="C694">
        <f>'Participant reporting'!C921</f>
        <v>0</v>
      </c>
      <c r="D694">
        <f>'Participant reporting'!D921</f>
        <v>0</v>
      </c>
      <c r="E694" s="15">
        <f>'Participant reporting'!E921</f>
        <v>0</v>
      </c>
      <c r="F694">
        <f>'Participant reporting'!F921</f>
        <v>0</v>
      </c>
      <c r="G694">
        <f>'Participant reporting'!G921</f>
        <v>0</v>
      </c>
      <c r="H694">
        <f>'Participant reporting'!H921</f>
        <v>0</v>
      </c>
      <c r="I694">
        <f>'Participant reporting'!I921</f>
        <v>0</v>
      </c>
      <c r="J694">
        <f>'Participant reporting'!J921</f>
        <v>0</v>
      </c>
      <c r="K694">
        <f>'Participant reporting'!K921</f>
        <v>0</v>
      </c>
      <c r="L694">
        <f>'Participant reporting'!L921</f>
        <v>0</v>
      </c>
      <c r="M694">
        <f>'Participant reporting'!M921</f>
        <v>0</v>
      </c>
      <c r="N694">
        <f>'Participant reporting'!N921</f>
        <v>0</v>
      </c>
      <c r="O694">
        <f>'Participant reporting'!O921</f>
        <v>0</v>
      </c>
    </row>
    <row r="695" spans="1:15" x14ac:dyDescent="0.25">
      <c r="A695">
        <f>'Participant reporting'!A922</f>
        <v>0</v>
      </c>
      <c r="B695">
        <f>'Participant reporting'!B922</f>
        <v>0</v>
      </c>
      <c r="C695">
        <f>'Participant reporting'!C922</f>
        <v>0</v>
      </c>
      <c r="D695">
        <f>'Participant reporting'!D922</f>
        <v>0</v>
      </c>
      <c r="E695" s="15">
        <f>'Participant reporting'!E922</f>
        <v>0</v>
      </c>
      <c r="F695">
        <f>'Participant reporting'!F922</f>
        <v>0</v>
      </c>
      <c r="G695">
        <f>'Participant reporting'!G922</f>
        <v>0</v>
      </c>
      <c r="H695">
        <f>'Participant reporting'!H922</f>
        <v>0</v>
      </c>
      <c r="I695">
        <f>'Participant reporting'!I922</f>
        <v>0</v>
      </c>
      <c r="J695">
        <f>'Participant reporting'!J922</f>
        <v>0</v>
      </c>
      <c r="K695">
        <f>'Participant reporting'!K922</f>
        <v>0</v>
      </c>
      <c r="L695">
        <f>'Participant reporting'!L922</f>
        <v>0</v>
      </c>
      <c r="M695">
        <f>'Participant reporting'!M922</f>
        <v>0</v>
      </c>
      <c r="N695">
        <f>'Participant reporting'!N922</f>
        <v>0</v>
      </c>
      <c r="O695">
        <f>'Participant reporting'!O922</f>
        <v>0</v>
      </c>
    </row>
    <row r="696" spans="1:15" x14ac:dyDescent="0.25">
      <c r="A696">
        <f>'Participant reporting'!A923</f>
        <v>0</v>
      </c>
      <c r="B696">
        <f>'Participant reporting'!B923</f>
        <v>0</v>
      </c>
      <c r="C696">
        <f>'Participant reporting'!C923</f>
        <v>0</v>
      </c>
      <c r="D696">
        <f>'Participant reporting'!D923</f>
        <v>0</v>
      </c>
      <c r="E696" s="15">
        <f>'Participant reporting'!E923</f>
        <v>0</v>
      </c>
      <c r="F696">
        <f>'Participant reporting'!F923</f>
        <v>0</v>
      </c>
      <c r="G696">
        <f>'Participant reporting'!G923</f>
        <v>0</v>
      </c>
      <c r="H696">
        <f>'Participant reporting'!H923</f>
        <v>0</v>
      </c>
      <c r="I696">
        <f>'Participant reporting'!I923</f>
        <v>0</v>
      </c>
      <c r="J696">
        <f>'Participant reporting'!J923</f>
        <v>0</v>
      </c>
      <c r="K696">
        <f>'Participant reporting'!K923</f>
        <v>0</v>
      </c>
      <c r="L696">
        <f>'Participant reporting'!L923</f>
        <v>0</v>
      </c>
      <c r="M696">
        <f>'Participant reporting'!M923</f>
        <v>0</v>
      </c>
      <c r="N696">
        <f>'Participant reporting'!N923</f>
        <v>0</v>
      </c>
      <c r="O696">
        <f>'Participant reporting'!O923</f>
        <v>0</v>
      </c>
    </row>
    <row r="697" spans="1:15" x14ac:dyDescent="0.25">
      <c r="A697">
        <f>'Participant reporting'!A924</f>
        <v>0</v>
      </c>
      <c r="B697">
        <f>'Participant reporting'!B924</f>
        <v>0</v>
      </c>
      <c r="C697">
        <f>'Participant reporting'!C924</f>
        <v>0</v>
      </c>
      <c r="D697">
        <f>'Participant reporting'!D924</f>
        <v>0</v>
      </c>
      <c r="E697" s="15">
        <f>'Participant reporting'!E924</f>
        <v>0</v>
      </c>
      <c r="F697">
        <f>'Participant reporting'!F924</f>
        <v>0</v>
      </c>
      <c r="G697">
        <f>'Participant reporting'!G924</f>
        <v>0</v>
      </c>
      <c r="H697">
        <f>'Participant reporting'!H924</f>
        <v>0</v>
      </c>
      <c r="I697">
        <f>'Participant reporting'!I924</f>
        <v>0</v>
      </c>
      <c r="J697">
        <f>'Participant reporting'!J924</f>
        <v>0</v>
      </c>
      <c r="K697">
        <f>'Participant reporting'!K924</f>
        <v>0</v>
      </c>
      <c r="L697">
        <f>'Participant reporting'!L924</f>
        <v>0</v>
      </c>
      <c r="M697">
        <f>'Participant reporting'!M924</f>
        <v>0</v>
      </c>
      <c r="N697">
        <f>'Participant reporting'!N924</f>
        <v>0</v>
      </c>
      <c r="O697">
        <f>'Participant reporting'!O924</f>
        <v>0</v>
      </c>
    </row>
    <row r="698" spans="1:15" x14ac:dyDescent="0.25">
      <c r="A698">
        <f>'Participant reporting'!A925</f>
        <v>0</v>
      </c>
      <c r="B698">
        <f>'Participant reporting'!B925</f>
        <v>0</v>
      </c>
      <c r="C698">
        <f>'Participant reporting'!C925</f>
        <v>0</v>
      </c>
      <c r="D698">
        <f>'Participant reporting'!D925</f>
        <v>0</v>
      </c>
      <c r="E698" s="15">
        <f>'Participant reporting'!E925</f>
        <v>0</v>
      </c>
      <c r="F698">
        <f>'Participant reporting'!F925</f>
        <v>0</v>
      </c>
      <c r="G698">
        <f>'Participant reporting'!G925</f>
        <v>0</v>
      </c>
      <c r="H698">
        <f>'Participant reporting'!H925</f>
        <v>0</v>
      </c>
      <c r="I698">
        <f>'Participant reporting'!I925</f>
        <v>0</v>
      </c>
      <c r="J698">
        <f>'Participant reporting'!J925</f>
        <v>0</v>
      </c>
      <c r="K698">
        <f>'Participant reporting'!K925</f>
        <v>0</v>
      </c>
      <c r="L698">
        <f>'Participant reporting'!L925</f>
        <v>0</v>
      </c>
      <c r="M698">
        <f>'Participant reporting'!M925</f>
        <v>0</v>
      </c>
      <c r="N698">
        <f>'Participant reporting'!N925</f>
        <v>0</v>
      </c>
      <c r="O698">
        <f>'Participant reporting'!O925</f>
        <v>0</v>
      </c>
    </row>
    <row r="699" spans="1:15" x14ac:dyDescent="0.25">
      <c r="A699">
        <f>'Participant reporting'!A926</f>
        <v>0</v>
      </c>
      <c r="B699">
        <f>'Participant reporting'!B926</f>
        <v>0</v>
      </c>
      <c r="C699">
        <f>'Participant reporting'!C926</f>
        <v>0</v>
      </c>
      <c r="D699">
        <f>'Participant reporting'!D926</f>
        <v>0</v>
      </c>
      <c r="E699" s="15">
        <f>'Participant reporting'!E926</f>
        <v>0</v>
      </c>
      <c r="F699">
        <f>'Participant reporting'!F926</f>
        <v>0</v>
      </c>
      <c r="G699">
        <f>'Participant reporting'!G926</f>
        <v>0</v>
      </c>
      <c r="H699">
        <f>'Participant reporting'!H926</f>
        <v>0</v>
      </c>
      <c r="I699">
        <f>'Participant reporting'!I926</f>
        <v>0</v>
      </c>
      <c r="J699">
        <f>'Participant reporting'!J926</f>
        <v>0</v>
      </c>
      <c r="K699">
        <f>'Participant reporting'!K926</f>
        <v>0</v>
      </c>
      <c r="L699">
        <f>'Participant reporting'!L926</f>
        <v>0</v>
      </c>
      <c r="M699">
        <f>'Participant reporting'!M926</f>
        <v>0</v>
      </c>
      <c r="N699">
        <f>'Participant reporting'!N926</f>
        <v>0</v>
      </c>
      <c r="O699">
        <f>'Participant reporting'!O926</f>
        <v>0</v>
      </c>
    </row>
    <row r="700" spans="1:15" x14ac:dyDescent="0.25">
      <c r="A700">
        <f>'Participant reporting'!A927</f>
        <v>0</v>
      </c>
      <c r="B700">
        <f>'Participant reporting'!B927</f>
        <v>0</v>
      </c>
      <c r="C700">
        <f>'Participant reporting'!C927</f>
        <v>0</v>
      </c>
      <c r="D700">
        <f>'Participant reporting'!D927</f>
        <v>0</v>
      </c>
      <c r="E700" s="15">
        <f>'Participant reporting'!E927</f>
        <v>0</v>
      </c>
      <c r="F700">
        <f>'Participant reporting'!F927</f>
        <v>0</v>
      </c>
      <c r="G700">
        <f>'Participant reporting'!G927</f>
        <v>0</v>
      </c>
      <c r="H700">
        <f>'Participant reporting'!H927</f>
        <v>0</v>
      </c>
      <c r="I700">
        <f>'Participant reporting'!I927</f>
        <v>0</v>
      </c>
      <c r="J700">
        <f>'Participant reporting'!J927</f>
        <v>0</v>
      </c>
      <c r="K700">
        <f>'Participant reporting'!K927</f>
        <v>0</v>
      </c>
      <c r="L700">
        <f>'Participant reporting'!L927</f>
        <v>0</v>
      </c>
      <c r="M700">
        <f>'Participant reporting'!M927</f>
        <v>0</v>
      </c>
      <c r="N700">
        <f>'Participant reporting'!N927</f>
        <v>0</v>
      </c>
      <c r="O700">
        <f>'Participant reporting'!O927</f>
        <v>0</v>
      </c>
    </row>
    <row r="701" spans="1:15" x14ac:dyDescent="0.25">
      <c r="A701">
        <f>'Participant reporting'!A928</f>
        <v>0</v>
      </c>
      <c r="B701">
        <f>'Participant reporting'!B928</f>
        <v>0</v>
      </c>
      <c r="C701">
        <f>'Participant reporting'!C928</f>
        <v>0</v>
      </c>
      <c r="D701">
        <f>'Participant reporting'!D928</f>
        <v>0</v>
      </c>
      <c r="E701" s="15">
        <f>'Participant reporting'!E928</f>
        <v>0</v>
      </c>
      <c r="F701">
        <f>'Participant reporting'!F928</f>
        <v>0</v>
      </c>
      <c r="G701">
        <f>'Participant reporting'!G928</f>
        <v>0</v>
      </c>
      <c r="H701">
        <f>'Participant reporting'!H928</f>
        <v>0</v>
      </c>
      <c r="I701">
        <f>'Participant reporting'!I928</f>
        <v>0</v>
      </c>
      <c r="J701">
        <f>'Participant reporting'!J928</f>
        <v>0</v>
      </c>
      <c r="K701">
        <f>'Participant reporting'!K928</f>
        <v>0</v>
      </c>
      <c r="L701">
        <f>'Participant reporting'!L928</f>
        <v>0</v>
      </c>
      <c r="M701">
        <f>'Participant reporting'!M928</f>
        <v>0</v>
      </c>
      <c r="N701">
        <f>'Participant reporting'!N928</f>
        <v>0</v>
      </c>
      <c r="O701">
        <f>'Participant reporting'!O928</f>
        <v>0</v>
      </c>
    </row>
    <row r="702" spans="1:15" x14ac:dyDescent="0.25">
      <c r="A702">
        <f>'Participant reporting'!A929</f>
        <v>0</v>
      </c>
      <c r="B702">
        <f>'Participant reporting'!B929</f>
        <v>0</v>
      </c>
      <c r="C702">
        <f>'Participant reporting'!C929</f>
        <v>0</v>
      </c>
      <c r="D702">
        <f>'Participant reporting'!D929</f>
        <v>0</v>
      </c>
      <c r="E702" s="15">
        <f>'Participant reporting'!E929</f>
        <v>0</v>
      </c>
      <c r="F702">
        <f>'Participant reporting'!F929</f>
        <v>0</v>
      </c>
      <c r="G702">
        <f>'Participant reporting'!G929</f>
        <v>0</v>
      </c>
      <c r="H702">
        <f>'Participant reporting'!H929</f>
        <v>0</v>
      </c>
      <c r="I702">
        <f>'Participant reporting'!I929</f>
        <v>0</v>
      </c>
      <c r="J702">
        <f>'Participant reporting'!J929</f>
        <v>0</v>
      </c>
      <c r="K702">
        <f>'Participant reporting'!K929</f>
        <v>0</v>
      </c>
      <c r="L702">
        <f>'Participant reporting'!L929</f>
        <v>0</v>
      </c>
      <c r="M702">
        <f>'Participant reporting'!M929</f>
        <v>0</v>
      </c>
      <c r="N702">
        <f>'Participant reporting'!N929</f>
        <v>0</v>
      </c>
      <c r="O702">
        <f>'Participant reporting'!O929</f>
        <v>0</v>
      </c>
    </row>
    <row r="703" spans="1:15" x14ac:dyDescent="0.25">
      <c r="A703">
        <f>'Participant reporting'!A930</f>
        <v>0</v>
      </c>
      <c r="B703">
        <f>'Participant reporting'!B930</f>
        <v>0</v>
      </c>
      <c r="C703">
        <f>'Participant reporting'!C930</f>
        <v>0</v>
      </c>
      <c r="D703">
        <f>'Participant reporting'!D930</f>
        <v>0</v>
      </c>
      <c r="E703" s="15">
        <f>'Participant reporting'!E930</f>
        <v>0</v>
      </c>
      <c r="F703">
        <f>'Participant reporting'!F930</f>
        <v>0</v>
      </c>
      <c r="G703">
        <f>'Participant reporting'!G930</f>
        <v>0</v>
      </c>
      <c r="H703">
        <f>'Participant reporting'!H930</f>
        <v>0</v>
      </c>
      <c r="I703">
        <f>'Participant reporting'!I930</f>
        <v>0</v>
      </c>
      <c r="J703">
        <f>'Participant reporting'!J930</f>
        <v>0</v>
      </c>
      <c r="K703">
        <f>'Participant reporting'!K930</f>
        <v>0</v>
      </c>
      <c r="L703">
        <f>'Participant reporting'!L930</f>
        <v>0</v>
      </c>
      <c r="M703">
        <f>'Participant reporting'!M930</f>
        <v>0</v>
      </c>
      <c r="N703">
        <f>'Participant reporting'!N930</f>
        <v>0</v>
      </c>
      <c r="O703">
        <f>'Participant reporting'!O930</f>
        <v>0</v>
      </c>
    </row>
    <row r="704" spans="1:15" x14ac:dyDescent="0.25">
      <c r="A704">
        <f>'Participant reporting'!A931</f>
        <v>0</v>
      </c>
      <c r="B704">
        <f>'Participant reporting'!B931</f>
        <v>0</v>
      </c>
      <c r="C704">
        <f>'Participant reporting'!C931</f>
        <v>0</v>
      </c>
      <c r="D704">
        <f>'Participant reporting'!D931</f>
        <v>0</v>
      </c>
      <c r="E704" s="15">
        <f>'Participant reporting'!E931</f>
        <v>0</v>
      </c>
      <c r="F704">
        <f>'Participant reporting'!F931</f>
        <v>0</v>
      </c>
      <c r="G704">
        <f>'Participant reporting'!G931</f>
        <v>0</v>
      </c>
      <c r="H704">
        <f>'Participant reporting'!H931</f>
        <v>0</v>
      </c>
      <c r="I704">
        <f>'Participant reporting'!I931</f>
        <v>0</v>
      </c>
      <c r="J704">
        <f>'Participant reporting'!J931</f>
        <v>0</v>
      </c>
      <c r="K704">
        <f>'Participant reporting'!K931</f>
        <v>0</v>
      </c>
      <c r="L704">
        <f>'Participant reporting'!L931</f>
        <v>0</v>
      </c>
      <c r="M704">
        <f>'Participant reporting'!M931</f>
        <v>0</v>
      </c>
      <c r="N704">
        <f>'Participant reporting'!N931</f>
        <v>0</v>
      </c>
      <c r="O704">
        <f>'Participant reporting'!O931</f>
        <v>0</v>
      </c>
    </row>
    <row r="705" spans="1:15" x14ac:dyDescent="0.25">
      <c r="A705">
        <f>'Participant reporting'!A932</f>
        <v>0</v>
      </c>
      <c r="B705">
        <f>'Participant reporting'!B932</f>
        <v>0</v>
      </c>
      <c r="C705">
        <f>'Participant reporting'!C932</f>
        <v>0</v>
      </c>
      <c r="D705">
        <f>'Participant reporting'!D932</f>
        <v>0</v>
      </c>
      <c r="E705" s="15">
        <f>'Participant reporting'!E932</f>
        <v>0</v>
      </c>
      <c r="F705">
        <f>'Participant reporting'!F932</f>
        <v>0</v>
      </c>
      <c r="G705">
        <f>'Participant reporting'!G932</f>
        <v>0</v>
      </c>
      <c r="H705">
        <f>'Participant reporting'!H932</f>
        <v>0</v>
      </c>
      <c r="I705">
        <f>'Participant reporting'!I932</f>
        <v>0</v>
      </c>
      <c r="J705">
        <f>'Participant reporting'!J932</f>
        <v>0</v>
      </c>
      <c r="K705">
        <f>'Participant reporting'!K932</f>
        <v>0</v>
      </c>
      <c r="L705">
        <f>'Participant reporting'!L932</f>
        <v>0</v>
      </c>
      <c r="M705">
        <f>'Participant reporting'!M932</f>
        <v>0</v>
      </c>
      <c r="N705">
        <f>'Participant reporting'!N932</f>
        <v>0</v>
      </c>
      <c r="O705">
        <f>'Participant reporting'!O932</f>
        <v>0</v>
      </c>
    </row>
    <row r="706" spans="1:15" x14ac:dyDescent="0.25">
      <c r="A706">
        <f>'Participant reporting'!A933</f>
        <v>0</v>
      </c>
      <c r="B706">
        <f>'Participant reporting'!B933</f>
        <v>0</v>
      </c>
      <c r="C706">
        <f>'Participant reporting'!C933</f>
        <v>0</v>
      </c>
      <c r="D706">
        <f>'Participant reporting'!D933</f>
        <v>0</v>
      </c>
      <c r="E706" s="15">
        <f>'Participant reporting'!E933</f>
        <v>0</v>
      </c>
      <c r="F706">
        <f>'Participant reporting'!F933</f>
        <v>0</v>
      </c>
      <c r="G706">
        <f>'Participant reporting'!G933</f>
        <v>0</v>
      </c>
      <c r="H706">
        <f>'Participant reporting'!H933</f>
        <v>0</v>
      </c>
      <c r="I706">
        <f>'Participant reporting'!I933</f>
        <v>0</v>
      </c>
      <c r="J706">
        <f>'Participant reporting'!J933</f>
        <v>0</v>
      </c>
      <c r="K706">
        <f>'Participant reporting'!K933</f>
        <v>0</v>
      </c>
      <c r="L706">
        <f>'Participant reporting'!L933</f>
        <v>0</v>
      </c>
      <c r="M706">
        <f>'Participant reporting'!M933</f>
        <v>0</v>
      </c>
      <c r="N706">
        <f>'Participant reporting'!N933</f>
        <v>0</v>
      </c>
      <c r="O706">
        <f>'Participant reporting'!O933</f>
        <v>0</v>
      </c>
    </row>
    <row r="707" spans="1:15" x14ac:dyDescent="0.25">
      <c r="A707">
        <f>'Participant reporting'!A934</f>
        <v>0</v>
      </c>
      <c r="B707">
        <f>'Participant reporting'!B934</f>
        <v>0</v>
      </c>
      <c r="C707">
        <f>'Participant reporting'!C934</f>
        <v>0</v>
      </c>
      <c r="D707">
        <f>'Participant reporting'!D934</f>
        <v>0</v>
      </c>
      <c r="E707" s="15">
        <f>'Participant reporting'!E934</f>
        <v>0</v>
      </c>
      <c r="F707">
        <f>'Participant reporting'!F934</f>
        <v>0</v>
      </c>
      <c r="G707">
        <f>'Participant reporting'!G934</f>
        <v>0</v>
      </c>
      <c r="H707">
        <f>'Participant reporting'!H934</f>
        <v>0</v>
      </c>
      <c r="I707">
        <f>'Participant reporting'!I934</f>
        <v>0</v>
      </c>
      <c r="J707">
        <f>'Participant reporting'!J934</f>
        <v>0</v>
      </c>
      <c r="K707">
        <f>'Participant reporting'!K934</f>
        <v>0</v>
      </c>
      <c r="L707">
        <f>'Participant reporting'!L934</f>
        <v>0</v>
      </c>
      <c r="M707">
        <f>'Participant reporting'!M934</f>
        <v>0</v>
      </c>
      <c r="N707">
        <f>'Participant reporting'!N934</f>
        <v>0</v>
      </c>
      <c r="O707">
        <f>'Participant reporting'!O934</f>
        <v>0</v>
      </c>
    </row>
    <row r="708" spans="1:15" x14ac:dyDescent="0.25">
      <c r="A708">
        <f>'Participant reporting'!A935</f>
        <v>0</v>
      </c>
      <c r="B708">
        <f>'Participant reporting'!B935</f>
        <v>0</v>
      </c>
      <c r="C708">
        <f>'Participant reporting'!C935</f>
        <v>0</v>
      </c>
      <c r="D708">
        <f>'Participant reporting'!D935</f>
        <v>0</v>
      </c>
      <c r="E708" s="15">
        <f>'Participant reporting'!E935</f>
        <v>0</v>
      </c>
      <c r="F708">
        <f>'Participant reporting'!F935</f>
        <v>0</v>
      </c>
      <c r="G708">
        <f>'Participant reporting'!G935</f>
        <v>0</v>
      </c>
      <c r="H708">
        <f>'Participant reporting'!H935</f>
        <v>0</v>
      </c>
      <c r="I708">
        <f>'Participant reporting'!I935</f>
        <v>0</v>
      </c>
      <c r="J708">
        <f>'Participant reporting'!J935</f>
        <v>0</v>
      </c>
      <c r="K708">
        <f>'Participant reporting'!K935</f>
        <v>0</v>
      </c>
      <c r="L708">
        <f>'Participant reporting'!L935</f>
        <v>0</v>
      </c>
      <c r="M708">
        <f>'Participant reporting'!M935</f>
        <v>0</v>
      </c>
      <c r="N708">
        <f>'Participant reporting'!N935</f>
        <v>0</v>
      </c>
      <c r="O708">
        <f>'Participant reporting'!O935</f>
        <v>0</v>
      </c>
    </row>
    <row r="709" spans="1:15" x14ac:dyDescent="0.25">
      <c r="A709">
        <f>'Participant reporting'!A936</f>
        <v>0</v>
      </c>
      <c r="B709">
        <f>'Participant reporting'!B936</f>
        <v>0</v>
      </c>
      <c r="C709">
        <f>'Participant reporting'!C936</f>
        <v>0</v>
      </c>
      <c r="D709">
        <f>'Participant reporting'!D936</f>
        <v>0</v>
      </c>
      <c r="E709" s="15">
        <f>'Participant reporting'!E936</f>
        <v>0</v>
      </c>
      <c r="F709">
        <f>'Participant reporting'!F936</f>
        <v>0</v>
      </c>
      <c r="G709">
        <f>'Participant reporting'!G936</f>
        <v>0</v>
      </c>
      <c r="H709">
        <f>'Participant reporting'!H936</f>
        <v>0</v>
      </c>
      <c r="I709">
        <f>'Participant reporting'!I936</f>
        <v>0</v>
      </c>
      <c r="J709">
        <f>'Participant reporting'!J936</f>
        <v>0</v>
      </c>
      <c r="K709">
        <f>'Participant reporting'!K936</f>
        <v>0</v>
      </c>
      <c r="L709">
        <f>'Participant reporting'!L936</f>
        <v>0</v>
      </c>
      <c r="M709">
        <f>'Participant reporting'!M936</f>
        <v>0</v>
      </c>
      <c r="N709">
        <f>'Participant reporting'!N936</f>
        <v>0</v>
      </c>
      <c r="O709">
        <f>'Participant reporting'!O936</f>
        <v>0</v>
      </c>
    </row>
    <row r="710" spans="1:15" x14ac:dyDescent="0.25">
      <c r="A710">
        <f>'Participant reporting'!A937</f>
        <v>0</v>
      </c>
      <c r="B710">
        <f>'Participant reporting'!B937</f>
        <v>0</v>
      </c>
      <c r="C710">
        <f>'Participant reporting'!C937</f>
        <v>0</v>
      </c>
      <c r="D710">
        <f>'Participant reporting'!D937</f>
        <v>0</v>
      </c>
      <c r="E710" s="15">
        <f>'Participant reporting'!E937</f>
        <v>0</v>
      </c>
      <c r="F710">
        <f>'Participant reporting'!F937</f>
        <v>0</v>
      </c>
      <c r="G710">
        <f>'Participant reporting'!G937</f>
        <v>0</v>
      </c>
      <c r="H710">
        <f>'Participant reporting'!H937</f>
        <v>0</v>
      </c>
      <c r="I710">
        <f>'Participant reporting'!I937</f>
        <v>0</v>
      </c>
      <c r="J710">
        <f>'Participant reporting'!J937</f>
        <v>0</v>
      </c>
      <c r="K710">
        <f>'Participant reporting'!K937</f>
        <v>0</v>
      </c>
      <c r="L710">
        <f>'Participant reporting'!L937</f>
        <v>0</v>
      </c>
      <c r="M710">
        <f>'Participant reporting'!M937</f>
        <v>0</v>
      </c>
      <c r="N710">
        <f>'Participant reporting'!N937</f>
        <v>0</v>
      </c>
      <c r="O710">
        <f>'Participant reporting'!O937</f>
        <v>0</v>
      </c>
    </row>
    <row r="711" spans="1:15" x14ac:dyDescent="0.25">
      <c r="A711">
        <f>'Participant reporting'!A938</f>
        <v>0</v>
      </c>
      <c r="B711">
        <f>'Participant reporting'!B938</f>
        <v>0</v>
      </c>
      <c r="C711">
        <f>'Participant reporting'!C938</f>
        <v>0</v>
      </c>
      <c r="D711">
        <f>'Participant reporting'!D938</f>
        <v>0</v>
      </c>
      <c r="E711" s="15">
        <f>'Participant reporting'!E938</f>
        <v>0</v>
      </c>
      <c r="F711">
        <f>'Participant reporting'!F938</f>
        <v>0</v>
      </c>
      <c r="G711">
        <f>'Participant reporting'!G938</f>
        <v>0</v>
      </c>
      <c r="H711">
        <f>'Participant reporting'!H938</f>
        <v>0</v>
      </c>
      <c r="I711">
        <f>'Participant reporting'!I938</f>
        <v>0</v>
      </c>
      <c r="J711">
        <f>'Participant reporting'!J938</f>
        <v>0</v>
      </c>
      <c r="K711">
        <f>'Participant reporting'!K938</f>
        <v>0</v>
      </c>
      <c r="L711">
        <f>'Participant reporting'!L938</f>
        <v>0</v>
      </c>
      <c r="M711">
        <f>'Participant reporting'!M938</f>
        <v>0</v>
      </c>
      <c r="N711">
        <f>'Participant reporting'!N938</f>
        <v>0</v>
      </c>
      <c r="O711">
        <f>'Participant reporting'!O938</f>
        <v>0</v>
      </c>
    </row>
    <row r="712" spans="1:15" x14ac:dyDescent="0.25">
      <c r="A712">
        <f>'Participant reporting'!A939</f>
        <v>0</v>
      </c>
      <c r="B712">
        <f>'Participant reporting'!B939</f>
        <v>0</v>
      </c>
      <c r="C712">
        <f>'Participant reporting'!C939</f>
        <v>0</v>
      </c>
      <c r="D712">
        <f>'Participant reporting'!D939</f>
        <v>0</v>
      </c>
      <c r="E712" s="15">
        <f>'Participant reporting'!E939</f>
        <v>0</v>
      </c>
      <c r="F712">
        <f>'Participant reporting'!F939</f>
        <v>0</v>
      </c>
      <c r="G712">
        <f>'Participant reporting'!G939</f>
        <v>0</v>
      </c>
      <c r="H712">
        <f>'Participant reporting'!H939</f>
        <v>0</v>
      </c>
      <c r="I712">
        <f>'Participant reporting'!I939</f>
        <v>0</v>
      </c>
      <c r="J712">
        <f>'Participant reporting'!J939</f>
        <v>0</v>
      </c>
      <c r="K712">
        <f>'Participant reporting'!K939</f>
        <v>0</v>
      </c>
      <c r="L712">
        <f>'Participant reporting'!L939</f>
        <v>0</v>
      </c>
      <c r="M712">
        <f>'Participant reporting'!M939</f>
        <v>0</v>
      </c>
      <c r="N712">
        <f>'Participant reporting'!N939</f>
        <v>0</v>
      </c>
      <c r="O712">
        <f>'Participant reporting'!O939</f>
        <v>0</v>
      </c>
    </row>
    <row r="713" spans="1:15" x14ac:dyDescent="0.25">
      <c r="A713">
        <f>'Participant reporting'!A940</f>
        <v>0</v>
      </c>
      <c r="B713">
        <f>'Participant reporting'!B940</f>
        <v>0</v>
      </c>
      <c r="C713">
        <f>'Participant reporting'!C940</f>
        <v>0</v>
      </c>
      <c r="D713">
        <f>'Participant reporting'!D940</f>
        <v>0</v>
      </c>
      <c r="E713" s="15">
        <f>'Participant reporting'!E940</f>
        <v>0</v>
      </c>
      <c r="F713">
        <f>'Participant reporting'!F940</f>
        <v>0</v>
      </c>
      <c r="G713">
        <f>'Participant reporting'!G940</f>
        <v>0</v>
      </c>
      <c r="H713">
        <f>'Participant reporting'!H940</f>
        <v>0</v>
      </c>
      <c r="I713">
        <f>'Participant reporting'!I940</f>
        <v>0</v>
      </c>
      <c r="J713">
        <f>'Participant reporting'!J940</f>
        <v>0</v>
      </c>
      <c r="K713">
        <f>'Participant reporting'!K940</f>
        <v>0</v>
      </c>
      <c r="L713">
        <f>'Participant reporting'!L940</f>
        <v>0</v>
      </c>
      <c r="M713">
        <f>'Participant reporting'!M940</f>
        <v>0</v>
      </c>
      <c r="N713">
        <f>'Participant reporting'!N940</f>
        <v>0</v>
      </c>
      <c r="O713">
        <f>'Participant reporting'!O940</f>
        <v>0</v>
      </c>
    </row>
    <row r="714" spans="1:15" x14ac:dyDescent="0.25">
      <c r="A714">
        <f>'Participant reporting'!A941</f>
        <v>0</v>
      </c>
      <c r="B714">
        <f>'Participant reporting'!B941</f>
        <v>0</v>
      </c>
      <c r="C714">
        <f>'Participant reporting'!C941</f>
        <v>0</v>
      </c>
      <c r="D714">
        <f>'Participant reporting'!D941</f>
        <v>0</v>
      </c>
      <c r="E714" s="15">
        <f>'Participant reporting'!E941</f>
        <v>0</v>
      </c>
      <c r="F714">
        <f>'Participant reporting'!F941</f>
        <v>0</v>
      </c>
      <c r="G714">
        <f>'Participant reporting'!G941</f>
        <v>0</v>
      </c>
      <c r="H714">
        <f>'Participant reporting'!H941</f>
        <v>0</v>
      </c>
      <c r="I714">
        <f>'Participant reporting'!I941</f>
        <v>0</v>
      </c>
      <c r="J714">
        <f>'Participant reporting'!J941</f>
        <v>0</v>
      </c>
      <c r="K714">
        <f>'Participant reporting'!K941</f>
        <v>0</v>
      </c>
      <c r="L714">
        <f>'Participant reporting'!L941</f>
        <v>0</v>
      </c>
      <c r="M714">
        <f>'Participant reporting'!M941</f>
        <v>0</v>
      </c>
      <c r="N714">
        <f>'Participant reporting'!N941</f>
        <v>0</v>
      </c>
      <c r="O714">
        <f>'Participant reporting'!O941</f>
        <v>0</v>
      </c>
    </row>
    <row r="715" spans="1:15" x14ac:dyDescent="0.25">
      <c r="A715">
        <f>'Participant reporting'!A942</f>
        <v>0</v>
      </c>
      <c r="B715">
        <f>'Participant reporting'!B942</f>
        <v>0</v>
      </c>
      <c r="C715">
        <f>'Participant reporting'!C942</f>
        <v>0</v>
      </c>
      <c r="D715">
        <f>'Participant reporting'!D942</f>
        <v>0</v>
      </c>
      <c r="E715" s="15">
        <f>'Participant reporting'!E942</f>
        <v>0</v>
      </c>
      <c r="F715">
        <f>'Participant reporting'!F942</f>
        <v>0</v>
      </c>
      <c r="G715">
        <f>'Participant reporting'!G942</f>
        <v>0</v>
      </c>
      <c r="H715">
        <f>'Participant reporting'!H942</f>
        <v>0</v>
      </c>
      <c r="I715">
        <f>'Participant reporting'!I942</f>
        <v>0</v>
      </c>
      <c r="J715">
        <f>'Participant reporting'!J942</f>
        <v>0</v>
      </c>
      <c r="K715">
        <f>'Participant reporting'!K942</f>
        <v>0</v>
      </c>
      <c r="L715">
        <f>'Participant reporting'!L942</f>
        <v>0</v>
      </c>
      <c r="M715">
        <f>'Participant reporting'!M942</f>
        <v>0</v>
      </c>
      <c r="N715">
        <f>'Participant reporting'!N942</f>
        <v>0</v>
      </c>
      <c r="O715">
        <f>'Participant reporting'!O942</f>
        <v>0</v>
      </c>
    </row>
    <row r="716" spans="1:15" x14ac:dyDescent="0.25">
      <c r="A716">
        <f>'Participant reporting'!A943</f>
        <v>0</v>
      </c>
      <c r="B716">
        <f>'Participant reporting'!B943</f>
        <v>0</v>
      </c>
      <c r="C716">
        <f>'Participant reporting'!C943</f>
        <v>0</v>
      </c>
      <c r="D716">
        <f>'Participant reporting'!D943</f>
        <v>0</v>
      </c>
      <c r="E716" s="15">
        <f>'Participant reporting'!E943</f>
        <v>0</v>
      </c>
      <c r="F716">
        <f>'Participant reporting'!F943</f>
        <v>0</v>
      </c>
      <c r="G716">
        <f>'Participant reporting'!G943</f>
        <v>0</v>
      </c>
      <c r="H716">
        <f>'Participant reporting'!H943</f>
        <v>0</v>
      </c>
      <c r="I716">
        <f>'Participant reporting'!I943</f>
        <v>0</v>
      </c>
      <c r="J716">
        <f>'Participant reporting'!J943</f>
        <v>0</v>
      </c>
      <c r="K716">
        <f>'Participant reporting'!K943</f>
        <v>0</v>
      </c>
      <c r="L716">
        <f>'Participant reporting'!L943</f>
        <v>0</v>
      </c>
      <c r="M716">
        <f>'Participant reporting'!M943</f>
        <v>0</v>
      </c>
      <c r="N716">
        <f>'Participant reporting'!N943</f>
        <v>0</v>
      </c>
      <c r="O716">
        <f>'Participant reporting'!O943</f>
        <v>0</v>
      </c>
    </row>
    <row r="717" spans="1:15" x14ac:dyDescent="0.25">
      <c r="A717">
        <f>'Participant reporting'!A944</f>
        <v>0</v>
      </c>
      <c r="B717">
        <f>'Participant reporting'!B944</f>
        <v>0</v>
      </c>
      <c r="C717">
        <f>'Participant reporting'!C944</f>
        <v>0</v>
      </c>
      <c r="D717">
        <f>'Participant reporting'!D944</f>
        <v>0</v>
      </c>
      <c r="E717" s="15">
        <f>'Participant reporting'!E944</f>
        <v>0</v>
      </c>
      <c r="F717">
        <f>'Participant reporting'!F944</f>
        <v>0</v>
      </c>
      <c r="G717">
        <f>'Participant reporting'!G944</f>
        <v>0</v>
      </c>
      <c r="H717">
        <f>'Participant reporting'!H944</f>
        <v>0</v>
      </c>
      <c r="I717">
        <f>'Participant reporting'!I944</f>
        <v>0</v>
      </c>
      <c r="J717">
        <f>'Participant reporting'!J944</f>
        <v>0</v>
      </c>
      <c r="K717">
        <f>'Participant reporting'!K944</f>
        <v>0</v>
      </c>
      <c r="L717">
        <f>'Participant reporting'!L944</f>
        <v>0</v>
      </c>
      <c r="M717">
        <f>'Participant reporting'!M944</f>
        <v>0</v>
      </c>
      <c r="N717">
        <f>'Participant reporting'!N944</f>
        <v>0</v>
      </c>
      <c r="O717">
        <f>'Participant reporting'!O944</f>
        <v>0</v>
      </c>
    </row>
    <row r="718" spans="1:15" x14ac:dyDescent="0.25">
      <c r="A718">
        <f>'Participant reporting'!A945</f>
        <v>0</v>
      </c>
      <c r="B718">
        <f>'Participant reporting'!B945</f>
        <v>0</v>
      </c>
      <c r="C718">
        <f>'Participant reporting'!C945</f>
        <v>0</v>
      </c>
      <c r="D718">
        <f>'Participant reporting'!D945</f>
        <v>0</v>
      </c>
      <c r="E718" s="15">
        <f>'Participant reporting'!E945</f>
        <v>0</v>
      </c>
      <c r="F718">
        <f>'Participant reporting'!F945</f>
        <v>0</v>
      </c>
      <c r="G718">
        <f>'Participant reporting'!G945</f>
        <v>0</v>
      </c>
      <c r="H718">
        <f>'Participant reporting'!H945</f>
        <v>0</v>
      </c>
      <c r="I718">
        <f>'Participant reporting'!I945</f>
        <v>0</v>
      </c>
      <c r="J718">
        <f>'Participant reporting'!J945</f>
        <v>0</v>
      </c>
      <c r="K718">
        <f>'Participant reporting'!K945</f>
        <v>0</v>
      </c>
      <c r="L718">
        <f>'Participant reporting'!L945</f>
        <v>0</v>
      </c>
      <c r="M718">
        <f>'Participant reporting'!M945</f>
        <v>0</v>
      </c>
      <c r="N718">
        <f>'Participant reporting'!N945</f>
        <v>0</v>
      </c>
      <c r="O718">
        <f>'Participant reporting'!O945</f>
        <v>0</v>
      </c>
    </row>
    <row r="719" spans="1:15" x14ac:dyDescent="0.25">
      <c r="A719">
        <f>'Participant reporting'!A946</f>
        <v>0</v>
      </c>
      <c r="B719">
        <f>'Participant reporting'!B946</f>
        <v>0</v>
      </c>
      <c r="C719">
        <f>'Participant reporting'!C946</f>
        <v>0</v>
      </c>
      <c r="D719">
        <f>'Participant reporting'!D946</f>
        <v>0</v>
      </c>
      <c r="E719" s="15">
        <f>'Participant reporting'!E946</f>
        <v>0</v>
      </c>
      <c r="F719">
        <f>'Participant reporting'!F946</f>
        <v>0</v>
      </c>
      <c r="G719">
        <f>'Participant reporting'!G946</f>
        <v>0</v>
      </c>
      <c r="H719">
        <f>'Participant reporting'!H946</f>
        <v>0</v>
      </c>
      <c r="I719">
        <f>'Participant reporting'!I946</f>
        <v>0</v>
      </c>
      <c r="J719">
        <f>'Participant reporting'!J946</f>
        <v>0</v>
      </c>
      <c r="K719">
        <f>'Participant reporting'!K946</f>
        <v>0</v>
      </c>
      <c r="L719">
        <f>'Participant reporting'!L946</f>
        <v>0</v>
      </c>
      <c r="M719">
        <f>'Participant reporting'!M946</f>
        <v>0</v>
      </c>
      <c r="N719">
        <f>'Participant reporting'!N946</f>
        <v>0</v>
      </c>
      <c r="O719">
        <f>'Participant reporting'!O946</f>
        <v>0</v>
      </c>
    </row>
    <row r="720" spans="1:15" x14ac:dyDescent="0.25">
      <c r="A720">
        <f>'Participant reporting'!A947</f>
        <v>0</v>
      </c>
      <c r="B720">
        <f>'Participant reporting'!B947</f>
        <v>0</v>
      </c>
      <c r="C720">
        <f>'Participant reporting'!C947</f>
        <v>0</v>
      </c>
      <c r="D720">
        <f>'Participant reporting'!D947</f>
        <v>0</v>
      </c>
      <c r="E720" s="15">
        <f>'Participant reporting'!E947</f>
        <v>0</v>
      </c>
      <c r="F720">
        <f>'Participant reporting'!F947</f>
        <v>0</v>
      </c>
      <c r="G720">
        <f>'Participant reporting'!G947</f>
        <v>0</v>
      </c>
      <c r="H720">
        <f>'Participant reporting'!H947</f>
        <v>0</v>
      </c>
      <c r="I720">
        <f>'Participant reporting'!I947</f>
        <v>0</v>
      </c>
      <c r="J720">
        <f>'Participant reporting'!J947</f>
        <v>0</v>
      </c>
      <c r="K720">
        <f>'Participant reporting'!K947</f>
        <v>0</v>
      </c>
      <c r="L720">
        <f>'Participant reporting'!L947</f>
        <v>0</v>
      </c>
      <c r="M720">
        <f>'Participant reporting'!M947</f>
        <v>0</v>
      </c>
      <c r="N720">
        <f>'Participant reporting'!N947</f>
        <v>0</v>
      </c>
      <c r="O720">
        <f>'Participant reporting'!O947</f>
        <v>0</v>
      </c>
    </row>
    <row r="721" spans="1:15" x14ac:dyDescent="0.25">
      <c r="A721">
        <f>'Participant reporting'!A948</f>
        <v>0</v>
      </c>
      <c r="B721">
        <f>'Participant reporting'!B948</f>
        <v>0</v>
      </c>
      <c r="C721">
        <f>'Participant reporting'!C948</f>
        <v>0</v>
      </c>
      <c r="D721">
        <f>'Participant reporting'!D948</f>
        <v>0</v>
      </c>
      <c r="E721" s="15">
        <f>'Participant reporting'!E948</f>
        <v>0</v>
      </c>
      <c r="F721">
        <f>'Participant reporting'!F948</f>
        <v>0</v>
      </c>
      <c r="G721">
        <f>'Participant reporting'!G948</f>
        <v>0</v>
      </c>
      <c r="H721">
        <f>'Participant reporting'!H948</f>
        <v>0</v>
      </c>
      <c r="I721">
        <f>'Participant reporting'!I948</f>
        <v>0</v>
      </c>
      <c r="J721">
        <f>'Participant reporting'!J948</f>
        <v>0</v>
      </c>
      <c r="K721">
        <f>'Participant reporting'!K948</f>
        <v>0</v>
      </c>
      <c r="L721">
        <f>'Participant reporting'!L948</f>
        <v>0</v>
      </c>
      <c r="M721">
        <f>'Participant reporting'!M948</f>
        <v>0</v>
      </c>
      <c r="N721">
        <f>'Participant reporting'!N948</f>
        <v>0</v>
      </c>
      <c r="O721">
        <f>'Participant reporting'!O948</f>
        <v>0</v>
      </c>
    </row>
    <row r="722" spans="1:15" x14ac:dyDescent="0.25">
      <c r="A722">
        <f>'Participant reporting'!A949</f>
        <v>0</v>
      </c>
      <c r="B722">
        <f>'Participant reporting'!B949</f>
        <v>0</v>
      </c>
      <c r="C722">
        <f>'Participant reporting'!C949</f>
        <v>0</v>
      </c>
      <c r="D722">
        <f>'Participant reporting'!D949</f>
        <v>0</v>
      </c>
      <c r="E722" s="15">
        <f>'Participant reporting'!E949</f>
        <v>0</v>
      </c>
      <c r="F722">
        <f>'Participant reporting'!F949</f>
        <v>0</v>
      </c>
      <c r="G722">
        <f>'Participant reporting'!G949</f>
        <v>0</v>
      </c>
      <c r="H722">
        <f>'Participant reporting'!H949</f>
        <v>0</v>
      </c>
      <c r="I722">
        <f>'Participant reporting'!I949</f>
        <v>0</v>
      </c>
      <c r="J722">
        <f>'Participant reporting'!J949</f>
        <v>0</v>
      </c>
      <c r="K722">
        <f>'Participant reporting'!K949</f>
        <v>0</v>
      </c>
      <c r="L722">
        <f>'Participant reporting'!L949</f>
        <v>0</v>
      </c>
      <c r="M722">
        <f>'Participant reporting'!M949</f>
        <v>0</v>
      </c>
      <c r="N722">
        <f>'Participant reporting'!N949</f>
        <v>0</v>
      </c>
      <c r="O722">
        <f>'Participant reporting'!O949</f>
        <v>0</v>
      </c>
    </row>
    <row r="723" spans="1:15" x14ac:dyDescent="0.25">
      <c r="A723">
        <f>'Participant reporting'!A950</f>
        <v>0</v>
      </c>
      <c r="B723">
        <f>'Participant reporting'!B950</f>
        <v>0</v>
      </c>
      <c r="C723">
        <f>'Participant reporting'!C950</f>
        <v>0</v>
      </c>
      <c r="D723">
        <f>'Participant reporting'!D950</f>
        <v>0</v>
      </c>
      <c r="E723" s="15">
        <f>'Participant reporting'!E950</f>
        <v>0</v>
      </c>
      <c r="F723">
        <f>'Participant reporting'!F950</f>
        <v>0</v>
      </c>
      <c r="G723">
        <f>'Participant reporting'!G950</f>
        <v>0</v>
      </c>
      <c r="H723">
        <f>'Participant reporting'!H950</f>
        <v>0</v>
      </c>
      <c r="I723">
        <f>'Participant reporting'!I950</f>
        <v>0</v>
      </c>
      <c r="J723">
        <f>'Participant reporting'!J950</f>
        <v>0</v>
      </c>
      <c r="K723">
        <f>'Participant reporting'!K950</f>
        <v>0</v>
      </c>
      <c r="L723">
        <f>'Participant reporting'!L950</f>
        <v>0</v>
      </c>
      <c r="M723">
        <f>'Participant reporting'!M950</f>
        <v>0</v>
      </c>
      <c r="N723">
        <f>'Participant reporting'!N950</f>
        <v>0</v>
      </c>
      <c r="O723">
        <f>'Participant reporting'!O950</f>
        <v>0</v>
      </c>
    </row>
    <row r="724" spans="1:15" x14ac:dyDescent="0.25">
      <c r="A724">
        <f>'Participant reporting'!A951</f>
        <v>0</v>
      </c>
      <c r="B724">
        <f>'Participant reporting'!B951</f>
        <v>0</v>
      </c>
      <c r="C724">
        <f>'Participant reporting'!C951</f>
        <v>0</v>
      </c>
      <c r="D724">
        <f>'Participant reporting'!D951</f>
        <v>0</v>
      </c>
      <c r="E724" s="15">
        <f>'Participant reporting'!E951</f>
        <v>0</v>
      </c>
      <c r="F724">
        <f>'Participant reporting'!F951</f>
        <v>0</v>
      </c>
      <c r="G724">
        <f>'Participant reporting'!G951</f>
        <v>0</v>
      </c>
      <c r="H724">
        <f>'Participant reporting'!H951</f>
        <v>0</v>
      </c>
      <c r="I724">
        <f>'Participant reporting'!I951</f>
        <v>0</v>
      </c>
      <c r="J724">
        <f>'Participant reporting'!J951</f>
        <v>0</v>
      </c>
      <c r="K724">
        <f>'Participant reporting'!K951</f>
        <v>0</v>
      </c>
      <c r="L724">
        <f>'Participant reporting'!L951</f>
        <v>0</v>
      </c>
      <c r="M724">
        <f>'Participant reporting'!M951</f>
        <v>0</v>
      </c>
      <c r="N724">
        <f>'Participant reporting'!N951</f>
        <v>0</v>
      </c>
      <c r="O724">
        <f>'Participant reporting'!O951</f>
        <v>0</v>
      </c>
    </row>
    <row r="725" spans="1:15" x14ac:dyDescent="0.25">
      <c r="A725">
        <f>'Participant reporting'!A952</f>
        <v>0</v>
      </c>
      <c r="B725">
        <f>'Participant reporting'!B952</f>
        <v>0</v>
      </c>
      <c r="C725">
        <f>'Participant reporting'!C952</f>
        <v>0</v>
      </c>
      <c r="D725">
        <f>'Participant reporting'!D952</f>
        <v>0</v>
      </c>
      <c r="E725" s="15">
        <f>'Participant reporting'!E952</f>
        <v>0</v>
      </c>
      <c r="F725">
        <f>'Participant reporting'!F952</f>
        <v>0</v>
      </c>
      <c r="G725">
        <f>'Participant reporting'!G952</f>
        <v>0</v>
      </c>
      <c r="H725">
        <f>'Participant reporting'!H952</f>
        <v>0</v>
      </c>
      <c r="I725">
        <f>'Participant reporting'!I952</f>
        <v>0</v>
      </c>
      <c r="J725">
        <f>'Participant reporting'!J952</f>
        <v>0</v>
      </c>
      <c r="K725">
        <f>'Participant reporting'!K952</f>
        <v>0</v>
      </c>
      <c r="L725">
        <f>'Participant reporting'!L952</f>
        <v>0</v>
      </c>
      <c r="M725">
        <f>'Participant reporting'!M952</f>
        <v>0</v>
      </c>
      <c r="N725">
        <f>'Participant reporting'!N952</f>
        <v>0</v>
      </c>
      <c r="O725">
        <f>'Participant reporting'!O952</f>
        <v>0</v>
      </c>
    </row>
    <row r="726" spans="1:15" x14ac:dyDescent="0.25">
      <c r="A726">
        <f>'Participant reporting'!A953</f>
        <v>0</v>
      </c>
      <c r="B726">
        <f>'Participant reporting'!B953</f>
        <v>0</v>
      </c>
      <c r="C726">
        <f>'Participant reporting'!C953</f>
        <v>0</v>
      </c>
      <c r="D726">
        <f>'Participant reporting'!D953</f>
        <v>0</v>
      </c>
      <c r="E726" s="15">
        <f>'Participant reporting'!E953</f>
        <v>0</v>
      </c>
      <c r="F726">
        <f>'Participant reporting'!F953</f>
        <v>0</v>
      </c>
      <c r="G726">
        <f>'Participant reporting'!G953</f>
        <v>0</v>
      </c>
      <c r="H726">
        <f>'Participant reporting'!H953</f>
        <v>0</v>
      </c>
      <c r="I726">
        <f>'Participant reporting'!I953</f>
        <v>0</v>
      </c>
      <c r="J726">
        <f>'Participant reporting'!J953</f>
        <v>0</v>
      </c>
      <c r="K726">
        <f>'Participant reporting'!K953</f>
        <v>0</v>
      </c>
      <c r="L726">
        <f>'Participant reporting'!L953</f>
        <v>0</v>
      </c>
      <c r="M726">
        <f>'Participant reporting'!M953</f>
        <v>0</v>
      </c>
      <c r="N726">
        <f>'Participant reporting'!N953</f>
        <v>0</v>
      </c>
      <c r="O726">
        <f>'Participant reporting'!O953</f>
        <v>0</v>
      </c>
    </row>
    <row r="727" spans="1:15" x14ac:dyDescent="0.25">
      <c r="A727">
        <f>'Participant reporting'!A954</f>
        <v>0</v>
      </c>
      <c r="B727">
        <f>'Participant reporting'!B954</f>
        <v>0</v>
      </c>
      <c r="C727">
        <f>'Participant reporting'!C954</f>
        <v>0</v>
      </c>
      <c r="D727">
        <f>'Participant reporting'!D954</f>
        <v>0</v>
      </c>
      <c r="E727" s="15">
        <f>'Participant reporting'!E954</f>
        <v>0</v>
      </c>
      <c r="F727">
        <f>'Participant reporting'!F954</f>
        <v>0</v>
      </c>
      <c r="G727">
        <f>'Participant reporting'!G954</f>
        <v>0</v>
      </c>
      <c r="H727">
        <f>'Participant reporting'!H954</f>
        <v>0</v>
      </c>
      <c r="I727">
        <f>'Participant reporting'!I954</f>
        <v>0</v>
      </c>
      <c r="J727">
        <f>'Participant reporting'!J954</f>
        <v>0</v>
      </c>
      <c r="K727">
        <f>'Participant reporting'!K954</f>
        <v>0</v>
      </c>
      <c r="L727">
        <f>'Participant reporting'!L954</f>
        <v>0</v>
      </c>
      <c r="M727">
        <f>'Participant reporting'!M954</f>
        <v>0</v>
      </c>
      <c r="N727">
        <f>'Participant reporting'!N954</f>
        <v>0</v>
      </c>
      <c r="O727">
        <f>'Participant reporting'!O954</f>
        <v>0</v>
      </c>
    </row>
    <row r="728" spans="1:15" x14ac:dyDescent="0.25">
      <c r="A728">
        <f>'Participant reporting'!A955</f>
        <v>0</v>
      </c>
      <c r="B728">
        <f>'Participant reporting'!B955</f>
        <v>0</v>
      </c>
      <c r="C728">
        <f>'Participant reporting'!C955</f>
        <v>0</v>
      </c>
      <c r="D728">
        <f>'Participant reporting'!D955</f>
        <v>0</v>
      </c>
      <c r="E728" s="15">
        <f>'Participant reporting'!E955</f>
        <v>0</v>
      </c>
      <c r="F728">
        <f>'Participant reporting'!F955</f>
        <v>0</v>
      </c>
      <c r="G728">
        <f>'Participant reporting'!G955</f>
        <v>0</v>
      </c>
      <c r="H728">
        <f>'Participant reporting'!H955</f>
        <v>0</v>
      </c>
      <c r="I728">
        <f>'Participant reporting'!I955</f>
        <v>0</v>
      </c>
      <c r="J728">
        <f>'Participant reporting'!J955</f>
        <v>0</v>
      </c>
      <c r="K728">
        <f>'Participant reporting'!K955</f>
        <v>0</v>
      </c>
      <c r="L728">
        <f>'Participant reporting'!L955</f>
        <v>0</v>
      </c>
      <c r="M728">
        <f>'Participant reporting'!M955</f>
        <v>0</v>
      </c>
      <c r="N728">
        <f>'Participant reporting'!N955</f>
        <v>0</v>
      </c>
      <c r="O728">
        <f>'Participant reporting'!O955</f>
        <v>0</v>
      </c>
    </row>
    <row r="729" spans="1:15" x14ac:dyDescent="0.25">
      <c r="A729">
        <f>'Participant reporting'!A956</f>
        <v>0</v>
      </c>
      <c r="B729">
        <f>'Participant reporting'!B956</f>
        <v>0</v>
      </c>
      <c r="C729">
        <f>'Participant reporting'!C956</f>
        <v>0</v>
      </c>
      <c r="D729">
        <f>'Participant reporting'!D956</f>
        <v>0</v>
      </c>
      <c r="E729" s="15">
        <f>'Participant reporting'!E956</f>
        <v>0</v>
      </c>
      <c r="F729">
        <f>'Participant reporting'!F956</f>
        <v>0</v>
      </c>
      <c r="G729">
        <f>'Participant reporting'!G956</f>
        <v>0</v>
      </c>
      <c r="H729">
        <f>'Participant reporting'!H956</f>
        <v>0</v>
      </c>
      <c r="I729">
        <f>'Participant reporting'!I956</f>
        <v>0</v>
      </c>
      <c r="J729">
        <f>'Participant reporting'!J956</f>
        <v>0</v>
      </c>
      <c r="K729">
        <f>'Participant reporting'!K956</f>
        <v>0</v>
      </c>
      <c r="L729">
        <f>'Participant reporting'!L956</f>
        <v>0</v>
      </c>
      <c r="M729">
        <f>'Participant reporting'!M956</f>
        <v>0</v>
      </c>
      <c r="N729">
        <f>'Participant reporting'!N956</f>
        <v>0</v>
      </c>
      <c r="O729">
        <f>'Participant reporting'!O956</f>
        <v>0</v>
      </c>
    </row>
    <row r="730" spans="1:15" x14ac:dyDescent="0.25">
      <c r="A730">
        <f>'Participant reporting'!A957</f>
        <v>0</v>
      </c>
      <c r="B730">
        <f>'Participant reporting'!B957</f>
        <v>0</v>
      </c>
      <c r="C730">
        <f>'Participant reporting'!C957</f>
        <v>0</v>
      </c>
      <c r="D730">
        <f>'Participant reporting'!D957</f>
        <v>0</v>
      </c>
      <c r="E730" s="15">
        <f>'Participant reporting'!E957</f>
        <v>0</v>
      </c>
      <c r="F730">
        <f>'Participant reporting'!F957</f>
        <v>0</v>
      </c>
      <c r="G730">
        <f>'Participant reporting'!G957</f>
        <v>0</v>
      </c>
      <c r="H730">
        <f>'Participant reporting'!H957</f>
        <v>0</v>
      </c>
      <c r="I730">
        <f>'Participant reporting'!I957</f>
        <v>0</v>
      </c>
      <c r="J730">
        <f>'Participant reporting'!J957</f>
        <v>0</v>
      </c>
      <c r="K730">
        <f>'Participant reporting'!K957</f>
        <v>0</v>
      </c>
      <c r="L730">
        <f>'Participant reporting'!L957</f>
        <v>0</v>
      </c>
      <c r="M730">
        <f>'Participant reporting'!M957</f>
        <v>0</v>
      </c>
      <c r="N730">
        <f>'Participant reporting'!N957</f>
        <v>0</v>
      </c>
      <c r="O730">
        <f>'Participant reporting'!O957</f>
        <v>0</v>
      </c>
    </row>
    <row r="731" spans="1:15" x14ac:dyDescent="0.25">
      <c r="A731">
        <f>'Participant reporting'!A958</f>
        <v>0</v>
      </c>
      <c r="B731">
        <f>'Participant reporting'!B958</f>
        <v>0</v>
      </c>
      <c r="C731">
        <f>'Participant reporting'!C958</f>
        <v>0</v>
      </c>
      <c r="D731">
        <f>'Participant reporting'!D958</f>
        <v>0</v>
      </c>
      <c r="E731" s="15">
        <f>'Participant reporting'!E958</f>
        <v>0</v>
      </c>
      <c r="F731">
        <f>'Participant reporting'!F958</f>
        <v>0</v>
      </c>
      <c r="G731">
        <f>'Participant reporting'!G958</f>
        <v>0</v>
      </c>
      <c r="H731">
        <f>'Participant reporting'!H958</f>
        <v>0</v>
      </c>
      <c r="I731">
        <f>'Participant reporting'!I958</f>
        <v>0</v>
      </c>
      <c r="J731">
        <f>'Participant reporting'!J958</f>
        <v>0</v>
      </c>
      <c r="K731">
        <f>'Participant reporting'!K958</f>
        <v>0</v>
      </c>
      <c r="L731">
        <f>'Participant reporting'!L958</f>
        <v>0</v>
      </c>
      <c r="M731">
        <f>'Participant reporting'!M958</f>
        <v>0</v>
      </c>
      <c r="N731">
        <f>'Participant reporting'!N958</f>
        <v>0</v>
      </c>
      <c r="O731">
        <f>'Participant reporting'!O958</f>
        <v>0</v>
      </c>
    </row>
    <row r="732" spans="1:15" x14ac:dyDescent="0.25">
      <c r="A732">
        <f>'Participant reporting'!A959</f>
        <v>0</v>
      </c>
      <c r="B732">
        <f>'Participant reporting'!B959</f>
        <v>0</v>
      </c>
      <c r="C732">
        <f>'Participant reporting'!C959</f>
        <v>0</v>
      </c>
      <c r="D732">
        <f>'Participant reporting'!D959</f>
        <v>0</v>
      </c>
      <c r="E732" s="15">
        <f>'Participant reporting'!E959</f>
        <v>0</v>
      </c>
      <c r="F732">
        <f>'Participant reporting'!F959</f>
        <v>0</v>
      </c>
      <c r="G732">
        <f>'Participant reporting'!G959</f>
        <v>0</v>
      </c>
      <c r="H732">
        <f>'Participant reporting'!H959</f>
        <v>0</v>
      </c>
      <c r="I732">
        <f>'Participant reporting'!I959</f>
        <v>0</v>
      </c>
      <c r="J732">
        <f>'Participant reporting'!J959</f>
        <v>0</v>
      </c>
      <c r="K732">
        <f>'Participant reporting'!K959</f>
        <v>0</v>
      </c>
      <c r="L732">
        <f>'Participant reporting'!L959</f>
        <v>0</v>
      </c>
      <c r="M732">
        <f>'Participant reporting'!M959</f>
        <v>0</v>
      </c>
      <c r="N732">
        <f>'Participant reporting'!N959</f>
        <v>0</v>
      </c>
      <c r="O732">
        <f>'Participant reporting'!O959</f>
        <v>0</v>
      </c>
    </row>
    <row r="733" spans="1:15" x14ac:dyDescent="0.25">
      <c r="A733">
        <f>'Participant reporting'!A960</f>
        <v>0</v>
      </c>
      <c r="B733">
        <f>'Participant reporting'!B960</f>
        <v>0</v>
      </c>
      <c r="C733">
        <f>'Participant reporting'!C960</f>
        <v>0</v>
      </c>
      <c r="D733">
        <f>'Participant reporting'!D960</f>
        <v>0</v>
      </c>
      <c r="E733" s="15">
        <f>'Participant reporting'!E960</f>
        <v>0</v>
      </c>
      <c r="F733">
        <f>'Participant reporting'!F960</f>
        <v>0</v>
      </c>
      <c r="G733">
        <f>'Participant reporting'!G960</f>
        <v>0</v>
      </c>
      <c r="H733">
        <f>'Participant reporting'!H960</f>
        <v>0</v>
      </c>
      <c r="I733">
        <f>'Participant reporting'!I960</f>
        <v>0</v>
      </c>
      <c r="J733">
        <f>'Participant reporting'!J960</f>
        <v>0</v>
      </c>
      <c r="K733">
        <f>'Participant reporting'!K960</f>
        <v>0</v>
      </c>
      <c r="L733">
        <f>'Participant reporting'!L960</f>
        <v>0</v>
      </c>
      <c r="M733">
        <f>'Participant reporting'!M960</f>
        <v>0</v>
      </c>
      <c r="N733">
        <f>'Participant reporting'!N960</f>
        <v>0</v>
      </c>
      <c r="O733">
        <f>'Participant reporting'!O960</f>
        <v>0</v>
      </c>
    </row>
    <row r="734" spans="1:15" x14ac:dyDescent="0.25">
      <c r="A734">
        <f>'Participant reporting'!A961</f>
        <v>0</v>
      </c>
      <c r="B734">
        <f>'Participant reporting'!B961</f>
        <v>0</v>
      </c>
      <c r="C734">
        <f>'Participant reporting'!C961</f>
        <v>0</v>
      </c>
      <c r="D734">
        <f>'Participant reporting'!D961</f>
        <v>0</v>
      </c>
      <c r="E734" s="15">
        <f>'Participant reporting'!E961</f>
        <v>0</v>
      </c>
      <c r="F734">
        <f>'Participant reporting'!F961</f>
        <v>0</v>
      </c>
      <c r="G734">
        <f>'Participant reporting'!G961</f>
        <v>0</v>
      </c>
      <c r="H734">
        <f>'Participant reporting'!H961</f>
        <v>0</v>
      </c>
      <c r="I734">
        <f>'Participant reporting'!I961</f>
        <v>0</v>
      </c>
      <c r="J734">
        <f>'Participant reporting'!J961</f>
        <v>0</v>
      </c>
      <c r="K734">
        <f>'Participant reporting'!K961</f>
        <v>0</v>
      </c>
      <c r="L734">
        <f>'Participant reporting'!L961</f>
        <v>0</v>
      </c>
      <c r="M734">
        <f>'Participant reporting'!M961</f>
        <v>0</v>
      </c>
      <c r="N734">
        <f>'Participant reporting'!N961</f>
        <v>0</v>
      </c>
      <c r="O734">
        <f>'Participant reporting'!O961</f>
        <v>0</v>
      </c>
    </row>
    <row r="735" spans="1:15" x14ac:dyDescent="0.25">
      <c r="A735">
        <f>'Participant reporting'!A962</f>
        <v>0</v>
      </c>
      <c r="B735">
        <f>'Participant reporting'!B962</f>
        <v>0</v>
      </c>
      <c r="C735">
        <f>'Participant reporting'!C962</f>
        <v>0</v>
      </c>
      <c r="D735">
        <f>'Participant reporting'!D962</f>
        <v>0</v>
      </c>
      <c r="E735" s="15">
        <f>'Participant reporting'!E962</f>
        <v>0</v>
      </c>
      <c r="F735">
        <f>'Participant reporting'!F962</f>
        <v>0</v>
      </c>
      <c r="G735">
        <f>'Participant reporting'!G962</f>
        <v>0</v>
      </c>
      <c r="H735">
        <f>'Participant reporting'!H962</f>
        <v>0</v>
      </c>
      <c r="I735">
        <f>'Participant reporting'!I962</f>
        <v>0</v>
      </c>
      <c r="J735">
        <f>'Participant reporting'!J962</f>
        <v>0</v>
      </c>
      <c r="K735">
        <f>'Participant reporting'!K962</f>
        <v>0</v>
      </c>
      <c r="L735">
        <f>'Participant reporting'!L962</f>
        <v>0</v>
      </c>
      <c r="M735">
        <f>'Participant reporting'!M962</f>
        <v>0</v>
      </c>
      <c r="N735">
        <f>'Participant reporting'!N962</f>
        <v>0</v>
      </c>
      <c r="O735">
        <f>'Participant reporting'!O962</f>
        <v>0</v>
      </c>
    </row>
    <row r="736" spans="1:15" x14ac:dyDescent="0.25">
      <c r="A736">
        <f>'Participant reporting'!A963</f>
        <v>0</v>
      </c>
      <c r="B736">
        <f>'Participant reporting'!B963</f>
        <v>0</v>
      </c>
      <c r="C736">
        <f>'Participant reporting'!C963</f>
        <v>0</v>
      </c>
      <c r="D736">
        <f>'Participant reporting'!D963</f>
        <v>0</v>
      </c>
      <c r="E736" s="15">
        <f>'Participant reporting'!E963</f>
        <v>0</v>
      </c>
      <c r="F736">
        <f>'Participant reporting'!F963</f>
        <v>0</v>
      </c>
      <c r="G736">
        <f>'Participant reporting'!G963</f>
        <v>0</v>
      </c>
      <c r="H736">
        <f>'Participant reporting'!H963</f>
        <v>0</v>
      </c>
      <c r="I736">
        <f>'Participant reporting'!I963</f>
        <v>0</v>
      </c>
      <c r="J736">
        <f>'Participant reporting'!J963</f>
        <v>0</v>
      </c>
      <c r="K736">
        <f>'Participant reporting'!K963</f>
        <v>0</v>
      </c>
      <c r="L736">
        <f>'Participant reporting'!L963</f>
        <v>0</v>
      </c>
      <c r="M736">
        <f>'Participant reporting'!M963</f>
        <v>0</v>
      </c>
      <c r="N736">
        <f>'Participant reporting'!N963</f>
        <v>0</v>
      </c>
      <c r="O736">
        <f>'Participant reporting'!O963</f>
        <v>0</v>
      </c>
    </row>
    <row r="737" spans="1:15" x14ac:dyDescent="0.25">
      <c r="A737">
        <f>'Participant reporting'!A964</f>
        <v>0</v>
      </c>
      <c r="B737">
        <f>'Participant reporting'!B964</f>
        <v>0</v>
      </c>
      <c r="C737">
        <f>'Participant reporting'!C964</f>
        <v>0</v>
      </c>
      <c r="D737">
        <f>'Participant reporting'!D964</f>
        <v>0</v>
      </c>
      <c r="E737" s="15">
        <f>'Participant reporting'!E964</f>
        <v>0</v>
      </c>
      <c r="F737">
        <f>'Participant reporting'!F964</f>
        <v>0</v>
      </c>
      <c r="G737">
        <f>'Participant reporting'!G964</f>
        <v>0</v>
      </c>
      <c r="H737">
        <f>'Participant reporting'!H964</f>
        <v>0</v>
      </c>
      <c r="I737">
        <f>'Participant reporting'!I964</f>
        <v>0</v>
      </c>
      <c r="J737">
        <f>'Participant reporting'!J964</f>
        <v>0</v>
      </c>
      <c r="K737">
        <f>'Participant reporting'!K964</f>
        <v>0</v>
      </c>
      <c r="L737">
        <f>'Participant reporting'!L964</f>
        <v>0</v>
      </c>
      <c r="M737">
        <f>'Participant reporting'!M964</f>
        <v>0</v>
      </c>
      <c r="N737">
        <f>'Participant reporting'!N964</f>
        <v>0</v>
      </c>
      <c r="O737">
        <f>'Participant reporting'!O964</f>
        <v>0</v>
      </c>
    </row>
    <row r="738" spans="1:15" x14ac:dyDescent="0.25">
      <c r="A738">
        <f>'Participant reporting'!A965</f>
        <v>0</v>
      </c>
      <c r="B738">
        <f>'Participant reporting'!B965</f>
        <v>0</v>
      </c>
      <c r="C738">
        <f>'Participant reporting'!C965</f>
        <v>0</v>
      </c>
      <c r="D738">
        <f>'Participant reporting'!D965</f>
        <v>0</v>
      </c>
      <c r="E738" s="15">
        <f>'Participant reporting'!E965</f>
        <v>0</v>
      </c>
      <c r="F738">
        <f>'Participant reporting'!F965</f>
        <v>0</v>
      </c>
      <c r="G738">
        <f>'Participant reporting'!G965</f>
        <v>0</v>
      </c>
      <c r="H738">
        <f>'Participant reporting'!H965</f>
        <v>0</v>
      </c>
      <c r="I738">
        <f>'Participant reporting'!I965</f>
        <v>0</v>
      </c>
      <c r="J738">
        <f>'Participant reporting'!J965</f>
        <v>0</v>
      </c>
      <c r="K738">
        <f>'Participant reporting'!K965</f>
        <v>0</v>
      </c>
      <c r="L738">
        <f>'Participant reporting'!L965</f>
        <v>0</v>
      </c>
      <c r="M738">
        <f>'Participant reporting'!M965</f>
        <v>0</v>
      </c>
      <c r="N738">
        <f>'Participant reporting'!N965</f>
        <v>0</v>
      </c>
      <c r="O738">
        <f>'Participant reporting'!O965</f>
        <v>0</v>
      </c>
    </row>
    <row r="739" spans="1:15" x14ac:dyDescent="0.25">
      <c r="A739">
        <f>'Participant reporting'!A966</f>
        <v>0</v>
      </c>
      <c r="B739">
        <f>'Participant reporting'!B966</f>
        <v>0</v>
      </c>
      <c r="C739">
        <f>'Participant reporting'!C966</f>
        <v>0</v>
      </c>
      <c r="D739">
        <f>'Participant reporting'!D966</f>
        <v>0</v>
      </c>
      <c r="E739" s="15">
        <f>'Participant reporting'!E966</f>
        <v>0</v>
      </c>
      <c r="F739">
        <f>'Participant reporting'!F966</f>
        <v>0</v>
      </c>
      <c r="G739">
        <f>'Participant reporting'!G966</f>
        <v>0</v>
      </c>
      <c r="H739">
        <f>'Participant reporting'!H966</f>
        <v>0</v>
      </c>
      <c r="I739">
        <f>'Participant reporting'!I966</f>
        <v>0</v>
      </c>
      <c r="J739">
        <f>'Participant reporting'!J966</f>
        <v>0</v>
      </c>
      <c r="K739">
        <f>'Participant reporting'!K966</f>
        <v>0</v>
      </c>
      <c r="L739">
        <f>'Participant reporting'!L966</f>
        <v>0</v>
      </c>
      <c r="M739">
        <f>'Participant reporting'!M966</f>
        <v>0</v>
      </c>
      <c r="N739">
        <f>'Participant reporting'!N966</f>
        <v>0</v>
      </c>
      <c r="O739">
        <f>'Participant reporting'!O966</f>
        <v>0</v>
      </c>
    </row>
    <row r="740" spans="1:15" x14ac:dyDescent="0.25">
      <c r="A740">
        <f>'Participant reporting'!A967</f>
        <v>0</v>
      </c>
      <c r="B740">
        <f>'Participant reporting'!B967</f>
        <v>0</v>
      </c>
      <c r="C740">
        <f>'Participant reporting'!C967</f>
        <v>0</v>
      </c>
      <c r="D740">
        <f>'Participant reporting'!D967</f>
        <v>0</v>
      </c>
      <c r="E740" s="15">
        <f>'Participant reporting'!E967</f>
        <v>0</v>
      </c>
      <c r="F740">
        <f>'Participant reporting'!F967</f>
        <v>0</v>
      </c>
      <c r="G740">
        <f>'Participant reporting'!G967</f>
        <v>0</v>
      </c>
      <c r="H740">
        <f>'Participant reporting'!H967</f>
        <v>0</v>
      </c>
      <c r="I740">
        <f>'Participant reporting'!I967</f>
        <v>0</v>
      </c>
      <c r="J740">
        <f>'Participant reporting'!J967</f>
        <v>0</v>
      </c>
      <c r="K740">
        <f>'Participant reporting'!K967</f>
        <v>0</v>
      </c>
      <c r="L740">
        <f>'Participant reporting'!L967</f>
        <v>0</v>
      </c>
      <c r="M740">
        <f>'Participant reporting'!M967</f>
        <v>0</v>
      </c>
      <c r="N740">
        <f>'Participant reporting'!N967</f>
        <v>0</v>
      </c>
      <c r="O740">
        <f>'Participant reporting'!O967</f>
        <v>0</v>
      </c>
    </row>
    <row r="741" spans="1:15" x14ac:dyDescent="0.25">
      <c r="A741">
        <f>'Participant reporting'!A968</f>
        <v>0</v>
      </c>
      <c r="B741">
        <f>'Participant reporting'!B968</f>
        <v>0</v>
      </c>
      <c r="C741">
        <f>'Participant reporting'!C968</f>
        <v>0</v>
      </c>
      <c r="D741">
        <f>'Participant reporting'!D968</f>
        <v>0</v>
      </c>
      <c r="E741" s="15">
        <f>'Participant reporting'!E968</f>
        <v>0</v>
      </c>
      <c r="F741">
        <f>'Participant reporting'!F968</f>
        <v>0</v>
      </c>
      <c r="G741">
        <f>'Participant reporting'!G968</f>
        <v>0</v>
      </c>
      <c r="H741">
        <f>'Participant reporting'!H968</f>
        <v>0</v>
      </c>
      <c r="I741">
        <f>'Participant reporting'!I968</f>
        <v>0</v>
      </c>
      <c r="J741">
        <f>'Participant reporting'!J968</f>
        <v>0</v>
      </c>
      <c r="K741">
        <f>'Participant reporting'!K968</f>
        <v>0</v>
      </c>
      <c r="L741">
        <f>'Participant reporting'!L968</f>
        <v>0</v>
      </c>
      <c r="M741">
        <f>'Participant reporting'!M968</f>
        <v>0</v>
      </c>
      <c r="N741">
        <f>'Participant reporting'!N968</f>
        <v>0</v>
      </c>
      <c r="O741">
        <f>'Participant reporting'!O968</f>
        <v>0</v>
      </c>
    </row>
    <row r="742" spans="1:15" x14ac:dyDescent="0.25">
      <c r="A742">
        <f>'Participant reporting'!A969</f>
        <v>0</v>
      </c>
      <c r="B742">
        <f>'Participant reporting'!B969</f>
        <v>0</v>
      </c>
      <c r="C742">
        <f>'Participant reporting'!C969</f>
        <v>0</v>
      </c>
      <c r="D742">
        <f>'Participant reporting'!D969</f>
        <v>0</v>
      </c>
      <c r="E742" s="15">
        <f>'Participant reporting'!E969</f>
        <v>0</v>
      </c>
      <c r="F742">
        <f>'Participant reporting'!F969</f>
        <v>0</v>
      </c>
      <c r="G742">
        <f>'Participant reporting'!G969</f>
        <v>0</v>
      </c>
      <c r="H742">
        <f>'Participant reporting'!H969</f>
        <v>0</v>
      </c>
      <c r="I742">
        <f>'Participant reporting'!I969</f>
        <v>0</v>
      </c>
      <c r="J742">
        <f>'Participant reporting'!J969</f>
        <v>0</v>
      </c>
      <c r="K742">
        <f>'Participant reporting'!K969</f>
        <v>0</v>
      </c>
      <c r="L742">
        <f>'Participant reporting'!L969</f>
        <v>0</v>
      </c>
      <c r="M742">
        <f>'Participant reporting'!M969</f>
        <v>0</v>
      </c>
      <c r="N742">
        <f>'Participant reporting'!N969</f>
        <v>0</v>
      </c>
      <c r="O742">
        <f>'Participant reporting'!O969</f>
        <v>0</v>
      </c>
    </row>
    <row r="743" spans="1:15" x14ac:dyDescent="0.25">
      <c r="A743">
        <f>'Participant reporting'!A970</f>
        <v>0</v>
      </c>
      <c r="B743">
        <f>'Participant reporting'!B970</f>
        <v>0</v>
      </c>
      <c r="C743">
        <f>'Participant reporting'!C970</f>
        <v>0</v>
      </c>
      <c r="D743">
        <f>'Participant reporting'!D970</f>
        <v>0</v>
      </c>
      <c r="E743" s="15">
        <f>'Participant reporting'!E970</f>
        <v>0</v>
      </c>
      <c r="F743">
        <f>'Participant reporting'!F970</f>
        <v>0</v>
      </c>
      <c r="G743">
        <f>'Participant reporting'!G970</f>
        <v>0</v>
      </c>
      <c r="H743">
        <f>'Participant reporting'!H970</f>
        <v>0</v>
      </c>
      <c r="I743">
        <f>'Participant reporting'!I970</f>
        <v>0</v>
      </c>
      <c r="J743">
        <f>'Participant reporting'!J970</f>
        <v>0</v>
      </c>
      <c r="K743">
        <f>'Participant reporting'!K970</f>
        <v>0</v>
      </c>
      <c r="L743">
        <f>'Participant reporting'!L970</f>
        <v>0</v>
      </c>
      <c r="M743">
        <f>'Participant reporting'!M970</f>
        <v>0</v>
      </c>
      <c r="N743">
        <f>'Participant reporting'!N970</f>
        <v>0</v>
      </c>
      <c r="O743">
        <f>'Participant reporting'!O970</f>
        <v>0</v>
      </c>
    </row>
    <row r="744" spans="1:15" x14ac:dyDescent="0.25">
      <c r="A744">
        <f>'Participant reporting'!A971</f>
        <v>0</v>
      </c>
      <c r="B744">
        <f>'Participant reporting'!B971</f>
        <v>0</v>
      </c>
      <c r="C744">
        <f>'Participant reporting'!C971</f>
        <v>0</v>
      </c>
      <c r="D744">
        <f>'Participant reporting'!D971</f>
        <v>0</v>
      </c>
      <c r="E744" s="15">
        <f>'Participant reporting'!E971</f>
        <v>0</v>
      </c>
      <c r="F744">
        <f>'Participant reporting'!F971</f>
        <v>0</v>
      </c>
      <c r="G744">
        <f>'Participant reporting'!G971</f>
        <v>0</v>
      </c>
      <c r="H744">
        <f>'Participant reporting'!H971</f>
        <v>0</v>
      </c>
      <c r="I744">
        <f>'Participant reporting'!I971</f>
        <v>0</v>
      </c>
      <c r="J744">
        <f>'Participant reporting'!J971</f>
        <v>0</v>
      </c>
      <c r="K744">
        <f>'Participant reporting'!K971</f>
        <v>0</v>
      </c>
      <c r="L744">
        <f>'Participant reporting'!L971</f>
        <v>0</v>
      </c>
      <c r="M744">
        <f>'Participant reporting'!M971</f>
        <v>0</v>
      </c>
      <c r="N744">
        <f>'Participant reporting'!N971</f>
        <v>0</v>
      </c>
      <c r="O744">
        <f>'Participant reporting'!O971</f>
        <v>0</v>
      </c>
    </row>
    <row r="745" spans="1:15" x14ac:dyDescent="0.25">
      <c r="A745">
        <f>'Participant reporting'!A972</f>
        <v>0</v>
      </c>
      <c r="B745">
        <f>'Participant reporting'!B972</f>
        <v>0</v>
      </c>
      <c r="C745">
        <f>'Participant reporting'!C972</f>
        <v>0</v>
      </c>
      <c r="D745">
        <f>'Participant reporting'!D972</f>
        <v>0</v>
      </c>
      <c r="E745" s="15">
        <f>'Participant reporting'!E972</f>
        <v>0</v>
      </c>
      <c r="F745">
        <f>'Participant reporting'!F972</f>
        <v>0</v>
      </c>
      <c r="G745">
        <f>'Participant reporting'!G972</f>
        <v>0</v>
      </c>
      <c r="H745">
        <f>'Participant reporting'!H972</f>
        <v>0</v>
      </c>
      <c r="I745">
        <f>'Participant reporting'!I972</f>
        <v>0</v>
      </c>
      <c r="J745">
        <f>'Participant reporting'!J972</f>
        <v>0</v>
      </c>
      <c r="K745">
        <f>'Participant reporting'!K972</f>
        <v>0</v>
      </c>
      <c r="L745">
        <f>'Participant reporting'!L972</f>
        <v>0</v>
      </c>
      <c r="M745">
        <f>'Participant reporting'!M972</f>
        <v>0</v>
      </c>
      <c r="N745">
        <f>'Participant reporting'!N972</f>
        <v>0</v>
      </c>
      <c r="O745">
        <f>'Participant reporting'!O972</f>
        <v>0</v>
      </c>
    </row>
    <row r="746" spans="1:15" x14ac:dyDescent="0.25">
      <c r="A746">
        <f>'Participant reporting'!A973</f>
        <v>0</v>
      </c>
      <c r="B746">
        <f>'Participant reporting'!B973</f>
        <v>0</v>
      </c>
      <c r="C746">
        <f>'Participant reporting'!C973</f>
        <v>0</v>
      </c>
      <c r="D746">
        <f>'Participant reporting'!D973</f>
        <v>0</v>
      </c>
      <c r="E746" s="15">
        <f>'Participant reporting'!E973</f>
        <v>0</v>
      </c>
      <c r="F746">
        <f>'Participant reporting'!F973</f>
        <v>0</v>
      </c>
      <c r="G746">
        <f>'Participant reporting'!G973</f>
        <v>0</v>
      </c>
      <c r="H746">
        <f>'Participant reporting'!H973</f>
        <v>0</v>
      </c>
      <c r="I746">
        <f>'Participant reporting'!I973</f>
        <v>0</v>
      </c>
      <c r="J746">
        <f>'Participant reporting'!J973</f>
        <v>0</v>
      </c>
      <c r="K746">
        <f>'Participant reporting'!K973</f>
        <v>0</v>
      </c>
      <c r="L746">
        <f>'Participant reporting'!L973</f>
        <v>0</v>
      </c>
      <c r="M746">
        <f>'Participant reporting'!M973</f>
        <v>0</v>
      </c>
      <c r="N746">
        <f>'Participant reporting'!N973</f>
        <v>0</v>
      </c>
      <c r="O746">
        <f>'Participant reporting'!O973</f>
        <v>0</v>
      </c>
    </row>
    <row r="747" spans="1:15" x14ac:dyDescent="0.25">
      <c r="A747">
        <f>'Participant reporting'!A974</f>
        <v>0</v>
      </c>
      <c r="B747">
        <f>'Participant reporting'!B974</f>
        <v>0</v>
      </c>
      <c r="C747">
        <f>'Participant reporting'!C974</f>
        <v>0</v>
      </c>
      <c r="D747">
        <f>'Participant reporting'!D974</f>
        <v>0</v>
      </c>
      <c r="E747" s="15">
        <f>'Participant reporting'!E974</f>
        <v>0</v>
      </c>
      <c r="F747">
        <f>'Participant reporting'!F974</f>
        <v>0</v>
      </c>
      <c r="G747">
        <f>'Participant reporting'!G974</f>
        <v>0</v>
      </c>
      <c r="H747">
        <f>'Participant reporting'!H974</f>
        <v>0</v>
      </c>
      <c r="I747">
        <f>'Participant reporting'!I974</f>
        <v>0</v>
      </c>
      <c r="J747">
        <f>'Participant reporting'!J974</f>
        <v>0</v>
      </c>
      <c r="K747">
        <f>'Participant reporting'!K974</f>
        <v>0</v>
      </c>
      <c r="L747">
        <f>'Participant reporting'!L974</f>
        <v>0</v>
      </c>
      <c r="M747">
        <f>'Participant reporting'!M974</f>
        <v>0</v>
      </c>
      <c r="N747">
        <f>'Participant reporting'!N974</f>
        <v>0</v>
      </c>
      <c r="O747">
        <f>'Participant reporting'!O974</f>
        <v>0</v>
      </c>
    </row>
    <row r="748" spans="1:15" x14ac:dyDescent="0.25">
      <c r="A748">
        <f>'Participant reporting'!A975</f>
        <v>0</v>
      </c>
      <c r="B748">
        <f>'Participant reporting'!B975</f>
        <v>0</v>
      </c>
      <c r="C748">
        <f>'Participant reporting'!C975</f>
        <v>0</v>
      </c>
      <c r="D748">
        <f>'Participant reporting'!D975</f>
        <v>0</v>
      </c>
      <c r="E748" s="15">
        <f>'Participant reporting'!E975</f>
        <v>0</v>
      </c>
      <c r="F748">
        <f>'Participant reporting'!F975</f>
        <v>0</v>
      </c>
      <c r="G748">
        <f>'Participant reporting'!G975</f>
        <v>0</v>
      </c>
      <c r="H748">
        <f>'Participant reporting'!H975</f>
        <v>0</v>
      </c>
      <c r="I748">
        <f>'Participant reporting'!I975</f>
        <v>0</v>
      </c>
      <c r="J748">
        <f>'Participant reporting'!J975</f>
        <v>0</v>
      </c>
      <c r="K748">
        <f>'Participant reporting'!K975</f>
        <v>0</v>
      </c>
      <c r="L748">
        <f>'Participant reporting'!L975</f>
        <v>0</v>
      </c>
      <c r="M748">
        <f>'Participant reporting'!M975</f>
        <v>0</v>
      </c>
      <c r="N748">
        <f>'Participant reporting'!N975</f>
        <v>0</v>
      </c>
      <c r="O748">
        <f>'Participant reporting'!O975</f>
        <v>0</v>
      </c>
    </row>
    <row r="749" spans="1:15" x14ac:dyDescent="0.25">
      <c r="A749">
        <f>'Participant reporting'!A976</f>
        <v>0</v>
      </c>
      <c r="B749">
        <f>'Participant reporting'!B976</f>
        <v>0</v>
      </c>
      <c r="C749">
        <f>'Participant reporting'!C976</f>
        <v>0</v>
      </c>
      <c r="D749">
        <f>'Participant reporting'!D976</f>
        <v>0</v>
      </c>
      <c r="E749" s="15">
        <f>'Participant reporting'!E976</f>
        <v>0</v>
      </c>
      <c r="F749">
        <f>'Participant reporting'!F976</f>
        <v>0</v>
      </c>
      <c r="G749">
        <f>'Participant reporting'!G976</f>
        <v>0</v>
      </c>
      <c r="H749">
        <f>'Participant reporting'!H976</f>
        <v>0</v>
      </c>
      <c r="I749">
        <f>'Participant reporting'!I976</f>
        <v>0</v>
      </c>
      <c r="J749">
        <f>'Participant reporting'!J976</f>
        <v>0</v>
      </c>
      <c r="K749">
        <f>'Participant reporting'!K976</f>
        <v>0</v>
      </c>
      <c r="L749">
        <f>'Participant reporting'!L976</f>
        <v>0</v>
      </c>
      <c r="M749">
        <f>'Participant reporting'!M976</f>
        <v>0</v>
      </c>
      <c r="N749">
        <f>'Participant reporting'!N976</f>
        <v>0</v>
      </c>
      <c r="O749">
        <f>'Participant reporting'!O976</f>
        <v>0</v>
      </c>
    </row>
    <row r="750" spans="1:15" x14ac:dyDescent="0.25">
      <c r="A750">
        <f>'Participant reporting'!A977</f>
        <v>0</v>
      </c>
      <c r="B750">
        <f>'Participant reporting'!B977</f>
        <v>0</v>
      </c>
      <c r="C750">
        <f>'Participant reporting'!C977</f>
        <v>0</v>
      </c>
      <c r="D750">
        <f>'Participant reporting'!D977</f>
        <v>0</v>
      </c>
      <c r="E750" s="15">
        <f>'Participant reporting'!E977</f>
        <v>0</v>
      </c>
      <c r="F750">
        <f>'Participant reporting'!F977</f>
        <v>0</v>
      </c>
      <c r="G750">
        <f>'Participant reporting'!G977</f>
        <v>0</v>
      </c>
      <c r="H750">
        <f>'Participant reporting'!H977</f>
        <v>0</v>
      </c>
      <c r="I750">
        <f>'Participant reporting'!I977</f>
        <v>0</v>
      </c>
      <c r="J750">
        <f>'Participant reporting'!J977</f>
        <v>0</v>
      </c>
      <c r="K750">
        <f>'Participant reporting'!K977</f>
        <v>0</v>
      </c>
      <c r="L750">
        <f>'Participant reporting'!L977</f>
        <v>0</v>
      </c>
      <c r="M750">
        <f>'Participant reporting'!M977</f>
        <v>0</v>
      </c>
      <c r="N750">
        <f>'Participant reporting'!N977</f>
        <v>0</v>
      </c>
      <c r="O750">
        <f>'Participant reporting'!O977</f>
        <v>0</v>
      </c>
    </row>
    <row r="751" spans="1:15" x14ac:dyDescent="0.25">
      <c r="A751">
        <f>'Participant reporting'!A978</f>
        <v>0</v>
      </c>
      <c r="B751">
        <f>'Participant reporting'!B978</f>
        <v>0</v>
      </c>
      <c r="C751">
        <f>'Participant reporting'!C978</f>
        <v>0</v>
      </c>
      <c r="D751">
        <f>'Participant reporting'!D978</f>
        <v>0</v>
      </c>
      <c r="E751" s="15">
        <f>'Participant reporting'!E978</f>
        <v>0</v>
      </c>
      <c r="F751">
        <f>'Participant reporting'!F978</f>
        <v>0</v>
      </c>
      <c r="G751">
        <f>'Participant reporting'!G978</f>
        <v>0</v>
      </c>
      <c r="H751">
        <f>'Participant reporting'!H978</f>
        <v>0</v>
      </c>
      <c r="I751">
        <f>'Participant reporting'!I978</f>
        <v>0</v>
      </c>
      <c r="J751">
        <f>'Participant reporting'!J978</f>
        <v>0</v>
      </c>
      <c r="K751">
        <f>'Participant reporting'!K978</f>
        <v>0</v>
      </c>
      <c r="L751">
        <f>'Participant reporting'!L978</f>
        <v>0</v>
      </c>
      <c r="M751">
        <f>'Participant reporting'!M978</f>
        <v>0</v>
      </c>
      <c r="N751">
        <f>'Participant reporting'!N978</f>
        <v>0</v>
      </c>
      <c r="O751">
        <f>'Participant reporting'!O978</f>
        <v>0</v>
      </c>
    </row>
    <row r="752" spans="1:15" x14ac:dyDescent="0.25">
      <c r="A752">
        <f>'Participant reporting'!A979</f>
        <v>0</v>
      </c>
      <c r="B752">
        <f>'Participant reporting'!B979</f>
        <v>0</v>
      </c>
      <c r="C752">
        <f>'Participant reporting'!C979</f>
        <v>0</v>
      </c>
      <c r="D752">
        <f>'Participant reporting'!D979</f>
        <v>0</v>
      </c>
      <c r="E752" s="15">
        <f>'Participant reporting'!E979</f>
        <v>0</v>
      </c>
      <c r="F752">
        <f>'Participant reporting'!F979</f>
        <v>0</v>
      </c>
      <c r="G752">
        <f>'Participant reporting'!G979</f>
        <v>0</v>
      </c>
      <c r="H752">
        <f>'Participant reporting'!H979</f>
        <v>0</v>
      </c>
      <c r="I752">
        <f>'Participant reporting'!I979</f>
        <v>0</v>
      </c>
      <c r="J752">
        <f>'Participant reporting'!J979</f>
        <v>0</v>
      </c>
      <c r="K752">
        <f>'Participant reporting'!K979</f>
        <v>0</v>
      </c>
      <c r="L752">
        <f>'Participant reporting'!L979</f>
        <v>0</v>
      </c>
      <c r="M752">
        <f>'Participant reporting'!M979</f>
        <v>0</v>
      </c>
      <c r="N752">
        <f>'Participant reporting'!N979</f>
        <v>0</v>
      </c>
      <c r="O752">
        <f>'Participant reporting'!O979</f>
        <v>0</v>
      </c>
    </row>
    <row r="753" spans="1:15" x14ac:dyDescent="0.25">
      <c r="A753">
        <f>'Participant reporting'!A980</f>
        <v>0</v>
      </c>
      <c r="B753">
        <f>'Participant reporting'!B980</f>
        <v>0</v>
      </c>
      <c r="C753">
        <f>'Participant reporting'!C980</f>
        <v>0</v>
      </c>
      <c r="D753">
        <f>'Participant reporting'!D980</f>
        <v>0</v>
      </c>
      <c r="E753" s="15">
        <f>'Participant reporting'!E980</f>
        <v>0</v>
      </c>
      <c r="F753">
        <f>'Participant reporting'!F980</f>
        <v>0</v>
      </c>
      <c r="G753">
        <f>'Participant reporting'!G980</f>
        <v>0</v>
      </c>
      <c r="H753">
        <f>'Participant reporting'!H980</f>
        <v>0</v>
      </c>
      <c r="I753">
        <f>'Participant reporting'!I980</f>
        <v>0</v>
      </c>
      <c r="J753">
        <f>'Participant reporting'!J980</f>
        <v>0</v>
      </c>
      <c r="K753">
        <f>'Participant reporting'!K980</f>
        <v>0</v>
      </c>
      <c r="L753">
        <f>'Participant reporting'!L980</f>
        <v>0</v>
      </c>
      <c r="M753">
        <f>'Participant reporting'!M980</f>
        <v>0</v>
      </c>
      <c r="N753">
        <f>'Participant reporting'!N980</f>
        <v>0</v>
      </c>
      <c r="O753">
        <f>'Participant reporting'!O980</f>
        <v>0</v>
      </c>
    </row>
    <row r="754" spans="1:15" x14ac:dyDescent="0.25">
      <c r="A754">
        <f>'Participant reporting'!A981</f>
        <v>0</v>
      </c>
      <c r="B754">
        <f>'Participant reporting'!B981</f>
        <v>0</v>
      </c>
      <c r="C754">
        <f>'Participant reporting'!C981</f>
        <v>0</v>
      </c>
      <c r="D754">
        <f>'Participant reporting'!D981</f>
        <v>0</v>
      </c>
      <c r="E754" s="15">
        <f>'Participant reporting'!E981</f>
        <v>0</v>
      </c>
      <c r="F754">
        <f>'Participant reporting'!F981</f>
        <v>0</v>
      </c>
      <c r="G754">
        <f>'Participant reporting'!G981</f>
        <v>0</v>
      </c>
      <c r="H754">
        <f>'Participant reporting'!H981</f>
        <v>0</v>
      </c>
      <c r="I754">
        <f>'Participant reporting'!I981</f>
        <v>0</v>
      </c>
      <c r="J754">
        <f>'Participant reporting'!J981</f>
        <v>0</v>
      </c>
      <c r="K754">
        <f>'Participant reporting'!K981</f>
        <v>0</v>
      </c>
      <c r="L754">
        <f>'Participant reporting'!L981</f>
        <v>0</v>
      </c>
      <c r="M754">
        <f>'Participant reporting'!M981</f>
        <v>0</v>
      </c>
      <c r="N754">
        <f>'Participant reporting'!N981</f>
        <v>0</v>
      </c>
      <c r="O754">
        <f>'Participant reporting'!O981</f>
        <v>0</v>
      </c>
    </row>
    <row r="755" spans="1:15" x14ac:dyDescent="0.25">
      <c r="A755">
        <f>'Participant reporting'!A982</f>
        <v>0</v>
      </c>
      <c r="B755">
        <f>'Participant reporting'!B982</f>
        <v>0</v>
      </c>
      <c r="C755">
        <f>'Participant reporting'!C982</f>
        <v>0</v>
      </c>
      <c r="D755">
        <f>'Participant reporting'!D982</f>
        <v>0</v>
      </c>
      <c r="E755" s="15">
        <f>'Participant reporting'!E982</f>
        <v>0</v>
      </c>
      <c r="F755">
        <f>'Participant reporting'!F982</f>
        <v>0</v>
      </c>
      <c r="G755">
        <f>'Participant reporting'!G982</f>
        <v>0</v>
      </c>
      <c r="H755">
        <f>'Participant reporting'!H982</f>
        <v>0</v>
      </c>
      <c r="I755">
        <f>'Participant reporting'!I982</f>
        <v>0</v>
      </c>
      <c r="J755">
        <f>'Participant reporting'!J982</f>
        <v>0</v>
      </c>
      <c r="K755">
        <f>'Participant reporting'!K982</f>
        <v>0</v>
      </c>
      <c r="L755">
        <f>'Participant reporting'!L982</f>
        <v>0</v>
      </c>
      <c r="M755">
        <f>'Participant reporting'!M982</f>
        <v>0</v>
      </c>
      <c r="N755">
        <f>'Participant reporting'!N982</f>
        <v>0</v>
      </c>
      <c r="O755">
        <f>'Participant reporting'!O982</f>
        <v>0</v>
      </c>
    </row>
    <row r="756" spans="1:15" x14ac:dyDescent="0.25">
      <c r="A756">
        <f>'Participant reporting'!A983</f>
        <v>0</v>
      </c>
      <c r="B756">
        <f>'Participant reporting'!B983</f>
        <v>0</v>
      </c>
      <c r="C756">
        <f>'Participant reporting'!C983</f>
        <v>0</v>
      </c>
      <c r="D756">
        <f>'Participant reporting'!D983</f>
        <v>0</v>
      </c>
      <c r="E756" s="15">
        <f>'Participant reporting'!E983</f>
        <v>0</v>
      </c>
      <c r="F756">
        <f>'Participant reporting'!F983</f>
        <v>0</v>
      </c>
      <c r="G756">
        <f>'Participant reporting'!G983</f>
        <v>0</v>
      </c>
      <c r="H756">
        <f>'Participant reporting'!H983</f>
        <v>0</v>
      </c>
      <c r="I756">
        <f>'Participant reporting'!I983</f>
        <v>0</v>
      </c>
      <c r="J756">
        <f>'Participant reporting'!J983</f>
        <v>0</v>
      </c>
      <c r="K756">
        <f>'Participant reporting'!K983</f>
        <v>0</v>
      </c>
      <c r="L756">
        <f>'Participant reporting'!L983</f>
        <v>0</v>
      </c>
      <c r="M756">
        <f>'Participant reporting'!M983</f>
        <v>0</v>
      </c>
      <c r="N756">
        <f>'Participant reporting'!N983</f>
        <v>0</v>
      </c>
      <c r="O756">
        <f>'Participant reporting'!O983</f>
        <v>0</v>
      </c>
    </row>
    <row r="757" spans="1:15" x14ac:dyDescent="0.25">
      <c r="A757">
        <f>'Participant reporting'!A984</f>
        <v>0</v>
      </c>
      <c r="B757">
        <f>'Participant reporting'!B984</f>
        <v>0</v>
      </c>
      <c r="C757">
        <f>'Participant reporting'!C984</f>
        <v>0</v>
      </c>
      <c r="D757">
        <f>'Participant reporting'!D984</f>
        <v>0</v>
      </c>
      <c r="E757" s="15">
        <f>'Participant reporting'!E984</f>
        <v>0</v>
      </c>
      <c r="F757">
        <f>'Participant reporting'!F984</f>
        <v>0</v>
      </c>
      <c r="G757">
        <f>'Participant reporting'!G984</f>
        <v>0</v>
      </c>
      <c r="H757">
        <f>'Participant reporting'!H984</f>
        <v>0</v>
      </c>
      <c r="I757">
        <f>'Participant reporting'!I984</f>
        <v>0</v>
      </c>
      <c r="J757">
        <f>'Participant reporting'!J984</f>
        <v>0</v>
      </c>
      <c r="K757">
        <f>'Participant reporting'!K984</f>
        <v>0</v>
      </c>
      <c r="L757">
        <f>'Participant reporting'!L984</f>
        <v>0</v>
      </c>
      <c r="M757">
        <f>'Participant reporting'!M984</f>
        <v>0</v>
      </c>
      <c r="N757">
        <f>'Participant reporting'!N984</f>
        <v>0</v>
      </c>
      <c r="O757">
        <f>'Participant reporting'!O984</f>
        <v>0</v>
      </c>
    </row>
    <row r="758" spans="1:15" x14ac:dyDescent="0.25">
      <c r="A758">
        <f>'Participant reporting'!A985</f>
        <v>0</v>
      </c>
      <c r="B758">
        <f>'Participant reporting'!B985</f>
        <v>0</v>
      </c>
      <c r="C758">
        <f>'Participant reporting'!C985</f>
        <v>0</v>
      </c>
      <c r="D758">
        <f>'Participant reporting'!D985</f>
        <v>0</v>
      </c>
      <c r="E758" s="15">
        <f>'Participant reporting'!E985</f>
        <v>0</v>
      </c>
      <c r="F758">
        <f>'Participant reporting'!F985</f>
        <v>0</v>
      </c>
      <c r="G758">
        <f>'Participant reporting'!G985</f>
        <v>0</v>
      </c>
      <c r="H758">
        <f>'Participant reporting'!H985</f>
        <v>0</v>
      </c>
      <c r="I758">
        <f>'Participant reporting'!I985</f>
        <v>0</v>
      </c>
      <c r="J758">
        <f>'Participant reporting'!J985</f>
        <v>0</v>
      </c>
      <c r="K758">
        <f>'Participant reporting'!K985</f>
        <v>0</v>
      </c>
      <c r="L758">
        <f>'Participant reporting'!L985</f>
        <v>0</v>
      </c>
      <c r="M758">
        <f>'Participant reporting'!M985</f>
        <v>0</v>
      </c>
      <c r="N758">
        <f>'Participant reporting'!N985</f>
        <v>0</v>
      </c>
      <c r="O758">
        <f>'Participant reporting'!O985</f>
        <v>0</v>
      </c>
    </row>
    <row r="759" spans="1:15" x14ac:dyDescent="0.25">
      <c r="A759">
        <f>'Participant reporting'!A986</f>
        <v>0</v>
      </c>
      <c r="B759">
        <f>'Participant reporting'!B986</f>
        <v>0</v>
      </c>
      <c r="C759">
        <f>'Participant reporting'!C986</f>
        <v>0</v>
      </c>
      <c r="D759">
        <f>'Participant reporting'!D986</f>
        <v>0</v>
      </c>
      <c r="E759" s="15">
        <f>'Participant reporting'!E986</f>
        <v>0</v>
      </c>
      <c r="F759">
        <f>'Participant reporting'!F986</f>
        <v>0</v>
      </c>
      <c r="G759">
        <f>'Participant reporting'!G986</f>
        <v>0</v>
      </c>
      <c r="H759">
        <f>'Participant reporting'!H986</f>
        <v>0</v>
      </c>
      <c r="I759">
        <f>'Participant reporting'!I986</f>
        <v>0</v>
      </c>
      <c r="J759">
        <f>'Participant reporting'!J986</f>
        <v>0</v>
      </c>
      <c r="K759">
        <f>'Participant reporting'!K986</f>
        <v>0</v>
      </c>
      <c r="L759">
        <f>'Participant reporting'!L986</f>
        <v>0</v>
      </c>
      <c r="M759">
        <f>'Participant reporting'!M986</f>
        <v>0</v>
      </c>
      <c r="N759">
        <f>'Participant reporting'!N986</f>
        <v>0</v>
      </c>
      <c r="O759">
        <f>'Participant reporting'!O986</f>
        <v>0</v>
      </c>
    </row>
    <row r="760" spans="1:15" x14ac:dyDescent="0.25">
      <c r="A760">
        <f>'Participant reporting'!A987</f>
        <v>0</v>
      </c>
      <c r="B760">
        <f>'Participant reporting'!B987</f>
        <v>0</v>
      </c>
      <c r="C760">
        <f>'Participant reporting'!C987</f>
        <v>0</v>
      </c>
      <c r="D760">
        <f>'Participant reporting'!D987</f>
        <v>0</v>
      </c>
      <c r="E760" s="15">
        <f>'Participant reporting'!E987</f>
        <v>0</v>
      </c>
      <c r="F760">
        <f>'Participant reporting'!F987</f>
        <v>0</v>
      </c>
      <c r="G760">
        <f>'Participant reporting'!G987</f>
        <v>0</v>
      </c>
      <c r="H760">
        <f>'Participant reporting'!H987</f>
        <v>0</v>
      </c>
      <c r="I760">
        <f>'Participant reporting'!I987</f>
        <v>0</v>
      </c>
      <c r="J760">
        <f>'Participant reporting'!J987</f>
        <v>0</v>
      </c>
      <c r="K760">
        <f>'Participant reporting'!K987</f>
        <v>0</v>
      </c>
      <c r="L760">
        <f>'Participant reporting'!L987</f>
        <v>0</v>
      </c>
      <c r="M760">
        <f>'Participant reporting'!M987</f>
        <v>0</v>
      </c>
      <c r="N760">
        <f>'Participant reporting'!N987</f>
        <v>0</v>
      </c>
      <c r="O760">
        <f>'Participant reporting'!O987</f>
        <v>0</v>
      </c>
    </row>
    <row r="761" spans="1:15" x14ac:dyDescent="0.25">
      <c r="A761">
        <f>'Participant reporting'!A988</f>
        <v>0</v>
      </c>
      <c r="B761">
        <f>'Participant reporting'!B988</f>
        <v>0</v>
      </c>
      <c r="C761">
        <f>'Participant reporting'!C988</f>
        <v>0</v>
      </c>
      <c r="D761">
        <f>'Participant reporting'!D988</f>
        <v>0</v>
      </c>
      <c r="E761" s="15">
        <f>'Participant reporting'!E988</f>
        <v>0</v>
      </c>
      <c r="F761">
        <f>'Participant reporting'!F988</f>
        <v>0</v>
      </c>
      <c r="G761">
        <f>'Participant reporting'!G988</f>
        <v>0</v>
      </c>
      <c r="H761">
        <f>'Participant reporting'!H988</f>
        <v>0</v>
      </c>
      <c r="I761">
        <f>'Participant reporting'!I988</f>
        <v>0</v>
      </c>
      <c r="J761">
        <f>'Participant reporting'!J988</f>
        <v>0</v>
      </c>
      <c r="K761">
        <f>'Participant reporting'!K988</f>
        <v>0</v>
      </c>
      <c r="L761">
        <f>'Participant reporting'!L988</f>
        <v>0</v>
      </c>
      <c r="M761">
        <f>'Participant reporting'!M988</f>
        <v>0</v>
      </c>
      <c r="N761">
        <f>'Participant reporting'!N988</f>
        <v>0</v>
      </c>
      <c r="O761">
        <f>'Participant reporting'!O988</f>
        <v>0</v>
      </c>
    </row>
    <row r="762" spans="1:15" x14ac:dyDescent="0.25">
      <c r="A762">
        <f>'Participant reporting'!A989</f>
        <v>0</v>
      </c>
      <c r="B762">
        <f>'Participant reporting'!B989</f>
        <v>0</v>
      </c>
      <c r="C762">
        <f>'Participant reporting'!C989</f>
        <v>0</v>
      </c>
      <c r="D762">
        <f>'Participant reporting'!D989</f>
        <v>0</v>
      </c>
      <c r="E762" s="15">
        <f>'Participant reporting'!E989</f>
        <v>0</v>
      </c>
      <c r="F762">
        <f>'Participant reporting'!F989</f>
        <v>0</v>
      </c>
      <c r="G762">
        <f>'Participant reporting'!G989</f>
        <v>0</v>
      </c>
      <c r="H762">
        <f>'Participant reporting'!H989</f>
        <v>0</v>
      </c>
      <c r="I762">
        <f>'Participant reporting'!I989</f>
        <v>0</v>
      </c>
      <c r="J762">
        <f>'Participant reporting'!J989</f>
        <v>0</v>
      </c>
      <c r="K762">
        <f>'Participant reporting'!K989</f>
        <v>0</v>
      </c>
      <c r="L762">
        <f>'Participant reporting'!L989</f>
        <v>0</v>
      </c>
      <c r="M762">
        <f>'Participant reporting'!M989</f>
        <v>0</v>
      </c>
      <c r="N762">
        <f>'Participant reporting'!N989</f>
        <v>0</v>
      </c>
      <c r="O762">
        <f>'Participant reporting'!O989</f>
        <v>0</v>
      </c>
    </row>
    <row r="763" spans="1:15" x14ac:dyDescent="0.25">
      <c r="A763">
        <f>'Participant reporting'!A990</f>
        <v>0</v>
      </c>
      <c r="B763">
        <f>'Participant reporting'!B990</f>
        <v>0</v>
      </c>
      <c r="C763">
        <f>'Participant reporting'!C990</f>
        <v>0</v>
      </c>
      <c r="D763">
        <f>'Participant reporting'!D990</f>
        <v>0</v>
      </c>
      <c r="E763" s="15">
        <f>'Participant reporting'!E990</f>
        <v>0</v>
      </c>
      <c r="F763">
        <f>'Participant reporting'!F990</f>
        <v>0</v>
      </c>
      <c r="G763">
        <f>'Participant reporting'!G990</f>
        <v>0</v>
      </c>
      <c r="H763">
        <f>'Participant reporting'!H990</f>
        <v>0</v>
      </c>
      <c r="I763">
        <f>'Participant reporting'!I990</f>
        <v>0</v>
      </c>
      <c r="J763">
        <f>'Participant reporting'!J990</f>
        <v>0</v>
      </c>
      <c r="K763">
        <f>'Participant reporting'!K990</f>
        <v>0</v>
      </c>
      <c r="L763">
        <f>'Participant reporting'!L990</f>
        <v>0</v>
      </c>
      <c r="M763">
        <f>'Participant reporting'!M990</f>
        <v>0</v>
      </c>
      <c r="N763">
        <f>'Participant reporting'!N990</f>
        <v>0</v>
      </c>
      <c r="O763">
        <f>'Participant reporting'!O990</f>
        <v>0</v>
      </c>
    </row>
    <row r="764" spans="1:15" x14ac:dyDescent="0.25">
      <c r="A764">
        <f>'Participant reporting'!A991</f>
        <v>0</v>
      </c>
      <c r="B764">
        <f>'Participant reporting'!B991</f>
        <v>0</v>
      </c>
      <c r="C764">
        <f>'Participant reporting'!C991</f>
        <v>0</v>
      </c>
      <c r="D764">
        <f>'Participant reporting'!D991</f>
        <v>0</v>
      </c>
      <c r="E764" s="15">
        <f>'Participant reporting'!E991</f>
        <v>0</v>
      </c>
      <c r="F764">
        <f>'Participant reporting'!F991</f>
        <v>0</v>
      </c>
      <c r="G764">
        <f>'Participant reporting'!G991</f>
        <v>0</v>
      </c>
      <c r="H764">
        <f>'Participant reporting'!H991</f>
        <v>0</v>
      </c>
      <c r="I764">
        <f>'Participant reporting'!I991</f>
        <v>0</v>
      </c>
      <c r="J764">
        <f>'Participant reporting'!J991</f>
        <v>0</v>
      </c>
      <c r="K764">
        <f>'Participant reporting'!K991</f>
        <v>0</v>
      </c>
      <c r="L764">
        <f>'Participant reporting'!L991</f>
        <v>0</v>
      </c>
      <c r="M764">
        <f>'Participant reporting'!M991</f>
        <v>0</v>
      </c>
      <c r="N764">
        <f>'Participant reporting'!N991</f>
        <v>0</v>
      </c>
      <c r="O764">
        <f>'Participant reporting'!O991</f>
        <v>0</v>
      </c>
    </row>
    <row r="765" spans="1:15" x14ac:dyDescent="0.25">
      <c r="A765">
        <f>'Participant reporting'!A992</f>
        <v>0</v>
      </c>
      <c r="B765">
        <f>'Participant reporting'!B992</f>
        <v>0</v>
      </c>
      <c r="C765">
        <f>'Participant reporting'!C992</f>
        <v>0</v>
      </c>
      <c r="D765">
        <f>'Participant reporting'!D992</f>
        <v>0</v>
      </c>
      <c r="E765" s="15">
        <f>'Participant reporting'!E992</f>
        <v>0</v>
      </c>
      <c r="F765">
        <f>'Participant reporting'!F992</f>
        <v>0</v>
      </c>
      <c r="G765">
        <f>'Participant reporting'!G992</f>
        <v>0</v>
      </c>
      <c r="H765">
        <f>'Participant reporting'!H992</f>
        <v>0</v>
      </c>
      <c r="I765">
        <f>'Participant reporting'!I992</f>
        <v>0</v>
      </c>
      <c r="J765">
        <f>'Participant reporting'!J992</f>
        <v>0</v>
      </c>
      <c r="K765">
        <f>'Participant reporting'!K992</f>
        <v>0</v>
      </c>
      <c r="L765">
        <f>'Participant reporting'!L992</f>
        <v>0</v>
      </c>
      <c r="M765">
        <f>'Participant reporting'!M992</f>
        <v>0</v>
      </c>
      <c r="N765">
        <f>'Participant reporting'!N992</f>
        <v>0</v>
      </c>
      <c r="O765">
        <f>'Participant reporting'!O992</f>
        <v>0</v>
      </c>
    </row>
    <row r="766" spans="1:15" x14ac:dyDescent="0.25">
      <c r="A766">
        <f>'Participant reporting'!A993</f>
        <v>0</v>
      </c>
      <c r="B766">
        <f>'Participant reporting'!B993</f>
        <v>0</v>
      </c>
      <c r="C766">
        <f>'Participant reporting'!C993</f>
        <v>0</v>
      </c>
      <c r="D766">
        <f>'Participant reporting'!D993</f>
        <v>0</v>
      </c>
      <c r="E766" s="15">
        <f>'Participant reporting'!E993</f>
        <v>0</v>
      </c>
      <c r="F766">
        <f>'Participant reporting'!F993</f>
        <v>0</v>
      </c>
      <c r="G766">
        <f>'Participant reporting'!G993</f>
        <v>0</v>
      </c>
      <c r="H766">
        <f>'Participant reporting'!H993</f>
        <v>0</v>
      </c>
      <c r="I766">
        <f>'Participant reporting'!I993</f>
        <v>0</v>
      </c>
      <c r="J766">
        <f>'Participant reporting'!J993</f>
        <v>0</v>
      </c>
      <c r="K766">
        <f>'Participant reporting'!K993</f>
        <v>0</v>
      </c>
      <c r="L766">
        <f>'Participant reporting'!L993</f>
        <v>0</v>
      </c>
      <c r="M766">
        <f>'Participant reporting'!M993</f>
        <v>0</v>
      </c>
      <c r="N766">
        <f>'Participant reporting'!N993</f>
        <v>0</v>
      </c>
      <c r="O766">
        <f>'Participant reporting'!O993</f>
        <v>0</v>
      </c>
    </row>
    <row r="767" spans="1:15" x14ac:dyDescent="0.25">
      <c r="A767">
        <f>'Participant reporting'!A994</f>
        <v>0</v>
      </c>
      <c r="B767">
        <f>'Participant reporting'!B994</f>
        <v>0</v>
      </c>
      <c r="C767">
        <f>'Participant reporting'!C994</f>
        <v>0</v>
      </c>
      <c r="D767">
        <f>'Participant reporting'!D994</f>
        <v>0</v>
      </c>
      <c r="E767" s="15">
        <f>'Participant reporting'!E994</f>
        <v>0</v>
      </c>
      <c r="F767">
        <f>'Participant reporting'!F994</f>
        <v>0</v>
      </c>
      <c r="G767">
        <f>'Participant reporting'!G994</f>
        <v>0</v>
      </c>
      <c r="H767">
        <f>'Participant reporting'!H994</f>
        <v>0</v>
      </c>
      <c r="I767">
        <f>'Participant reporting'!I994</f>
        <v>0</v>
      </c>
      <c r="J767">
        <f>'Participant reporting'!J994</f>
        <v>0</v>
      </c>
      <c r="K767">
        <f>'Participant reporting'!K994</f>
        <v>0</v>
      </c>
      <c r="L767">
        <f>'Participant reporting'!L994</f>
        <v>0</v>
      </c>
      <c r="M767">
        <f>'Participant reporting'!M994</f>
        <v>0</v>
      </c>
      <c r="N767">
        <f>'Participant reporting'!N994</f>
        <v>0</v>
      </c>
      <c r="O767">
        <f>'Participant reporting'!O994</f>
        <v>0</v>
      </c>
    </row>
    <row r="768" spans="1:15" x14ac:dyDescent="0.25">
      <c r="A768">
        <f>'Participant reporting'!A995</f>
        <v>0</v>
      </c>
      <c r="B768">
        <f>'Participant reporting'!B995</f>
        <v>0</v>
      </c>
      <c r="C768">
        <f>'Participant reporting'!C995</f>
        <v>0</v>
      </c>
      <c r="D768">
        <f>'Participant reporting'!D995</f>
        <v>0</v>
      </c>
      <c r="E768" s="15">
        <f>'Participant reporting'!E995</f>
        <v>0</v>
      </c>
      <c r="F768">
        <f>'Participant reporting'!F995</f>
        <v>0</v>
      </c>
      <c r="G768">
        <f>'Participant reporting'!G995</f>
        <v>0</v>
      </c>
      <c r="H768">
        <f>'Participant reporting'!H995</f>
        <v>0</v>
      </c>
      <c r="I768">
        <f>'Participant reporting'!I995</f>
        <v>0</v>
      </c>
      <c r="J768">
        <f>'Participant reporting'!J995</f>
        <v>0</v>
      </c>
      <c r="K768">
        <f>'Participant reporting'!K995</f>
        <v>0</v>
      </c>
      <c r="L768">
        <f>'Participant reporting'!L995</f>
        <v>0</v>
      </c>
      <c r="M768">
        <f>'Participant reporting'!M995</f>
        <v>0</v>
      </c>
      <c r="N768">
        <f>'Participant reporting'!N995</f>
        <v>0</v>
      </c>
      <c r="O768">
        <f>'Participant reporting'!O995</f>
        <v>0</v>
      </c>
    </row>
    <row r="769" spans="1:15" x14ac:dyDescent="0.25">
      <c r="A769">
        <f>'Participant reporting'!A996</f>
        <v>0</v>
      </c>
      <c r="B769">
        <f>'Participant reporting'!B996</f>
        <v>0</v>
      </c>
      <c r="C769">
        <f>'Participant reporting'!C996</f>
        <v>0</v>
      </c>
      <c r="D769">
        <f>'Participant reporting'!D996</f>
        <v>0</v>
      </c>
      <c r="E769" s="15">
        <f>'Participant reporting'!E996</f>
        <v>0</v>
      </c>
      <c r="F769">
        <f>'Participant reporting'!F996</f>
        <v>0</v>
      </c>
      <c r="G769">
        <f>'Participant reporting'!G996</f>
        <v>0</v>
      </c>
      <c r="H769">
        <f>'Participant reporting'!H996</f>
        <v>0</v>
      </c>
      <c r="I769">
        <f>'Participant reporting'!I996</f>
        <v>0</v>
      </c>
      <c r="J769">
        <f>'Participant reporting'!J996</f>
        <v>0</v>
      </c>
      <c r="K769">
        <f>'Participant reporting'!K996</f>
        <v>0</v>
      </c>
      <c r="L769">
        <f>'Participant reporting'!L996</f>
        <v>0</v>
      </c>
      <c r="M769">
        <f>'Participant reporting'!M996</f>
        <v>0</v>
      </c>
      <c r="N769">
        <f>'Participant reporting'!N996</f>
        <v>0</v>
      </c>
      <c r="O769">
        <f>'Participant reporting'!O996</f>
        <v>0</v>
      </c>
    </row>
    <row r="770" spans="1:15" x14ac:dyDescent="0.25">
      <c r="A770">
        <f>'Participant reporting'!A997</f>
        <v>0</v>
      </c>
      <c r="B770">
        <f>'Participant reporting'!B997</f>
        <v>0</v>
      </c>
      <c r="C770">
        <f>'Participant reporting'!C997</f>
        <v>0</v>
      </c>
      <c r="D770">
        <f>'Participant reporting'!D997</f>
        <v>0</v>
      </c>
      <c r="E770" s="15">
        <f>'Participant reporting'!E997</f>
        <v>0</v>
      </c>
      <c r="F770">
        <f>'Participant reporting'!F997</f>
        <v>0</v>
      </c>
      <c r="G770">
        <f>'Participant reporting'!G997</f>
        <v>0</v>
      </c>
      <c r="H770">
        <f>'Participant reporting'!H997</f>
        <v>0</v>
      </c>
      <c r="I770">
        <f>'Participant reporting'!I997</f>
        <v>0</v>
      </c>
      <c r="J770">
        <f>'Participant reporting'!J997</f>
        <v>0</v>
      </c>
      <c r="K770">
        <f>'Participant reporting'!K997</f>
        <v>0</v>
      </c>
      <c r="L770">
        <f>'Participant reporting'!L997</f>
        <v>0</v>
      </c>
      <c r="M770">
        <f>'Participant reporting'!M997</f>
        <v>0</v>
      </c>
      <c r="N770">
        <f>'Participant reporting'!N997</f>
        <v>0</v>
      </c>
      <c r="O770">
        <f>'Participant reporting'!O997</f>
        <v>0</v>
      </c>
    </row>
    <row r="771" spans="1:15" x14ac:dyDescent="0.25">
      <c r="A771">
        <f>'Participant reporting'!A998</f>
        <v>0</v>
      </c>
      <c r="B771">
        <f>'Participant reporting'!B998</f>
        <v>0</v>
      </c>
      <c r="C771">
        <f>'Participant reporting'!C998</f>
        <v>0</v>
      </c>
      <c r="D771">
        <f>'Participant reporting'!D998</f>
        <v>0</v>
      </c>
      <c r="E771" s="15">
        <f>'Participant reporting'!E998</f>
        <v>0</v>
      </c>
      <c r="F771">
        <f>'Participant reporting'!F998</f>
        <v>0</v>
      </c>
      <c r="G771">
        <f>'Participant reporting'!G998</f>
        <v>0</v>
      </c>
      <c r="H771">
        <f>'Participant reporting'!H998</f>
        <v>0</v>
      </c>
      <c r="I771">
        <f>'Participant reporting'!I998</f>
        <v>0</v>
      </c>
      <c r="J771">
        <f>'Participant reporting'!J998</f>
        <v>0</v>
      </c>
      <c r="K771">
        <f>'Participant reporting'!K998</f>
        <v>0</v>
      </c>
      <c r="L771">
        <f>'Participant reporting'!L998</f>
        <v>0</v>
      </c>
      <c r="M771">
        <f>'Participant reporting'!M998</f>
        <v>0</v>
      </c>
      <c r="N771">
        <f>'Participant reporting'!N998</f>
        <v>0</v>
      </c>
      <c r="O771">
        <f>'Participant reporting'!O998</f>
        <v>0</v>
      </c>
    </row>
    <row r="772" spans="1:15" x14ac:dyDescent="0.25">
      <c r="A772">
        <f>'Participant reporting'!A999</f>
        <v>0</v>
      </c>
      <c r="B772">
        <f>'Participant reporting'!B999</f>
        <v>0</v>
      </c>
      <c r="C772">
        <f>'Participant reporting'!C999</f>
        <v>0</v>
      </c>
      <c r="D772">
        <f>'Participant reporting'!D999</f>
        <v>0</v>
      </c>
      <c r="E772" s="15">
        <f>'Participant reporting'!E999</f>
        <v>0</v>
      </c>
      <c r="F772">
        <f>'Participant reporting'!F999</f>
        <v>0</v>
      </c>
      <c r="G772">
        <f>'Participant reporting'!G999</f>
        <v>0</v>
      </c>
      <c r="H772">
        <f>'Participant reporting'!H999</f>
        <v>0</v>
      </c>
      <c r="I772">
        <f>'Participant reporting'!I999</f>
        <v>0</v>
      </c>
      <c r="J772">
        <f>'Participant reporting'!J999</f>
        <v>0</v>
      </c>
      <c r="K772">
        <f>'Participant reporting'!K999</f>
        <v>0</v>
      </c>
      <c r="L772">
        <f>'Participant reporting'!L999</f>
        <v>0</v>
      </c>
      <c r="M772">
        <f>'Participant reporting'!M999</f>
        <v>0</v>
      </c>
      <c r="N772">
        <f>'Participant reporting'!N999</f>
        <v>0</v>
      </c>
      <c r="O772">
        <f>'Participant reporting'!O999</f>
        <v>0</v>
      </c>
    </row>
    <row r="773" spans="1:15" x14ac:dyDescent="0.25">
      <c r="A773">
        <f>'Participant reporting'!A1000</f>
        <v>0</v>
      </c>
      <c r="B773">
        <f>'Participant reporting'!B1000</f>
        <v>0</v>
      </c>
      <c r="C773">
        <f>'Participant reporting'!C1000</f>
        <v>0</v>
      </c>
      <c r="D773">
        <f>'Participant reporting'!D1000</f>
        <v>0</v>
      </c>
      <c r="E773" s="15">
        <f>'Participant reporting'!E1000</f>
        <v>0</v>
      </c>
      <c r="F773">
        <f>'Participant reporting'!F1000</f>
        <v>0</v>
      </c>
      <c r="G773">
        <f>'Participant reporting'!G1000</f>
        <v>0</v>
      </c>
      <c r="H773">
        <f>'Participant reporting'!H1000</f>
        <v>0</v>
      </c>
      <c r="I773">
        <f>'Participant reporting'!I1000</f>
        <v>0</v>
      </c>
      <c r="J773">
        <f>'Participant reporting'!J1000</f>
        <v>0</v>
      </c>
      <c r="K773">
        <f>'Participant reporting'!K1000</f>
        <v>0</v>
      </c>
      <c r="L773">
        <f>'Participant reporting'!L1000</f>
        <v>0</v>
      </c>
      <c r="M773">
        <f>'Participant reporting'!M1000</f>
        <v>0</v>
      </c>
      <c r="N773">
        <f>'Participant reporting'!N1000</f>
        <v>0</v>
      </c>
      <c r="O773">
        <f>'Participant reporting'!O1000</f>
        <v>0</v>
      </c>
    </row>
    <row r="774" spans="1:15" x14ac:dyDescent="0.25">
      <c r="A774">
        <f>'Participant reporting'!A1001</f>
        <v>0</v>
      </c>
      <c r="B774">
        <f>'Participant reporting'!B1001</f>
        <v>0</v>
      </c>
      <c r="C774">
        <f>'Participant reporting'!C1001</f>
        <v>0</v>
      </c>
      <c r="D774">
        <f>'Participant reporting'!D1001</f>
        <v>0</v>
      </c>
      <c r="E774" s="15">
        <f>'Participant reporting'!E1001</f>
        <v>0</v>
      </c>
      <c r="F774">
        <f>'Participant reporting'!F1001</f>
        <v>0</v>
      </c>
      <c r="G774">
        <f>'Participant reporting'!G1001</f>
        <v>0</v>
      </c>
      <c r="H774">
        <f>'Participant reporting'!H1001</f>
        <v>0</v>
      </c>
      <c r="I774">
        <f>'Participant reporting'!I1001</f>
        <v>0</v>
      </c>
      <c r="J774">
        <f>'Participant reporting'!J1001</f>
        <v>0</v>
      </c>
      <c r="K774">
        <f>'Participant reporting'!K1001</f>
        <v>0</v>
      </c>
      <c r="L774">
        <f>'Participant reporting'!L1001</f>
        <v>0</v>
      </c>
      <c r="M774">
        <f>'Participant reporting'!M1001</f>
        <v>0</v>
      </c>
      <c r="N774">
        <f>'Participant reporting'!N1001</f>
        <v>0</v>
      </c>
      <c r="O774">
        <f>'Participant reporting'!O1001</f>
        <v>0</v>
      </c>
    </row>
    <row r="775" spans="1:15" x14ac:dyDescent="0.25">
      <c r="A775">
        <f>'Participant reporting'!A1002</f>
        <v>0</v>
      </c>
      <c r="B775">
        <f>'Participant reporting'!B1002</f>
        <v>0</v>
      </c>
      <c r="C775">
        <f>'Participant reporting'!C1002</f>
        <v>0</v>
      </c>
      <c r="D775">
        <f>'Participant reporting'!D1002</f>
        <v>0</v>
      </c>
      <c r="E775" s="15">
        <f>'Participant reporting'!E1002</f>
        <v>0</v>
      </c>
      <c r="F775">
        <f>'Participant reporting'!F1002</f>
        <v>0</v>
      </c>
      <c r="G775">
        <f>'Participant reporting'!G1002</f>
        <v>0</v>
      </c>
      <c r="H775">
        <f>'Participant reporting'!H1002</f>
        <v>0</v>
      </c>
      <c r="I775">
        <f>'Participant reporting'!I1002</f>
        <v>0</v>
      </c>
      <c r="J775">
        <f>'Participant reporting'!J1002</f>
        <v>0</v>
      </c>
      <c r="K775">
        <f>'Participant reporting'!K1002</f>
        <v>0</v>
      </c>
      <c r="L775">
        <f>'Participant reporting'!L1002</f>
        <v>0</v>
      </c>
      <c r="M775">
        <f>'Participant reporting'!M1002</f>
        <v>0</v>
      </c>
      <c r="N775">
        <f>'Participant reporting'!N1002</f>
        <v>0</v>
      </c>
      <c r="O775">
        <f>'Participant reporting'!O1002</f>
        <v>0</v>
      </c>
    </row>
    <row r="776" spans="1:15" x14ac:dyDescent="0.25">
      <c r="A776">
        <f>'Participant reporting'!A1003</f>
        <v>0</v>
      </c>
      <c r="B776">
        <f>'Participant reporting'!B1003</f>
        <v>0</v>
      </c>
      <c r="C776">
        <f>'Participant reporting'!C1003</f>
        <v>0</v>
      </c>
      <c r="D776">
        <f>'Participant reporting'!D1003</f>
        <v>0</v>
      </c>
      <c r="E776" s="15">
        <f>'Participant reporting'!E1003</f>
        <v>0</v>
      </c>
      <c r="F776">
        <f>'Participant reporting'!F1003</f>
        <v>0</v>
      </c>
      <c r="G776">
        <f>'Participant reporting'!G1003</f>
        <v>0</v>
      </c>
      <c r="H776">
        <f>'Participant reporting'!H1003</f>
        <v>0</v>
      </c>
      <c r="I776">
        <f>'Participant reporting'!I1003</f>
        <v>0</v>
      </c>
      <c r="J776">
        <f>'Participant reporting'!J1003</f>
        <v>0</v>
      </c>
      <c r="K776">
        <f>'Participant reporting'!K1003</f>
        <v>0</v>
      </c>
      <c r="L776">
        <f>'Participant reporting'!L1003</f>
        <v>0</v>
      </c>
      <c r="M776">
        <f>'Participant reporting'!M1003</f>
        <v>0</v>
      </c>
      <c r="N776">
        <f>'Participant reporting'!N1003</f>
        <v>0</v>
      </c>
      <c r="O776">
        <f>'Participant reporting'!O1003</f>
        <v>0</v>
      </c>
    </row>
    <row r="777" spans="1:15" x14ac:dyDescent="0.25">
      <c r="A777">
        <f>'Participant reporting'!A1004</f>
        <v>0</v>
      </c>
      <c r="B777">
        <f>'Participant reporting'!B1004</f>
        <v>0</v>
      </c>
      <c r="C777">
        <f>'Participant reporting'!C1004</f>
        <v>0</v>
      </c>
      <c r="D777">
        <f>'Participant reporting'!D1004</f>
        <v>0</v>
      </c>
      <c r="E777" s="15">
        <f>'Participant reporting'!E1004</f>
        <v>0</v>
      </c>
      <c r="F777">
        <f>'Participant reporting'!F1004</f>
        <v>0</v>
      </c>
      <c r="G777">
        <f>'Participant reporting'!G1004</f>
        <v>0</v>
      </c>
      <c r="H777">
        <f>'Participant reporting'!H1004</f>
        <v>0</v>
      </c>
      <c r="I777">
        <f>'Participant reporting'!I1004</f>
        <v>0</v>
      </c>
      <c r="J777">
        <f>'Participant reporting'!J1004</f>
        <v>0</v>
      </c>
      <c r="K777">
        <f>'Participant reporting'!K1004</f>
        <v>0</v>
      </c>
      <c r="L777">
        <f>'Participant reporting'!L1004</f>
        <v>0</v>
      </c>
      <c r="M777">
        <f>'Participant reporting'!M1004</f>
        <v>0</v>
      </c>
      <c r="N777">
        <f>'Participant reporting'!N1004</f>
        <v>0</v>
      </c>
      <c r="O777">
        <f>'Participant reporting'!O1004</f>
        <v>0</v>
      </c>
    </row>
    <row r="778" spans="1:15" x14ac:dyDescent="0.25">
      <c r="A778">
        <f>'Participant reporting'!A1005</f>
        <v>0</v>
      </c>
      <c r="B778">
        <f>'Participant reporting'!B1005</f>
        <v>0</v>
      </c>
      <c r="C778">
        <f>'Participant reporting'!C1005</f>
        <v>0</v>
      </c>
      <c r="D778">
        <f>'Participant reporting'!D1005</f>
        <v>0</v>
      </c>
      <c r="E778" s="15">
        <f>'Participant reporting'!E1005</f>
        <v>0</v>
      </c>
      <c r="F778">
        <f>'Participant reporting'!F1005</f>
        <v>0</v>
      </c>
      <c r="G778">
        <f>'Participant reporting'!G1005</f>
        <v>0</v>
      </c>
      <c r="H778">
        <f>'Participant reporting'!H1005</f>
        <v>0</v>
      </c>
      <c r="I778">
        <f>'Participant reporting'!I1005</f>
        <v>0</v>
      </c>
      <c r="J778">
        <f>'Participant reporting'!J1005</f>
        <v>0</v>
      </c>
      <c r="K778">
        <f>'Participant reporting'!K1005</f>
        <v>0</v>
      </c>
      <c r="L778">
        <f>'Participant reporting'!L1005</f>
        <v>0</v>
      </c>
      <c r="M778">
        <f>'Participant reporting'!M1005</f>
        <v>0</v>
      </c>
      <c r="N778">
        <f>'Participant reporting'!N1005</f>
        <v>0</v>
      </c>
      <c r="O778">
        <f>'Participant reporting'!O1005</f>
        <v>0</v>
      </c>
    </row>
    <row r="779" spans="1:15" x14ac:dyDescent="0.25">
      <c r="A779">
        <f>'Participant reporting'!A1006</f>
        <v>0</v>
      </c>
      <c r="B779">
        <f>'Participant reporting'!B1006</f>
        <v>0</v>
      </c>
      <c r="C779">
        <f>'Participant reporting'!C1006</f>
        <v>0</v>
      </c>
      <c r="D779">
        <f>'Participant reporting'!D1006</f>
        <v>0</v>
      </c>
      <c r="E779" s="15">
        <f>'Participant reporting'!E1006</f>
        <v>0</v>
      </c>
      <c r="F779">
        <f>'Participant reporting'!F1006</f>
        <v>0</v>
      </c>
      <c r="G779">
        <f>'Participant reporting'!G1006</f>
        <v>0</v>
      </c>
      <c r="H779">
        <f>'Participant reporting'!H1006</f>
        <v>0</v>
      </c>
      <c r="I779">
        <f>'Participant reporting'!I1006</f>
        <v>0</v>
      </c>
      <c r="J779">
        <f>'Participant reporting'!J1006</f>
        <v>0</v>
      </c>
      <c r="K779">
        <f>'Participant reporting'!K1006</f>
        <v>0</v>
      </c>
      <c r="L779">
        <f>'Participant reporting'!L1006</f>
        <v>0</v>
      </c>
      <c r="M779">
        <f>'Participant reporting'!M1006</f>
        <v>0</v>
      </c>
      <c r="N779">
        <f>'Participant reporting'!N1006</f>
        <v>0</v>
      </c>
      <c r="O779">
        <f>'Participant reporting'!O1006</f>
        <v>0</v>
      </c>
    </row>
    <row r="780" spans="1:15" x14ac:dyDescent="0.25">
      <c r="A780">
        <f>'Participant reporting'!A1007</f>
        <v>0</v>
      </c>
      <c r="B780">
        <f>'Participant reporting'!B1007</f>
        <v>0</v>
      </c>
      <c r="C780">
        <f>'Participant reporting'!C1007</f>
        <v>0</v>
      </c>
      <c r="D780">
        <f>'Participant reporting'!D1007</f>
        <v>0</v>
      </c>
      <c r="E780" s="15">
        <f>'Participant reporting'!E1007</f>
        <v>0</v>
      </c>
      <c r="F780">
        <f>'Participant reporting'!F1007</f>
        <v>0</v>
      </c>
      <c r="G780">
        <f>'Participant reporting'!G1007</f>
        <v>0</v>
      </c>
      <c r="H780">
        <f>'Participant reporting'!H1007</f>
        <v>0</v>
      </c>
      <c r="I780">
        <f>'Participant reporting'!I1007</f>
        <v>0</v>
      </c>
      <c r="J780">
        <f>'Participant reporting'!J1007</f>
        <v>0</v>
      </c>
      <c r="K780">
        <f>'Participant reporting'!K1007</f>
        <v>0</v>
      </c>
      <c r="L780">
        <f>'Participant reporting'!L1007</f>
        <v>0</v>
      </c>
      <c r="M780">
        <f>'Participant reporting'!M1007</f>
        <v>0</v>
      </c>
      <c r="N780">
        <f>'Participant reporting'!N1007</f>
        <v>0</v>
      </c>
      <c r="O780">
        <f>'Participant reporting'!O1007</f>
        <v>0</v>
      </c>
    </row>
    <row r="781" spans="1:15" x14ac:dyDescent="0.25">
      <c r="A781">
        <f>'Participant reporting'!A1008</f>
        <v>0</v>
      </c>
      <c r="B781">
        <f>'Participant reporting'!B1008</f>
        <v>0</v>
      </c>
      <c r="C781">
        <f>'Participant reporting'!C1008</f>
        <v>0</v>
      </c>
      <c r="D781">
        <f>'Participant reporting'!D1008</f>
        <v>0</v>
      </c>
      <c r="E781" s="15">
        <f>'Participant reporting'!E1008</f>
        <v>0</v>
      </c>
      <c r="F781">
        <f>'Participant reporting'!F1008</f>
        <v>0</v>
      </c>
      <c r="G781">
        <f>'Participant reporting'!G1008</f>
        <v>0</v>
      </c>
      <c r="H781">
        <f>'Participant reporting'!H1008</f>
        <v>0</v>
      </c>
      <c r="I781">
        <f>'Participant reporting'!I1008</f>
        <v>0</v>
      </c>
      <c r="J781">
        <f>'Participant reporting'!J1008</f>
        <v>0</v>
      </c>
      <c r="K781">
        <f>'Participant reporting'!K1008</f>
        <v>0</v>
      </c>
      <c r="L781">
        <f>'Participant reporting'!L1008</f>
        <v>0</v>
      </c>
      <c r="M781">
        <f>'Participant reporting'!M1008</f>
        <v>0</v>
      </c>
      <c r="N781">
        <f>'Participant reporting'!N1008</f>
        <v>0</v>
      </c>
      <c r="O781">
        <f>'Participant reporting'!O1008</f>
        <v>0</v>
      </c>
    </row>
    <row r="782" spans="1:15" x14ac:dyDescent="0.25">
      <c r="A782">
        <f>'Participant reporting'!A1009</f>
        <v>0</v>
      </c>
      <c r="B782">
        <f>'Participant reporting'!B1009</f>
        <v>0</v>
      </c>
      <c r="C782">
        <f>'Participant reporting'!C1009</f>
        <v>0</v>
      </c>
      <c r="D782">
        <f>'Participant reporting'!D1009</f>
        <v>0</v>
      </c>
      <c r="E782" s="15">
        <f>'Participant reporting'!E1009</f>
        <v>0</v>
      </c>
      <c r="F782">
        <f>'Participant reporting'!F1009</f>
        <v>0</v>
      </c>
      <c r="G782">
        <f>'Participant reporting'!G1009</f>
        <v>0</v>
      </c>
      <c r="H782">
        <f>'Participant reporting'!H1009</f>
        <v>0</v>
      </c>
      <c r="I782">
        <f>'Participant reporting'!I1009</f>
        <v>0</v>
      </c>
      <c r="J782">
        <f>'Participant reporting'!J1009</f>
        <v>0</v>
      </c>
      <c r="K782">
        <f>'Participant reporting'!K1009</f>
        <v>0</v>
      </c>
      <c r="L782">
        <f>'Participant reporting'!L1009</f>
        <v>0</v>
      </c>
      <c r="M782">
        <f>'Participant reporting'!M1009</f>
        <v>0</v>
      </c>
      <c r="N782">
        <f>'Participant reporting'!N1009</f>
        <v>0</v>
      </c>
      <c r="O782">
        <f>'Participant reporting'!O1009</f>
        <v>0</v>
      </c>
    </row>
    <row r="783" spans="1:15" x14ac:dyDescent="0.25">
      <c r="A783">
        <f>'Participant reporting'!A1010</f>
        <v>0</v>
      </c>
      <c r="B783">
        <f>'Participant reporting'!B1010</f>
        <v>0</v>
      </c>
      <c r="C783">
        <f>'Participant reporting'!C1010</f>
        <v>0</v>
      </c>
      <c r="D783">
        <f>'Participant reporting'!D1010</f>
        <v>0</v>
      </c>
      <c r="E783" s="15">
        <f>'Participant reporting'!E1010</f>
        <v>0</v>
      </c>
      <c r="F783">
        <f>'Participant reporting'!F1010</f>
        <v>0</v>
      </c>
      <c r="G783">
        <f>'Participant reporting'!G1010</f>
        <v>0</v>
      </c>
      <c r="H783">
        <f>'Participant reporting'!H1010</f>
        <v>0</v>
      </c>
      <c r="I783">
        <f>'Participant reporting'!I1010</f>
        <v>0</v>
      </c>
      <c r="J783">
        <f>'Participant reporting'!J1010</f>
        <v>0</v>
      </c>
      <c r="K783">
        <f>'Participant reporting'!K1010</f>
        <v>0</v>
      </c>
      <c r="L783">
        <f>'Participant reporting'!L1010</f>
        <v>0</v>
      </c>
      <c r="M783">
        <f>'Participant reporting'!M1010</f>
        <v>0</v>
      </c>
      <c r="N783">
        <f>'Participant reporting'!N1010</f>
        <v>0</v>
      </c>
      <c r="O783">
        <f>'Participant reporting'!O1010</f>
        <v>0</v>
      </c>
    </row>
    <row r="784" spans="1:15" x14ac:dyDescent="0.25">
      <c r="A784">
        <f>'Participant reporting'!A1011</f>
        <v>0</v>
      </c>
      <c r="B784">
        <f>'Participant reporting'!B1011</f>
        <v>0</v>
      </c>
      <c r="C784">
        <f>'Participant reporting'!C1011</f>
        <v>0</v>
      </c>
      <c r="D784">
        <f>'Participant reporting'!D1011</f>
        <v>0</v>
      </c>
      <c r="E784" s="15">
        <f>'Participant reporting'!E1011</f>
        <v>0</v>
      </c>
      <c r="F784">
        <f>'Participant reporting'!F1011</f>
        <v>0</v>
      </c>
      <c r="G784">
        <f>'Participant reporting'!G1011</f>
        <v>0</v>
      </c>
      <c r="H784">
        <f>'Participant reporting'!H1011</f>
        <v>0</v>
      </c>
      <c r="I784">
        <f>'Participant reporting'!I1011</f>
        <v>0</v>
      </c>
      <c r="J784">
        <f>'Participant reporting'!J1011</f>
        <v>0</v>
      </c>
      <c r="K784">
        <f>'Participant reporting'!K1011</f>
        <v>0</v>
      </c>
      <c r="L784">
        <f>'Participant reporting'!L1011</f>
        <v>0</v>
      </c>
      <c r="M784">
        <f>'Participant reporting'!M1011</f>
        <v>0</v>
      </c>
      <c r="N784">
        <f>'Participant reporting'!N1011</f>
        <v>0</v>
      </c>
      <c r="O784">
        <f>'Participant reporting'!O1011</f>
        <v>0</v>
      </c>
    </row>
    <row r="785" spans="1:15" x14ac:dyDescent="0.25">
      <c r="A785">
        <f>'Participant reporting'!A1012</f>
        <v>0</v>
      </c>
      <c r="B785">
        <f>'Participant reporting'!B1012</f>
        <v>0</v>
      </c>
      <c r="C785">
        <f>'Participant reporting'!C1012</f>
        <v>0</v>
      </c>
      <c r="D785">
        <f>'Participant reporting'!D1012</f>
        <v>0</v>
      </c>
      <c r="E785" s="15">
        <f>'Participant reporting'!E1012</f>
        <v>0</v>
      </c>
      <c r="F785">
        <f>'Participant reporting'!F1012</f>
        <v>0</v>
      </c>
      <c r="G785">
        <f>'Participant reporting'!G1012</f>
        <v>0</v>
      </c>
      <c r="H785">
        <f>'Participant reporting'!H1012</f>
        <v>0</v>
      </c>
      <c r="I785">
        <f>'Participant reporting'!I1012</f>
        <v>0</v>
      </c>
      <c r="J785">
        <f>'Participant reporting'!J1012</f>
        <v>0</v>
      </c>
      <c r="K785">
        <f>'Participant reporting'!K1012</f>
        <v>0</v>
      </c>
      <c r="L785">
        <f>'Participant reporting'!L1012</f>
        <v>0</v>
      </c>
      <c r="M785">
        <f>'Participant reporting'!M1012</f>
        <v>0</v>
      </c>
      <c r="N785">
        <f>'Participant reporting'!N1012</f>
        <v>0</v>
      </c>
      <c r="O785">
        <f>'Participant reporting'!O1012</f>
        <v>0</v>
      </c>
    </row>
    <row r="786" spans="1:15" x14ac:dyDescent="0.25">
      <c r="A786">
        <f>'Participant reporting'!A1013</f>
        <v>0</v>
      </c>
      <c r="B786">
        <f>'Participant reporting'!B1013</f>
        <v>0</v>
      </c>
      <c r="C786">
        <f>'Participant reporting'!C1013</f>
        <v>0</v>
      </c>
      <c r="D786">
        <f>'Participant reporting'!D1013</f>
        <v>0</v>
      </c>
      <c r="E786" s="15">
        <f>'Participant reporting'!E1013</f>
        <v>0</v>
      </c>
      <c r="F786">
        <f>'Participant reporting'!F1013</f>
        <v>0</v>
      </c>
      <c r="G786">
        <f>'Participant reporting'!G1013</f>
        <v>0</v>
      </c>
      <c r="H786">
        <f>'Participant reporting'!H1013</f>
        <v>0</v>
      </c>
      <c r="I786">
        <f>'Participant reporting'!I1013</f>
        <v>0</v>
      </c>
      <c r="J786">
        <f>'Participant reporting'!J1013</f>
        <v>0</v>
      </c>
      <c r="K786">
        <f>'Participant reporting'!K1013</f>
        <v>0</v>
      </c>
      <c r="L786">
        <f>'Participant reporting'!L1013</f>
        <v>0</v>
      </c>
      <c r="M786">
        <f>'Participant reporting'!M1013</f>
        <v>0</v>
      </c>
      <c r="N786">
        <f>'Participant reporting'!N1013</f>
        <v>0</v>
      </c>
      <c r="O786">
        <f>'Participant reporting'!O1013</f>
        <v>0</v>
      </c>
    </row>
    <row r="787" spans="1:15" x14ac:dyDescent="0.25">
      <c r="A787">
        <f>'Participant reporting'!A1014</f>
        <v>0</v>
      </c>
      <c r="B787">
        <f>'Participant reporting'!B1014</f>
        <v>0</v>
      </c>
      <c r="C787">
        <f>'Participant reporting'!C1014</f>
        <v>0</v>
      </c>
      <c r="D787">
        <f>'Participant reporting'!D1014</f>
        <v>0</v>
      </c>
      <c r="E787" s="15">
        <f>'Participant reporting'!E1014</f>
        <v>0</v>
      </c>
      <c r="F787">
        <f>'Participant reporting'!F1014</f>
        <v>0</v>
      </c>
      <c r="G787">
        <f>'Participant reporting'!G1014</f>
        <v>0</v>
      </c>
      <c r="H787">
        <f>'Participant reporting'!H1014</f>
        <v>0</v>
      </c>
      <c r="I787">
        <f>'Participant reporting'!I1014</f>
        <v>0</v>
      </c>
      <c r="J787">
        <f>'Participant reporting'!J1014</f>
        <v>0</v>
      </c>
      <c r="K787">
        <f>'Participant reporting'!K1014</f>
        <v>0</v>
      </c>
      <c r="L787">
        <f>'Participant reporting'!L1014</f>
        <v>0</v>
      </c>
      <c r="M787">
        <f>'Participant reporting'!M1014</f>
        <v>0</v>
      </c>
      <c r="N787">
        <f>'Participant reporting'!N1014</f>
        <v>0</v>
      </c>
      <c r="O787">
        <f>'Participant reporting'!O1014</f>
        <v>0</v>
      </c>
    </row>
    <row r="788" spans="1:15" x14ac:dyDescent="0.25">
      <c r="A788">
        <f>'Participant reporting'!A1015</f>
        <v>0</v>
      </c>
      <c r="B788">
        <f>'Participant reporting'!B1015</f>
        <v>0</v>
      </c>
      <c r="C788">
        <f>'Participant reporting'!C1015</f>
        <v>0</v>
      </c>
      <c r="D788">
        <f>'Participant reporting'!D1015</f>
        <v>0</v>
      </c>
      <c r="E788" s="15">
        <f>'Participant reporting'!E1015</f>
        <v>0</v>
      </c>
      <c r="F788">
        <f>'Participant reporting'!F1015</f>
        <v>0</v>
      </c>
      <c r="G788">
        <f>'Participant reporting'!G1015</f>
        <v>0</v>
      </c>
      <c r="H788">
        <f>'Participant reporting'!H1015</f>
        <v>0</v>
      </c>
      <c r="I788">
        <f>'Participant reporting'!I1015</f>
        <v>0</v>
      </c>
      <c r="J788">
        <f>'Participant reporting'!J1015</f>
        <v>0</v>
      </c>
      <c r="K788">
        <f>'Participant reporting'!K1015</f>
        <v>0</v>
      </c>
      <c r="L788">
        <f>'Participant reporting'!L1015</f>
        <v>0</v>
      </c>
      <c r="M788">
        <f>'Participant reporting'!M1015</f>
        <v>0</v>
      </c>
      <c r="N788">
        <f>'Participant reporting'!N1015</f>
        <v>0</v>
      </c>
      <c r="O788">
        <f>'Participant reporting'!O1015</f>
        <v>0</v>
      </c>
    </row>
    <row r="789" spans="1:15" x14ac:dyDescent="0.25">
      <c r="A789">
        <f>'Participant reporting'!A1016</f>
        <v>0</v>
      </c>
      <c r="B789">
        <f>'Participant reporting'!B1016</f>
        <v>0</v>
      </c>
      <c r="C789">
        <f>'Participant reporting'!C1016</f>
        <v>0</v>
      </c>
      <c r="D789">
        <f>'Participant reporting'!D1016</f>
        <v>0</v>
      </c>
      <c r="E789" s="15">
        <f>'Participant reporting'!E1016</f>
        <v>0</v>
      </c>
      <c r="F789">
        <f>'Participant reporting'!F1016</f>
        <v>0</v>
      </c>
      <c r="G789">
        <f>'Participant reporting'!G1016</f>
        <v>0</v>
      </c>
      <c r="H789">
        <f>'Participant reporting'!H1016</f>
        <v>0</v>
      </c>
      <c r="I789">
        <f>'Participant reporting'!I1016</f>
        <v>0</v>
      </c>
      <c r="J789">
        <f>'Participant reporting'!J1016</f>
        <v>0</v>
      </c>
      <c r="K789">
        <f>'Participant reporting'!K1016</f>
        <v>0</v>
      </c>
      <c r="L789">
        <f>'Participant reporting'!L1016</f>
        <v>0</v>
      </c>
      <c r="M789">
        <f>'Participant reporting'!M1016</f>
        <v>0</v>
      </c>
      <c r="N789">
        <f>'Participant reporting'!N1016</f>
        <v>0</v>
      </c>
      <c r="O789">
        <f>'Participant reporting'!O1016</f>
        <v>0</v>
      </c>
    </row>
    <row r="790" spans="1:15" x14ac:dyDescent="0.25">
      <c r="A790">
        <f>'Participant reporting'!A1017</f>
        <v>0</v>
      </c>
      <c r="B790">
        <f>'Participant reporting'!B1017</f>
        <v>0</v>
      </c>
      <c r="C790">
        <f>'Participant reporting'!C1017</f>
        <v>0</v>
      </c>
      <c r="D790">
        <f>'Participant reporting'!D1017</f>
        <v>0</v>
      </c>
      <c r="E790" s="15">
        <f>'Participant reporting'!E1017</f>
        <v>0</v>
      </c>
      <c r="F790">
        <f>'Participant reporting'!F1017</f>
        <v>0</v>
      </c>
      <c r="G790">
        <f>'Participant reporting'!G1017</f>
        <v>0</v>
      </c>
      <c r="H790">
        <f>'Participant reporting'!H1017</f>
        <v>0</v>
      </c>
      <c r="I790">
        <f>'Participant reporting'!I1017</f>
        <v>0</v>
      </c>
      <c r="J790">
        <f>'Participant reporting'!J1017</f>
        <v>0</v>
      </c>
      <c r="K790">
        <f>'Participant reporting'!K1017</f>
        <v>0</v>
      </c>
      <c r="L790">
        <f>'Participant reporting'!L1017</f>
        <v>0</v>
      </c>
      <c r="M790">
        <f>'Participant reporting'!M1017</f>
        <v>0</v>
      </c>
      <c r="N790">
        <f>'Participant reporting'!N1017</f>
        <v>0</v>
      </c>
      <c r="O790">
        <f>'Participant reporting'!O1017</f>
        <v>0</v>
      </c>
    </row>
    <row r="791" spans="1:15" x14ac:dyDescent="0.25">
      <c r="A791">
        <f>'Participant reporting'!A1018</f>
        <v>0</v>
      </c>
      <c r="B791">
        <f>'Participant reporting'!B1018</f>
        <v>0</v>
      </c>
      <c r="C791">
        <f>'Participant reporting'!C1018</f>
        <v>0</v>
      </c>
      <c r="D791">
        <f>'Participant reporting'!D1018</f>
        <v>0</v>
      </c>
      <c r="E791" s="15">
        <f>'Participant reporting'!E1018</f>
        <v>0</v>
      </c>
      <c r="F791">
        <f>'Participant reporting'!F1018</f>
        <v>0</v>
      </c>
      <c r="G791">
        <f>'Participant reporting'!G1018</f>
        <v>0</v>
      </c>
      <c r="H791">
        <f>'Participant reporting'!H1018</f>
        <v>0</v>
      </c>
      <c r="I791">
        <f>'Participant reporting'!I1018</f>
        <v>0</v>
      </c>
      <c r="J791">
        <f>'Participant reporting'!J1018</f>
        <v>0</v>
      </c>
      <c r="K791">
        <f>'Participant reporting'!K1018</f>
        <v>0</v>
      </c>
      <c r="L791">
        <f>'Participant reporting'!L1018</f>
        <v>0</v>
      </c>
      <c r="M791">
        <f>'Participant reporting'!M1018</f>
        <v>0</v>
      </c>
      <c r="N791">
        <f>'Participant reporting'!N1018</f>
        <v>0</v>
      </c>
      <c r="O791">
        <f>'Participant reporting'!O1018</f>
        <v>0</v>
      </c>
    </row>
    <row r="792" spans="1:15" x14ac:dyDescent="0.25">
      <c r="A792">
        <f>'Participant reporting'!A1019</f>
        <v>0</v>
      </c>
      <c r="B792">
        <f>'Participant reporting'!B1019</f>
        <v>0</v>
      </c>
      <c r="C792">
        <f>'Participant reporting'!C1019</f>
        <v>0</v>
      </c>
      <c r="D792">
        <f>'Participant reporting'!D1019</f>
        <v>0</v>
      </c>
      <c r="E792" s="15">
        <f>'Participant reporting'!E1019</f>
        <v>0</v>
      </c>
      <c r="F792">
        <f>'Participant reporting'!F1019</f>
        <v>0</v>
      </c>
      <c r="G792">
        <f>'Participant reporting'!G1019</f>
        <v>0</v>
      </c>
      <c r="H792">
        <f>'Participant reporting'!H1019</f>
        <v>0</v>
      </c>
      <c r="I792">
        <f>'Participant reporting'!I1019</f>
        <v>0</v>
      </c>
      <c r="J792">
        <f>'Participant reporting'!J1019</f>
        <v>0</v>
      </c>
      <c r="K792">
        <f>'Participant reporting'!K1019</f>
        <v>0</v>
      </c>
      <c r="L792">
        <f>'Participant reporting'!L1019</f>
        <v>0</v>
      </c>
      <c r="M792">
        <f>'Participant reporting'!M1019</f>
        <v>0</v>
      </c>
      <c r="N792">
        <f>'Participant reporting'!N1019</f>
        <v>0</v>
      </c>
      <c r="O792">
        <f>'Participant reporting'!O1019</f>
        <v>0</v>
      </c>
    </row>
    <row r="793" spans="1:15" x14ac:dyDescent="0.25">
      <c r="A793">
        <f>'Participant reporting'!A1020</f>
        <v>0</v>
      </c>
      <c r="B793">
        <f>'Participant reporting'!B1020</f>
        <v>0</v>
      </c>
      <c r="C793">
        <f>'Participant reporting'!C1020</f>
        <v>0</v>
      </c>
      <c r="D793">
        <f>'Participant reporting'!D1020</f>
        <v>0</v>
      </c>
      <c r="E793" s="15">
        <f>'Participant reporting'!E1020</f>
        <v>0</v>
      </c>
      <c r="F793">
        <f>'Participant reporting'!F1020</f>
        <v>0</v>
      </c>
      <c r="G793">
        <f>'Participant reporting'!G1020</f>
        <v>0</v>
      </c>
      <c r="H793">
        <f>'Participant reporting'!H1020</f>
        <v>0</v>
      </c>
      <c r="I793">
        <f>'Participant reporting'!I1020</f>
        <v>0</v>
      </c>
      <c r="J793">
        <f>'Participant reporting'!J1020</f>
        <v>0</v>
      </c>
      <c r="K793">
        <f>'Participant reporting'!K1020</f>
        <v>0</v>
      </c>
      <c r="L793">
        <f>'Participant reporting'!L1020</f>
        <v>0</v>
      </c>
      <c r="M793">
        <f>'Participant reporting'!M1020</f>
        <v>0</v>
      </c>
      <c r="N793">
        <f>'Participant reporting'!N1020</f>
        <v>0</v>
      </c>
      <c r="O793">
        <f>'Participant reporting'!O1020</f>
        <v>0</v>
      </c>
    </row>
    <row r="794" spans="1:15" x14ac:dyDescent="0.25">
      <c r="A794">
        <f>'Participant reporting'!A1021</f>
        <v>0</v>
      </c>
      <c r="B794">
        <f>'Participant reporting'!B1021</f>
        <v>0</v>
      </c>
      <c r="C794">
        <f>'Participant reporting'!C1021</f>
        <v>0</v>
      </c>
      <c r="D794">
        <f>'Participant reporting'!D1021</f>
        <v>0</v>
      </c>
      <c r="E794" s="15">
        <f>'Participant reporting'!E1021</f>
        <v>0</v>
      </c>
      <c r="F794">
        <f>'Participant reporting'!F1021</f>
        <v>0</v>
      </c>
      <c r="G794">
        <f>'Participant reporting'!G1021</f>
        <v>0</v>
      </c>
      <c r="H794">
        <f>'Participant reporting'!H1021</f>
        <v>0</v>
      </c>
      <c r="I794">
        <f>'Participant reporting'!I1021</f>
        <v>0</v>
      </c>
      <c r="J794">
        <f>'Participant reporting'!J1021</f>
        <v>0</v>
      </c>
      <c r="K794">
        <f>'Participant reporting'!K1021</f>
        <v>0</v>
      </c>
      <c r="L794">
        <f>'Participant reporting'!L1021</f>
        <v>0</v>
      </c>
      <c r="M794">
        <f>'Participant reporting'!M1021</f>
        <v>0</v>
      </c>
      <c r="N794">
        <f>'Participant reporting'!N1021</f>
        <v>0</v>
      </c>
      <c r="O794">
        <f>'Participant reporting'!O1021</f>
        <v>0</v>
      </c>
    </row>
    <row r="795" spans="1:15" x14ac:dyDescent="0.25">
      <c r="A795">
        <f>'Participant reporting'!A1022</f>
        <v>0</v>
      </c>
      <c r="B795">
        <f>'Participant reporting'!B1022</f>
        <v>0</v>
      </c>
      <c r="C795">
        <f>'Participant reporting'!C1022</f>
        <v>0</v>
      </c>
      <c r="D795">
        <f>'Participant reporting'!D1022</f>
        <v>0</v>
      </c>
      <c r="E795" s="15">
        <f>'Participant reporting'!E1022</f>
        <v>0</v>
      </c>
      <c r="F795">
        <f>'Participant reporting'!F1022</f>
        <v>0</v>
      </c>
      <c r="G795">
        <f>'Participant reporting'!G1022</f>
        <v>0</v>
      </c>
      <c r="H795">
        <f>'Participant reporting'!H1022</f>
        <v>0</v>
      </c>
      <c r="I795">
        <f>'Participant reporting'!I1022</f>
        <v>0</v>
      </c>
      <c r="J795">
        <f>'Participant reporting'!J1022</f>
        <v>0</v>
      </c>
      <c r="K795">
        <f>'Participant reporting'!K1022</f>
        <v>0</v>
      </c>
      <c r="L795">
        <f>'Participant reporting'!L1022</f>
        <v>0</v>
      </c>
      <c r="M795">
        <f>'Participant reporting'!M1022</f>
        <v>0</v>
      </c>
      <c r="N795">
        <f>'Participant reporting'!N1022</f>
        <v>0</v>
      </c>
      <c r="O795">
        <f>'Participant reporting'!O1022</f>
        <v>0</v>
      </c>
    </row>
    <row r="796" spans="1:15" x14ac:dyDescent="0.25">
      <c r="A796">
        <f>'Participant reporting'!A1023</f>
        <v>0</v>
      </c>
      <c r="B796">
        <f>'Participant reporting'!B1023</f>
        <v>0</v>
      </c>
      <c r="C796">
        <f>'Participant reporting'!C1023</f>
        <v>0</v>
      </c>
      <c r="D796">
        <f>'Participant reporting'!D1023</f>
        <v>0</v>
      </c>
      <c r="E796" s="15">
        <f>'Participant reporting'!E1023</f>
        <v>0</v>
      </c>
      <c r="F796">
        <f>'Participant reporting'!F1023</f>
        <v>0</v>
      </c>
      <c r="G796">
        <f>'Participant reporting'!G1023</f>
        <v>0</v>
      </c>
      <c r="H796">
        <f>'Participant reporting'!H1023</f>
        <v>0</v>
      </c>
      <c r="I796">
        <f>'Participant reporting'!I1023</f>
        <v>0</v>
      </c>
      <c r="J796">
        <f>'Participant reporting'!J1023</f>
        <v>0</v>
      </c>
      <c r="K796">
        <f>'Participant reporting'!K1023</f>
        <v>0</v>
      </c>
      <c r="L796">
        <f>'Participant reporting'!L1023</f>
        <v>0</v>
      </c>
      <c r="M796">
        <f>'Participant reporting'!M1023</f>
        <v>0</v>
      </c>
      <c r="N796">
        <f>'Participant reporting'!N1023</f>
        <v>0</v>
      </c>
      <c r="O796">
        <f>'Participant reporting'!O1023</f>
        <v>0</v>
      </c>
    </row>
    <row r="797" spans="1:15" x14ac:dyDescent="0.25">
      <c r="A797">
        <f>'Participant reporting'!A1024</f>
        <v>0</v>
      </c>
      <c r="B797">
        <f>'Participant reporting'!B1024</f>
        <v>0</v>
      </c>
      <c r="C797">
        <f>'Participant reporting'!C1024</f>
        <v>0</v>
      </c>
      <c r="D797">
        <f>'Participant reporting'!D1024</f>
        <v>0</v>
      </c>
      <c r="E797" s="15">
        <f>'Participant reporting'!E1024</f>
        <v>0</v>
      </c>
      <c r="F797">
        <f>'Participant reporting'!F1024</f>
        <v>0</v>
      </c>
      <c r="G797">
        <f>'Participant reporting'!G1024</f>
        <v>0</v>
      </c>
      <c r="H797">
        <f>'Participant reporting'!H1024</f>
        <v>0</v>
      </c>
      <c r="I797">
        <f>'Participant reporting'!I1024</f>
        <v>0</v>
      </c>
      <c r="J797">
        <f>'Participant reporting'!J1024</f>
        <v>0</v>
      </c>
      <c r="K797">
        <f>'Participant reporting'!K1024</f>
        <v>0</v>
      </c>
      <c r="L797">
        <f>'Participant reporting'!L1024</f>
        <v>0</v>
      </c>
      <c r="M797">
        <f>'Participant reporting'!M1024</f>
        <v>0</v>
      </c>
      <c r="N797">
        <f>'Participant reporting'!N1024</f>
        <v>0</v>
      </c>
      <c r="O797">
        <f>'Participant reporting'!O1024</f>
        <v>0</v>
      </c>
    </row>
    <row r="798" spans="1:15" x14ac:dyDescent="0.25">
      <c r="A798">
        <f>'Participant reporting'!A1025</f>
        <v>0</v>
      </c>
      <c r="B798">
        <f>'Participant reporting'!B1025</f>
        <v>0</v>
      </c>
      <c r="C798">
        <f>'Participant reporting'!C1025</f>
        <v>0</v>
      </c>
      <c r="D798">
        <f>'Participant reporting'!D1025</f>
        <v>0</v>
      </c>
      <c r="E798" s="15">
        <f>'Participant reporting'!E1025</f>
        <v>0</v>
      </c>
      <c r="F798">
        <f>'Participant reporting'!F1025</f>
        <v>0</v>
      </c>
      <c r="G798">
        <f>'Participant reporting'!G1025</f>
        <v>0</v>
      </c>
      <c r="H798">
        <f>'Participant reporting'!H1025</f>
        <v>0</v>
      </c>
      <c r="I798">
        <f>'Participant reporting'!I1025</f>
        <v>0</v>
      </c>
      <c r="J798">
        <f>'Participant reporting'!J1025</f>
        <v>0</v>
      </c>
      <c r="K798">
        <f>'Participant reporting'!K1025</f>
        <v>0</v>
      </c>
      <c r="L798">
        <f>'Participant reporting'!L1025</f>
        <v>0</v>
      </c>
      <c r="M798">
        <f>'Participant reporting'!M1025</f>
        <v>0</v>
      </c>
      <c r="N798">
        <f>'Participant reporting'!N1025</f>
        <v>0</v>
      </c>
      <c r="O798">
        <f>'Participant reporting'!O1025</f>
        <v>0</v>
      </c>
    </row>
    <row r="799" spans="1:15" x14ac:dyDescent="0.25">
      <c r="A799">
        <f>'Participant reporting'!A1026</f>
        <v>0</v>
      </c>
      <c r="B799">
        <f>'Participant reporting'!B1026</f>
        <v>0</v>
      </c>
      <c r="C799">
        <f>'Participant reporting'!C1026</f>
        <v>0</v>
      </c>
      <c r="D799">
        <f>'Participant reporting'!D1026</f>
        <v>0</v>
      </c>
      <c r="E799" s="15">
        <f>'Participant reporting'!E1026</f>
        <v>0</v>
      </c>
      <c r="F799">
        <f>'Participant reporting'!F1026</f>
        <v>0</v>
      </c>
      <c r="G799">
        <f>'Participant reporting'!G1026</f>
        <v>0</v>
      </c>
      <c r="H799">
        <f>'Participant reporting'!H1026</f>
        <v>0</v>
      </c>
      <c r="I799">
        <f>'Participant reporting'!I1026</f>
        <v>0</v>
      </c>
      <c r="J799">
        <f>'Participant reporting'!J1026</f>
        <v>0</v>
      </c>
      <c r="K799">
        <f>'Participant reporting'!K1026</f>
        <v>0</v>
      </c>
      <c r="L799">
        <f>'Participant reporting'!L1026</f>
        <v>0</v>
      </c>
      <c r="M799">
        <f>'Participant reporting'!M1026</f>
        <v>0</v>
      </c>
      <c r="N799">
        <f>'Participant reporting'!N1026</f>
        <v>0</v>
      </c>
      <c r="O799">
        <f>'Participant reporting'!O1026</f>
        <v>0</v>
      </c>
    </row>
    <row r="800" spans="1:15" x14ac:dyDescent="0.25">
      <c r="A800">
        <f>'Participant reporting'!A1027</f>
        <v>0</v>
      </c>
      <c r="B800">
        <f>'Participant reporting'!B1027</f>
        <v>0</v>
      </c>
      <c r="C800">
        <f>'Participant reporting'!C1027</f>
        <v>0</v>
      </c>
      <c r="D800">
        <f>'Participant reporting'!D1027</f>
        <v>0</v>
      </c>
      <c r="E800" s="15">
        <f>'Participant reporting'!E1027</f>
        <v>0</v>
      </c>
      <c r="F800">
        <f>'Participant reporting'!F1027</f>
        <v>0</v>
      </c>
      <c r="G800">
        <f>'Participant reporting'!G1027</f>
        <v>0</v>
      </c>
      <c r="H800">
        <f>'Participant reporting'!H1027</f>
        <v>0</v>
      </c>
      <c r="I800">
        <f>'Participant reporting'!I1027</f>
        <v>0</v>
      </c>
      <c r="J800">
        <f>'Participant reporting'!J1027</f>
        <v>0</v>
      </c>
      <c r="K800">
        <f>'Participant reporting'!K1027</f>
        <v>0</v>
      </c>
      <c r="L800">
        <f>'Participant reporting'!L1027</f>
        <v>0</v>
      </c>
      <c r="M800">
        <f>'Participant reporting'!M1027</f>
        <v>0</v>
      </c>
      <c r="N800">
        <f>'Participant reporting'!N1027</f>
        <v>0</v>
      </c>
      <c r="O800">
        <f>'Participant reporting'!O1027</f>
        <v>0</v>
      </c>
    </row>
    <row r="801" spans="1:15" x14ac:dyDescent="0.25">
      <c r="A801">
        <f>'Participant reporting'!A1028</f>
        <v>0</v>
      </c>
      <c r="B801">
        <f>'Participant reporting'!B1028</f>
        <v>0</v>
      </c>
      <c r="C801">
        <f>'Participant reporting'!C1028</f>
        <v>0</v>
      </c>
      <c r="D801">
        <f>'Participant reporting'!D1028</f>
        <v>0</v>
      </c>
      <c r="E801" s="15">
        <f>'Participant reporting'!E1028</f>
        <v>0</v>
      </c>
      <c r="F801">
        <f>'Participant reporting'!F1028</f>
        <v>0</v>
      </c>
      <c r="G801">
        <f>'Participant reporting'!G1028</f>
        <v>0</v>
      </c>
      <c r="H801">
        <f>'Participant reporting'!H1028</f>
        <v>0</v>
      </c>
      <c r="I801">
        <f>'Participant reporting'!I1028</f>
        <v>0</v>
      </c>
      <c r="J801">
        <f>'Participant reporting'!J1028</f>
        <v>0</v>
      </c>
      <c r="K801">
        <f>'Participant reporting'!K1028</f>
        <v>0</v>
      </c>
      <c r="L801">
        <f>'Participant reporting'!L1028</f>
        <v>0</v>
      </c>
      <c r="M801">
        <f>'Participant reporting'!M1028</f>
        <v>0</v>
      </c>
      <c r="N801">
        <f>'Participant reporting'!N1028</f>
        <v>0</v>
      </c>
      <c r="O801">
        <f>'Participant reporting'!O1028</f>
        <v>0</v>
      </c>
    </row>
    <row r="802" spans="1:15" x14ac:dyDescent="0.25">
      <c r="A802">
        <f>'Participant reporting'!A1029</f>
        <v>0</v>
      </c>
      <c r="B802">
        <f>'Participant reporting'!B1029</f>
        <v>0</v>
      </c>
      <c r="C802">
        <f>'Participant reporting'!C1029</f>
        <v>0</v>
      </c>
      <c r="D802">
        <f>'Participant reporting'!D1029</f>
        <v>0</v>
      </c>
      <c r="E802" s="15">
        <f>'Participant reporting'!E1029</f>
        <v>0</v>
      </c>
      <c r="F802">
        <f>'Participant reporting'!F1029</f>
        <v>0</v>
      </c>
      <c r="G802">
        <f>'Participant reporting'!G1029</f>
        <v>0</v>
      </c>
      <c r="H802">
        <f>'Participant reporting'!H1029</f>
        <v>0</v>
      </c>
      <c r="I802">
        <f>'Participant reporting'!I1029</f>
        <v>0</v>
      </c>
      <c r="J802">
        <f>'Participant reporting'!J1029</f>
        <v>0</v>
      </c>
      <c r="K802">
        <f>'Participant reporting'!K1029</f>
        <v>0</v>
      </c>
      <c r="L802">
        <f>'Participant reporting'!L1029</f>
        <v>0</v>
      </c>
      <c r="M802">
        <f>'Participant reporting'!M1029</f>
        <v>0</v>
      </c>
      <c r="N802">
        <f>'Participant reporting'!N1029</f>
        <v>0</v>
      </c>
      <c r="O802">
        <f>'Participant reporting'!O1029</f>
        <v>0</v>
      </c>
    </row>
    <row r="803" spans="1:15" x14ac:dyDescent="0.25">
      <c r="A803">
        <f>'Participant reporting'!A1030</f>
        <v>0</v>
      </c>
      <c r="B803">
        <f>'Participant reporting'!B1030</f>
        <v>0</v>
      </c>
      <c r="C803">
        <f>'Participant reporting'!C1030</f>
        <v>0</v>
      </c>
      <c r="D803">
        <f>'Participant reporting'!D1030</f>
        <v>0</v>
      </c>
      <c r="E803" s="15">
        <f>'Participant reporting'!E1030</f>
        <v>0</v>
      </c>
      <c r="F803">
        <f>'Participant reporting'!F1030</f>
        <v>0</v>
      </c>
      <c r="G803">
        <f>'Participant reporting'!G1030</f>
        <v>0</v>
      </c>
      <c r="H803">
        <f>'Participant reporting'!H1030</f>
        <v>0</v>
      </c>
      <c r="I803">
        <f>'Participant reporting'!I1030</f>
        <v>0</v>
      </c>
      <c r="J803">
        <f>'Participant reporting'!J1030</f>
        <v>0</v>
      </c>
      <c r="K803">
        <f>'Participant reporting'!K1030</f>
        <v>0</v>
      </c>
      <c r="L803">
        <f>'Participant reporting'!L1030</f>
        <v>0</v>
      </c>
      <c r="M803">
        <f>'Participant reporting'!M1030</f>
        <v>0</v>
      </c>
      <c r="N803">
        <f>'Participant reporting'!N1030</f>
        <v>0</v>
      </c>
      <c r="O803">
        <f>'Participant reporting'!O1030</f>
        <v>0</v>
      </c>
    </row>
    <row r="804" spans="1:15" x14ac:dyDescent="0.25">
      <c r="A804">
        <f>'Participant reporting'!A1031</f>
        <v>0</v>
      </c>
      <c r="B804">
        <f>'Participant reporting'!B1031</f>
        <v>0</v>
      </c>
      <c r="C804">
        <f>'Participant reporting'!C1031</f>
        <v>0</v>
      </c>
      <c r="D804">
        <f>'Participant reporting'!D1031</f>
        <v>0</v>
      </c>
      <c r="E804" s="15">
        <f>'Participant reporting'!E1031</f>
        <v>0</v>
      </c>
      <c r="F804">
        <f>'Participant reporting'!F1031</f>
        <v>0</v>
      </c>
      <c r="G804">
        <f>'Participant reporting'!G1031</f>
        <v>0</v>
      </c>
      <c r="H804">
        <f>'Participant reporting'!H1031</f>
        <v>0</v>
      </c>
      <c r="I804">
        <f>'Participant reporting'!I1031</f>
        <v>0</v>
      </c>
      <c r="J804">
        <f>'Participant reporting'!J1031</f>
        <v>0</v>
      </c>
      <c r="K804">
        <f>'Participant reporting'!K1031</f>
        <v>0</v>
      </c>
      <c r="L804">
        <f>'Participant reporting'!L1031</f>
        <v>0</v>
      </c>
      <c r="M804">
        <f>'Participant reporting'!M1031</f>
        <v>0</v>
      </c>
      <c r="N804">
        <f>'Participant reporting'!N1031</f>
        <v>0</v>
      </c>
      <c r="O804">
        <f>'Participant reporting'!O1031</f>
        <v>0</v>
      </c>
    </row>
    <row r="805" spans="1:15" x14ac:dyDescent="0.25">
      <c r="A805">
        <f>'Participant reporting'!A1032</f>
        <v>0</v>
      </c>
      <c r="B805">
        <f>'Participant reporting'!B1032</f>
        <v>0</v>
      </c>
      <c r="C805">
        <f>'Participant reporting'!C1032</f>
        <v>0</v>
      </c>
      <c r="D805">
        <f>'Participant reporting'!D1032</f>
        <v>0</v>
      </c>
      <c r="E805" s="15">
        <f>'Participant reporting'!E1032</f>
        <v>0</v>
      </c>
      <c r="F805">
        <f>'Participant reporting'!F1032</f>
        <v>0</v>
      </c>
      <c r="G805">
        <f>'Participant reporting'!G1032</f>
        <v>0</v>
      </c>
      <c r="H805">
        <f>'Participant reporting'!H1032</f>
        <v>0</v>
      </c>
      <c r="I805">
        <f>'Participant reporting'!I1032</f>
        <v>0</v>
      </c>
      <c r="J805">
        <f>'Participant reporting'!J1032</f>
        <v>0</v>
      </c>
      <c r="K805">
        <f>'Participant reporting'!K1032</f>
        <v>0</v>
      </c>
      <c r="L805">
        <f>'Participant reporting'!L1032</f>
        <v>0</v>
      </c>
      <c r="M805">
        <f>'Participant reporting'!M1032</f>
        <v>0</v>
      </c>
      <c r="N805">
        <f>'Participant reporting'!N1032</f>
        <v>0</v>
      </c>
      <c r="O805">
        <f>'Participant reporting'!O1032</f>
        <v>0</v>
      </c>
    </row>
    <row r="806" spans="1:15" x14ac:dyDescent="0.25">
      <c r="A806">
        <f>'Participant reporting'!A1033</f>
        <v>0</v>
      </c>
      <c r="B806">
        <f>'Participant reporting'!B1033</f>
        <v>0</v>
      </c>
      <c r="C806">
        <f>'Participant reporting'!C1033</f>
        <v>0</v>
      </c>
      <c r="D806">
        <f>'Participant reporting'!D1033</f>
        <v>0</v>
      </c>
      <c r="E806" s="15">
        <f>'Participant reporting'!E1033</f>
        <v>0</v>
      </c>
      <c r="F806">
        <f>'Participant reporting'!F1033</f>
        <v>0</v>
      </c>
      <c r="G806">
        <f>'Participant reporting'!G1033</f>
        <v>0</v>
      </c>
      <c r="H806">
        <f>'Participant reporting'!H1033</f>
        <v>0</v>
      </c>
      <c r="I806">
        <f>'Participant reporting'!I1033</f>
        <v>0</v>
      </c>
      <c r="J806">
        <f>'Participant reporting'!J1033</f>
        <v>0</v>
      </c>
      <c r="K806">
        <f>'Participant reporting'!K1033</f>
        <v>0</v>
      </c>
      <c r="L806">
        <f>'Participant reporting'!L1033</f>
        <v>0</v>
      </c>
      <c r="M806">
        <f>'Participant reporting'!M1033</f>
        <v>0</v>
      </c>
      <c r="N806">
        <f>'Participant reporting'!N1033</f>
        <v>0</v>
      </c>
      <c r="O806">
        <f>'Participant reporting'!O1033</f>
        <v>0</v>
      </c>
    </row>
    <row r="807" spans="1:15" x14ac:dyDescent="0.25">
      <c r="A807">
        <f>'Participant reporting'!A1034</f>
        <v>0</v>
      </c>
      <c r="B807">
        <f>'Participant reporting'!B1034</f>
        <v>0</v>
      </c>
      <c r="C807">
        <f>'Participant reporting'!C1034</f>
        <v>0</v>
      </c>
      <c r="D807">
        <f>'Participant reporting'!D1034</f>
        <v>0</v>
      </c>
      <c r="E807" s="15">
        <f>'Participant reporting'!E1034</f>
        <v>0</v>
      </c>
      <c r="F807">
        <f>'Participant reporting'!F1034</f>
        <v>0</v>
      </c>
      <c r="G807">
        <f>'Participant reporting'!G1034</f>
        <v>0</v>
      </c>
      <c r="H807">
        <f>'Participant reporting'!H1034</f>
        <v>0</v>
      </c>
      <c r="I807">
        <f>'Participant reporting'!I1034</f>
        <v>0</v>
      </c>
      <c r="J807">
        <f>'Participant reporting'!J1034</f>
        <v>0</v>
      </c>
      <c r="K807">
        <f>'Participant reporting'!K1034</f>
        <v>0</v>
      </c>
      <c r="L807">
        <f>'Participant reporting'!L1034</f>
        <v>0</v>
      </c>
      <c r="M807">
        <f>'Participant reporting'!M1034</f>
        <v>0</v>
      </c>
      <c r="N807">
        <f>'Participant reporting'!N1034</f>
        <v>0</v>
      </c>
      <c r="O807">
        <f>'Participant reporting'!O1034</f>
        <v>0</v>
      </c>
    </row>
    <row r="808" spans="1:15" x14ac:dyDescent="0.25">
      <c r="A808">
        <f>'Participant reporting'!A1035</f>
        <v>0</v>
      </c>
      <c r="B808">
        <f>'Participant reporting'!B1035</f>
        <v>0</v>
      </c>
      <c r="C808">
        <f>'Participant reporting'!C1035</f>
        <v>0</v>
      </c>
      <c r="D808">
        <f>'Participant reporting'!D1035</f>
        <v>0</v>
      </c>
      <c r="E808" s="15">
        <f>'Participant reporting'!E1035</f>
        <v>0</v>
      </c>
      <c r="F808">
        <f>'Participant reporting'!F1035</f>
        <v>0</v>
      </c>
      <c r="G808">
        <f>'Participant reporting'!G1035</f>
        <v>0</v>
      </c>
      <c r="H808">
        <f>'Participant reporting'!H1035</f>
        <v>0</v>
      </c>
      <c r="I808">
        <f>'Participant reporting'!I1035</f>
        <v>0</v>
      </c>
      <c r="J808">
        <f>'Participant reporting'!J1035</f>
        <v>0</v>
      </c>
      <c r="K808">
        <f>'Participant reporting'!K1035</f>
        <v>0</v>
      </c>
      <c r="L808">
        <f>'Participant reporting'!L1035</f>
        <v>0</v>
      </c>
      <c r="M808">
        <f>'Participant reporting'!M1035</f>
        <v>0</v>
      </c>
      <c r="N808">
        <f>'Participant reporting'!N1035</f>
        <v>0</v>
      </c>
      <c r="O808">
        <f>'Participant reporting'!O1035</f>
        <v>0</v>
      </c>
    </row>
    <row r="809" spans="1:15" x14ac:dyDescent="0.25">
      <c r="A809">
        <f>'Participant reporting'!A1036</f>
        <v>0</v>
      </c>
      <c r="B809">
        <f>'Participant reporting'!B1036</f>
        <v>0</v>
      </c>
      <c r="C809">
        <f>'Participant reporting'!C1036</f>
        <v>0</v>
      </c>
      <c r="D809">
        <f>'Participant reporting'!D1036</f>
        <v>0</v>
      </c>
      <c r="E809" s="15">
        <f>'Participant reporting'!E1036</f>
        <v>0</v>
      </c>
      <c r="F809">
        <f>'Participant reporting'!F1036</f>
        <v>0</v>
      </c>
      <c r="G809">
        <f>'Participant reporting'!G1036</f>
        <v>0</v>
      </c>
      <c r="H809">
        <f>'Participant reporting'!H1036</f>
        <v>0</v>
      </c>
      <c r="I809">
        <f>'Participant reporting'!I1036</f>
        <v>0</v>
      </c>
      <c r="J809">
        <f>'Participant reporting'!J1036</f>
        <v>0</v>
      </c>
      <c r="K809">
        <f>'Participant reporting'!K1036</f>
        <v>0</v>
      </c>
      <c r="L809">
        <f>'Participant reporting'!L1036</f>
        <v>0</v>
      </c>
      <c r="M809">
        <f>'Participant reporting'!M1036</f>
        <v>0</v>
      </c>
      <c r="N809">
        <f>'Participant reporting'!N1036</f>
        <v>0</v>
      </c>
      <c r="O809">
        <f>'Participant reporting'!O1036</f>
        <v>0</v>
      </c>
    </row>
    <row r="810" spans="1:15" x14ac:dyDescent="0.25">
      <c r="A810">
        <f>'Participant reporting'!A1037</f>
        <v>0</v>
      </c>
      <c r="B810">
        <f>'Participant reporting'!B1037</f>
        <v>0</v>
      </c>
      <c r="C810">
        <f>'Participant reporting'!C1037</f>
        <v>0</v>
      </c>
      <c r="D810">
        <f>'Participant reporting'!D1037</f>
        <v>0</v>
      </c>
      <c r="E810" s="15">
        <f>'Participant reporting'!E1037</f>
        <v>0</v>
      </c>
      <c r="F810">
        <f>'Participant reporting'!F1037</f>
        <v>0</v>
      </c>
      <c r="G810">
        <f>'Participant reporting'!G1037</f>
        <v>0</v>
      </c>
      <c r="H810">
        <f>'Participant reporting'!H1037</f>
        <v>0</v>
      </c>
      <c r="I810">
        <f>'Participant reporting'!I1037</f>
        <v>0</v>
      </c>
      <c r="J810">
        <f>'Participant reporting'!J1037</f>
        <v>0</v>
      </c>
      <c r="K810">
        <f>'Participant reporting'!K1037</f>
        <v>0</v>
      </c>
      <c r="L810">
        <f>'Participant reporting'!L1037</f>
        <v>0</v>
      </c>
      <c r="M810">
        <f>'Participant reporting'!M1037</f>
        <v>0</v>
      </c>
      <c r="N810">
        <f>'Participant reporting'!N1037</f>
        <v>0</v>
      </c>
      <c r="O810">
        <f>'Participant reporting'!O1037</f>
        <v>0</v>
      </c>
    </row>
    <row r="811" spans="1:15" x14ac:dyDescent="0.25">
      <c r="A811">
        <f>'Participant reporting'!A1038</f>
        <v>0</v>
      </c>
      <c r="B811">
        <f>'Participant reporting'!B1038</f>
        <v>0</v>
      </c>
      <c r="C811">
        <f>'Participant reporting'!C1038</f>
        <v>0</v>
      </c>
      <c r="D811">
        <f>'Participant reporting'!D1038</f>
        <v>0</v>
      </c>
      <c r="E811" s="15">
        <f>'Participant reporting'!E1038</f>
        <v>0</v>
      </c>
      <c r="F811">
        <f>'Participant reporting'!F1038</f>
        <v>0</v>
      </c>
      <c r="G811">
        <f>'Participant reporting'!G1038</f>
        <v>0</v>
      </c>
      <c r="H811">
        <f>'Participant reporting'!H1038</f>
        <v>0</v>
      </c>
      <c r="I811">
        <f>'Participant reporting'!I1038</f>
        <v>0</v>
      </c>
      <c r="J811">
        <f>'Participant reporting'!J1038</f>
        <v>0</v>
      </c>
      <c r="K811">
        <f>'Participant reporting'!K1038</f>
        <v>0</v>
      </c>
      <c r="L811">
        <f>'Participant reporting'!L1038</f>
        <v>0</v>
      </c>
      <c r="M811">
        <f>'Participant reporting'!M1038</f>
        <v>0</v>
      </c>
      <c r="N811">
        <f>'Participant reporting'!N1038</f>
        <v>0</v>
      </c>
      <c r="O811">
        <f>'Participant reporting'!O1038</f>
        <v>0</v>
      </c>
    </row>
    <row r="812" spans="1:15" x14ac:dyDescent="0.25">
      <c r="A812">
        <f>'Participant reporting'!A1039</f>
        <v>0</v>
      </c>
      <c r="B812">
        <f>'Participant reporting'!B1039</f>
        <v>0</v>
      </c>
      <c r="C812">
        <f>'Participant reporting'!C1039</f>
        <v>0</v>
      </c>
      <c r="D812">
        <f>'Participant reporting'!D1039</f>
        <v>0</v>
      </c>
      <c r="E812" s="15">
        <f>'Participant reporting'!E1039</f>
        <v>0</v>
      </c>
      <c r="F812">
        <f>'Participant reporting'!F1039</f>
        <v>0</v>
      </c>
      <c r="G812">
        <f>'Participant reporting'!G1039</f>
        <v>0</v>
      </c>
      <c r="H812">
        <f>'Participant reporting'!H1039</f>
        <v>0</v>
      </c>
      <c r="I812">
        <f>'Participant reporting'!I1039</f>
        <v>0</v>
      </c>
      <c r="J812">
        <f>'Participant reporting'!J1039</f>
        <v>0</v>
      </c>
      <c r="K812">
        <f>'Participant reporting'!K1039</f>
        <v>0</v>
      </c>
      <c r="L812">
        <f>'Participant reporting'!L1039</f>
        <v>0</v>
      </c>
      <c r="M812">
        <f>'Participant reporting'!M1039</f>
        <v>0</v>
      </c>
      <c r="N812">
        <f>'Participant reporting'!N1039</f>
        <v>0</v>
      </c>
      <c r="O812">
        <f>'Participant reporting'!O1039</f>
        <v>0</v>
      </c>
    </row>
    <row r="813" spans="1:15" x14ac:dyDescent="0.25">
      <c r="A813">
        <f>'Participant reporting'!A1040</f>
        <v>0</v>
      </c>
      <c r="B813">
        <f>'Participant reporting'!B1040</f>
        <v>0</v>
      </c>
      <c r="C813">
        <f>'Participant reporting'!C1040</f>
        <v>0</v>
      </c>
      <c r="D813">
        <f>'Participant reporting'!D1040</f>
        <v>0</v>
      </c>
      <c r="E813" s="15">
        <f>'Participant reporting'!E1040</f>
        <v>0</v>
      </c>
      <c r="F813">
        <f>'Participant reporting'!F1040</f>
        <v>0</v>
      </c>
      <c r="G813">
        <f>'Participant reporting'!G1040</f>
        <v>0</v>
      </c>
      <c r="H813">
        <f>'Participant reporting'!H1040</f>
        <v>0</v>
      </c>
      <c r="I813">
        <f>'Participant reporting'!I1040</f>
        <v>0</v>
      </c>
      <c r="J813">
        <f>'Participant reporting'!J1040</f>
        <v>0</v>
      </c>
      <c r="K813">
        <f>'Participant reporting'!K1040</f>
        <v>0</v>
      </c>
      <c r="L813">
        <f>'Participant reporting'!L1040</f>
        <v>0</v>
      </c>
      <c r="M813">
        <f>'Participant reporting'!M1040</f>
        <v>0</v>
      </c>
      <c r="N813">
        <f>'Participant reporting'!N1040</f>
        <v>0</v>
      </c>
      <c r="O813">
        <f>'Participant reporting'!O1040</f>
        <v>0</v>
      </c>
    </row>
    <row r="814" spans="1:15" x14ac:dyDescent="0.25">
      <c r="A814">
        <f>'Participant reporting'!A1041</f>
        <v>0</v>
      </c>
      <c r="B814">
        <f>'Participant reporting'!B1041</f>
        <v>0</v>
      </c>
      <c r="C814">
        <f>'Participant reporting'!C1041</f>
        <v>0</v>
      </c>
      <c r="D814">
        <f>'Participant reporting'!D1041</f>
        <v>0</v>
      </c>
      <c r="E814" s="15">
        <f>'Participant reporting'!E1041</f>
        <v>0</v>
      </c>
      <c r="F814">
        <f>'Participant reporting'!F1041</f>
        <v>0</v>
      </c>
      <c r="G814">
        <f>'Participant reporting'!G1041</f>
        <v>0</v>
      </c>
      <c r="H814">
        <f>'Participant reporting'!H1041</f>
        <v>0</v>
      </c>
      <c r="I814">
        <f>'Participant reporting'!I1041</f>
        <v>0</v>
      </c>
      <c r="J814">
        <f>'Participant reporting'!J1041</f>
        <v>0</v>
      </c>
      <c r="K814">
        <f>'Participant reporting'!K1041</f>
        <v>0</v>
      </c>
      <c r="L814">
        <f>'Participant reporting'!L1041</f>
        <v>0</v>
      </c>
      <c r="M814">
        <f>'Participant reporting'!M1041</f>
        <v>0</v>
      </c>
      <c r="N814">
        <f>'Participant reporting'!N1041</f>
        <v>0</v>
      </c>
      <c r="O814">
        <f>'Participant reporting'!O1041</f>
        <v>0</v>
      </c>
    </row>
    <row r="815" spans="1:15" x14ac:dyDescent="0.25">
      <c r="A815">
        <f>'Participant reporting'!A1042</f>
        <v>0</v>
      </c>
      <c r="B815">
        <f>'Participant reporting'!B1042</f>
        <v>0</v>
      </c>
      <c r="C815">
        <f>'Participant reporting'!C1042</f>
        <v>0</v>
      </c>
      <c r="D815">
        <f>'Participant reporting'!D1042</f>
        <v>0</v>
      </c>
      <c r="E815" s="15">
        <f>'Participant reporting'!E1042</f>
        <v>0</v>
      </c>
      <c r="F815">
        <f>'Participant reporting'!F1042</f>
        <v>0</v>
      </c>
      <c r="G815">
        <f>'Participant reporting'!G1042</f>
        <v>0</v>
      </c>
      <c r="H815">
        <f>'Participant reporting'!H1042</f>
        <v>0</v>
      </c>
      <c r="I815">
        <f>'Participant reporting'!I1042</f>
        <v>0</v>
      </c>
      <c r="J815">
        <f>'Participant reporting'!J1042</f>
        <v>0</v>
      </c>
      <c r="K815">
        <f>'Participant reporting'!K1042</f>
        <v>0</v>
      </c>
      <c r="L815">
        <f>'Participant reporting'!L1042</f>
        <v>0</v>
      </c>
      <c r="M815">
        <f>'Participant reporting'!M1042</f>
        <v>0</v>
      </c>
      <c r="N815">
        <f>'Participant reporting'!N1042</f>
        <v>0</v>
      </c>
      <c r="O815">
        <f>'Participant reporting'!O1042</f>
        <v>0</v>
      </c>
    </row>
    <row r="816" spans="1:15" x14ac:dyDescent="0.25">
      <c r="A816">
        <f>'Participant reporting'!A1043</f>
        <v>0</v>
      </c>
      <c r="B816">
        <f>'Participant reporting'!B1043</f>
        <v>0</v>
      </c>
      <c r="C816">
        <f>'Participant reporting'!C1043</f>
        <v>0</v>
      </c>
      <c r="D816">
        <f>'Participant reporting'!D1043</f>
        <v>0</v>
      </c>
      <c r="E816" s="15">
        <f>'Participant reporting'!E1043</f>
        <v>0</v>
      </c>
      <c r="F816">
        <f>'Participant reporting'!F1043</f>
        <v>0</v>
      </c>
      <c r="G816">
        <f>'Participant reporting'!G1043</f>
        <v>0</v>
      </c>
      <c r="H816">
        <f>'Participant reporting'!H1043</f>
        <v>0</v>
      </c>
      <c r="I816">
        <f>'Participant reporting'!I1043</f>
        <v>0</v>
      </c>
      <c r="J816">
        <f>'Participant reporting'!J1043</f>
        <v>0</v>
      </c>
      <c r="K816">
        <f>'Participant reporting'!K1043</f>
        <v>0</v>
      </c>
      <c r="L816">
        <f>'Participant reporting'!L1043</f>
        <v>0</v>
      </c>
      <c r="M816">
        <f>'Participant reporting'!M1043</f>
        <v>0</v>
      </c>
      <c r="N816">
        <f>'Participant reporting'!N1043</f>
        <v>0</v>
      </c>
      <c r="O816">
        <f>'Participant reporting'!O1043</f>
        <v>0</v>
      </c>
    </row>
    <row r="817" spans="1:15" x14ac:dyDescent="0.25">
      <c r="A817">
        <f>'Participant reporting'!A1044</f>
        <v>0</v>
      </c>
      <c r="B817">
        <f>'Participant reporting'!B1044</f>
        <v>0</v>
      </c>
      <c r="C817">
        <f>'Participant reporting'!C1044</f>
        <v>0</v>
      </c>
      <c r="D817">
        <f>'Participant reporting'!D1044</f>
        <v>0</v>
      </c>
      <c r="E817" s="15">
        <f>'Participant reporting'!E1044</f>
        <v>0</v>
      </c>
      <c r="F817">
        <f>'Participant reporting'!F1044</f>
        <v>0</v>
      </c>
      <c r="G817">
        <f>'Participant reporting'!G1044</f>
        <v>0</v>
      </c>
      <c r="H817">
        <f>'Participant reporting'!H1044</f>
        <v>0</v>
      </c>
      <c r="I817">
        <f>'Participant reporting'!I1044</f>
        <v>0</v>
      </c>
      <c r="J817">
        <f>'Participant reporting'!J1044</f>
        <v>0</v>
      </c>
      <c r="K817">
        <f>'Participant reporting'!K1044</f>
        <v>0</v>
      </c>
      <c r="L817">
        <f>'Participant reporting'!L1044</f>
        <v>0</v>
      </c>
      <c r="M817">
        <f>'Participant reporting'!M1044</f>
        <v>0</v>
      </c>
      <c r="N817">
        <f>'Participant reporting'!N1044</f>
        <v>0</v>
      </c>
      <c r="O817">
        <f>'Participant reporting'!O1044</f>
        <v>0</v>
      </c>
    </row>
    <row r="818" spans="1:15" x14ac:dyDescent="0.25">
      <c r="A818">
        <f>'Participant reporting'!A1045</f>
        <v>0</v>
      </c>
      <c r="B818">
        <f>'Participant reporting'!B1045</f>
        <v>0</v>
      </c>
      <c r="C818">
        <f>'Participant reporting'!C1045</f>
        <v>0</v>
      </c>
      <c r="D818">
        <f>'Participant reporting'!D1045</f>
        <v>0</v>
      </c>
      <c r="E818" s="15">
        <f>'Participant reporting'!E1045</f>
        <v>0</v>
      </c>
      <c r="F818">
        <f>'Participant reporting'!F1045</f>
        <v>0</v>
      </c>
      <c r="G818">
        <f>'Participant reporting'!G1045</f>
        <v>0</v>
      </c>
      <c r="H818">
        <f>'Participant reporting'!H1045</f>
        <v>0</v>
      </c>
      <c r="I818">
        <f>'Participant reporting'!I1045</f>
        <v>0</v>
      </c>
      <c r="J818">
        <f>'Participant reporting'!J1045</f>
        <v>0</v>
      </c>
      <c r="K818">
        <f>'Participant reporting'!K1045</f>
        <v>0</v>
      </c>
      <c r="L818">
        <f>'Participant reporting'!L1045</f>
        <v>0</v>
      </c>
      <c r="M818">
        <f>'Participant reporting'!M1045</f>
        <v>0</v>
      </c>
      <c r="N818">
        <f>'Participant reporting'!N1045</f>
        <v>0</v>
      </c>
      <c r="O818">
        <f>'Participant reporting'!O1045</f>
        <v>0</v>
      </c>
    </row>
    <row r="819" spans="1:15" x14ac:dyDescent="0.25">
      <c r="A819">
        <f>'Participant reporting'!A1046</f>
        <v>0</v>
      </c>
      <c r="B819">
        <f>'Participant reporting'!B1046</f>
        <v>0</v>
      </c>
      <c r="C819">
        <f>'Participant reporting'!C1046</f>
        <v>0</v>
      </c>
      <c r="D819">
        <f>'Participant reporting'!D1046</f>
        <v>0</v>
      </c>
      <c r="E819" s="15">
        <f>'Participant reporting'!E1046</f>
        <v>0</v>
      </c>
      <c r="F819">
        <f>'Participant reporting'!F1046</f>
        <v>0</v>
      </c>
      <c r="G819">
        <f>'Participant reporting'!G1046</f>
        <v>0</v>
      </c>
      <c r="H819">
        <f>'Participant reporting'!H1046</f>
        <v>0</v>
      </c>
      <c r="I819">
        <f>'Participant reporting'!I1046</f>
        <v>0</v>
      </c>
      <c r="J819">
        <f>'Participant reporting'!J1046</f>
        <v>0</v>
      </c>
      <c r="K819">
        <f>'Participant reporting'!K1046</f>
        <v>0</v>
      </c>
      <c r="L819">
        <f>'Participant reporting'!L1046</f>
        <v>0</v>
      </c>
      <c r="M819">
        <f>'Participant reporting'!M1046</f>
        <v>0</v>
      </c>
      <c r="N819">
        <f>'Participant reporting'!N1046</f>
        <v>0</v>
      </c>
      <c r="O819">
        <f>'Participant reporting'!O1046</f>
        <v>0</v>
      </c>
    </row>
    <row r="820" spans="1:15" x14ac:dyDescent="0.25">
      <c r="A820">
        <f>'Participant reporting'!A1047</f>
        <v>0</v>
      </c>
      <c r="B820">
        <f>'Participant reporting'!B1047</f>
        <v>0</v>
      </c>
      <c r="C820">
        <f>'Participant reporting'!C1047</f>
        <v>0</v>
      </c>
      <c r="D820">
        <f>'Participant reporting'!D1047</f>
        <v>0</v>
      </c>
      <c r="E820" s="15">
        <f>'Participant reporting'!E1047</f>
        <v>0</v>
      </c>
      <c r="F820">
        <f>'Participant reporting'!F1047</f>
        <v>0</v>
      </c>
      <c r="G820">
        <f>'Participant reporting'!G1047</f>
        <v>0</v>
      </c>
      <c r="H820">
        <f>'Participant reporting'!H1047</f>
        <v>0</v>
      </c>
      <c r="I820">
        <f>'Participant reporting'!I1047</f>
        <v>0</v>
      </c>
      <c r="J820">
        <f>'Participant reporting'!J1047</f>
        <v>0</v>
      </c>
      <c r="K820">
        <f>'Participant reporting'!K1047</f>
        <v>0</v>
      </c>
      <c r="L820">
        <f>'Participant reporting'!L1047</f>
        <v>0</v>
      </c>
      <c r="M820">
        <f>'Participant reporting'!M1047</f>
        <v>0</v>
      </c>
      <c r="N820">
        <f>'Participant reporting'!N1047</f>
        <v>0</v>
      </c>
      <c r="O820">
        <f>'Participant reporting'!O1047</f>
        <v>0</v>
      </c>
    </row>
    <row r="821" spans="1:15" x14ac:dyDescent="0.25">
      <c r="A821">
        <f>'Participant reporting'!A1048</f>
        <v>0</v>
      </c>
      <c r="B821">
        <f>'Participant reporting'!B1048</f>
        <v>0</v>
      </c>
      <c r="C821">
        <f>'Participant reporting'!C1048</f>
        <v>0</v>
      </c>
      <c r="D821">
        <f>'Participant reporting'!D1048</f>
        <v>0</v>
      </c>
      <c r="E821" s="15">
        <f>'Participant reporting'!E1048</f>
        <v>0</v>
      </c>
      <c r="F821">
        <f>'Participant reporting'!F1048</f>
        <v>0</v>
      </c>
      <c r="G821">
        <f>'Participant reporting'!G1048</f>
        <v>0</v>
      </c>
      <c r="H821">
        <f>'Participant reporting'!H1048</f>
        <v>0</v>
      </c>
      <c r="I821">
        <f>'Participant reporting'!I1048</f>
        <v>0</v>
      </c>
      <c r="J821">
        <f>'Participant reporting'!J1048</f>
        <v>0</v>
      </c>
      <c r="K821">
        <f>'Participant reporting'!K1048</f>
        <v>0</v>
      </c>
      <c r="L821">
        <f>'Participant reporting'!L1048</f>
        <v>0</v>
      </c>
      <c r="M821">
        <f>'Participant reporting'!M1048</f>
        <v>0</v>
      </c>
      <c r="N821">
        <f>'Participant reporting'!N1048</f>
        <v>0</v>
      </c>
      <c r="O821">
        <f>'Participant reporting'!O1048</f>
        <v>0</v>
      </c>
    </row>
    <row r="822" spans="1:15" x14ac:dyDescent="0.25">
      <c r="A822">
        <f>'Participant reporting'!A1049</f>
        <v>0</v>
      </c>
      <c r="B822">
        <f>'Participant reporting'!B1049</f>
        <v>0</v>
      </c>
      <c r="C822">
        <f>'Participant reporting'!C1049</f>
        <v>0</v>
      </c>
      <c r="D822">
        <f>'Participant reporting'!D1049</f>
        <v>0</v>
      </c>
      <c r="E822" s="15">
        <f>'Participant reporting'!E1049</f>
        <v>0</v>
      </c>
      <c r="F822">
        <f>'Participant reporting'!F1049</f>
        <v>0</v>
      </c>
      <c r="G822">
        <f>'Participant reporting'!G1049</f>
        <v>0</v>
      </c>
      <c r="H822">
        <f>'Participant reporting'!H1049</f>
        <v>0</v>
      </c>
      <c r="I822">
        <f>'Participant reporting'!I1049</f>
        <v>0</v>
      </c>
      <c r="J822">
        <f>'Participant reporting'!J1049</f>
        <v>0</v>
      </c>
      <c r="K822">
        <f>'Participant reporting'!K1049</f>
        <v>0</v>
      </c>
      <c r="L822">
        <f>'Participant reporting'!L1049</f>
        <v>0</v>
      </c>
      <c r="M822">
        <f>'Participant reporting'!M1049</f>
        <v>0</v>
      </c>
      <c r="N822">
        <f>'Participant reporting'!N1049</f>
        <v>0</v>
      </c>
      <c r="O822">
        <f>'Participant reporting'!O1049</f>
        <v>0</v>
      </c>
    </row>
    <row r="823" spans="1:15" x14ac:dyDescent="0.25">
      <c r="A823">
        <f>'Participant reporting'!A1050</f>
        <v>0</v>
      </c>
      <c r="B823">
        <f>'Participant reporting'!B1050</f>
        <v>0</v>
      </c>
      <c r="C823">
        <f>'Participant reporting'!C1050</f>
        <v>0</v>
      </c>
      <c r="D823">
        <f>'Participant reporting'!D1050</f>
        <v>0</v>
      </c>
      <c r="E823" s="15">
        <f>'Participant reporting'!E1050</f>
        <v>0</v>
      </c>
      <c r="F823">
        <f>'Participant reporting'!F1050</f>
        <v>0</v>
      </c>
      <c r="G823">
        <f>'Participant reporting'!G1050</f>
        <v>0</v>
      </c>
      <c r="H823">
        <f>'Participant reporting'!H1050</f>
        <v>0</v>
      </c>
      <c r="I823">
        <f>'Participant reporting'!I1050</f>
        <v>0</v>
      </c>
      <c r="J823">
        <f>'Participant reporting'!J1050</f>
        <v>0</v>
      </c>
      <c r="K823">
        <f>'Participant reporting'!K1050</f>
        <v>0</v>
      </c>
      <c r="L823">
        <f>'Participant reporting'!L1050</f>
        <v>0</v>
      </c>
      <c r="M823">
        <f>'Participant reporting'!M1050</f>
        <v>0</v>
      </c>
      <c r="N823">
        <f>'Participant reporting'!N1050</f>
        <v>0</v>
      </c>
      <c r="O823">
        <f>'Participant reporting'!O1050</f>
        <v>0</v>
      </c>
    </row>
    <row r="824" spans="1:15" x14ac:dyDescent="0.25">
      <c r="A824">
        <f>'Participant reporting'!A1051</f>
        <v>0</v>
      </c>
      <c r="B824">
        <f>'Participant reporting'!B1051</f>
        <v>0</v>
      </c>
      <c r="C824">
        <f>'Participant reporting'!C1051</f>
        <v>0</v>
      </c>
      <c r="D824">
        <f>'Participant reporting'!D1051</f>
        <v>0</v>
      </c>
      <c r="E824" s="15">
        <f>'Participant reporting'!E1051</f>
        <v>0</v>
      </c>
      <c r="F824">
        <f>'Participant reporting'!F1051</f>
        <v>0</v>
      </c>
      <c r="G824">
        <f>'Participant reporting'!G1051</f>
        <v>0</v>
      </c>
      <c r="H824">
        <f>'Participant reporting'!H1051</f>
        <v>0</v>
      </c>
      <c r="I824">
        <f>'Participant reporting'!I1051</f>
        <v>0</v>
      </c>
      <c r="J824">
        <f>'Participant reporting'!J1051</f>
        <v>0</v>
      </c>
      <c r="K824">
        <f>'Participant reporting'!K1051</f>
        <v>0</v>
      </c>
      <c r="L824">
        <f>'Participant reporting'!L1051</f>
        <v>0</v>
      </c>
      <c r="M824">
        <f>'Participant reporting'!M1051</f>
        <v>0</v>
      </c>
      <c r="N824">
        <f>'Participant reporting'!N1051</f>
        <v>0</v>
      </c>
      <c r="O824">
        <f>'Participant reporting'!O1051</f>
        <v>0</v>
      </c>
    </row>
    <row r="825" spans="1:15" x14ac:dyDescent="0.25">
      <c r="A825">
        <f>'Participant reporting'!A1052</f>
        <v>0</v>
      </c>
      <c r="B825">
        <f>'Participant reporting'!B1052</f>
        <v>0</v>
      </c>
      <c r="C825">
        <f>'Participant reporting'!C1052</f>
        <v>0</v>
      </c>
      <c r="D825">
        <f>'Participant reporting'!D1052</f>
        <v>0</v>
      </c>
      <c r="E825" s="15">
        <f>'Participant reporting'!E1052</f>
        <v>0</v>
      </c>
      <c r="F825">
        <f>'Participant reporting'!F1052</f>
        <v>0</v>
      </c>
      <c r="G825">
        <f>'Participant reporting'!G1052</f>
        <v>0</v>
      </c>
      <c r="H825">
        <f>'Participant reporting'!H1052</f>
        <v>0</v>
      </c>
      <c r="I825">
        <f>'Participant reporting'!I1052</f>
        <v>0</v>
      </c>
      <c r="J825">
        <f>'Participant reporting'!J1052</f>
        <v>0</v>
      </c>
      <c r="K825">
        <f>'Participant reporting'!K1052</f>
        <v>0</v>
      </c>
      <c r="L825">
        <f>'Participant reporting'!L1052</f>
        <v>0</v>
      </c>
      <c r="M825">
        <f>'Participant reporting'!M1052</f>
        <v>0</v>
      </c>
      <c r="N825">
        <f>'Participant reporting'!N1052</f>
        <v>0</v>
      </c>
      <c r="O825">
        <f>'Participant reporting'!O1052</f>
        <v>0</v>
      </c>
    </row>
    <row r="826" spans="1:15" x14ac:dyDescent="0.25">
      <c r="A826">
        <f>'Participant reporting'!A1053</f>
        <v>0</v>
      </c>
      <c r="B826">
        <f>'Participant reporting'!B1053</f>
        <v>0</v>
      </c>
      <c r="C826">
        <f>'Participant reporting'!C1053</f>
        <v>0</v>
      </c>
      <c r="D826">
        <f>'Participant reporting'!D1053</f>
        <v>0</v>
      </c>
      <c r="E826" s="15">
        <f>'Participant reporting'!E1053</f>
        <v>0</v>
      </c>
      <c r="F826">
        <f>'Participant reporting'!F1053</f>
        <v>0</v>
      </c>
      <c r="G826">
        <f>'Participant reporting'!G1053</f>
        <v>0</v>
      </c>
      <c r="H826">
        <f>'Participant reporting'!H1053</f>
        <v>0</v>
      </c>
      <c r="I826">
        <f>'Participant reporting'!I1053</f>
        <v>0</v>
      </c>
      <c r="J826">
        <f>'Participant reporting'!J1053</f>
        <v>0</v>
      </c>
      <c r="K826">
        <f>'Participant reporting'!K1053</f>
        <v>0</v>
      </c>
      <c r="L826">
        <f>'Participant reporting'!L1053</f>
        <v>0</v>
      </c>
      <c r="M826">
        <f>'Participant reporting'!M1053</f>
        <v>0</v>
      </c>
      <c r="N826">
        <f>'Participant reporting'!N1053</f>
        <v>0</v>
      </c>
      <c r="O826">
        <f>'Participant reporting'!O1053</f>
        <v>0</v>
      </c>
    </row>
    <row r="827" spans="1:15" x14ac:dyDescent="0.25">
      <c r="A827">
        <f>'Participant reporting'!A1054</f>
        <v>0</v>
      </c>
      <c r="B827">
        <f>'Participant reporting'!B1054</f>
        <v>0</v>
      </c>
      <c r="C827">
        <f>'Participant reporting'!C1054</f>
        <v>0</v>
      </c>
      <c r="D827">
        <f>'Participant reporting'!D1054</f>
        <v>0</v>
      </c>
      <c r="E827" s="15">
        <f>'Participant reporting'!E1054</f>
        <v>0</v>
      </c>
      <c r="F827">
        <f>'Participant reporting'!F1054</f>
        <v>0</v>
      </c>
      <c r="G827">
        <f>'Participant reporting'!G1054</f>
        <v>0</v>
      </c>
      <c r="H827">
        <f>'Participant reporting'!H1054</f>
        <v>0</v>
      </c>
      <c r="I827">
        <f>'Participant reporting'!I1054</f>
        <v>0</v>
      </c>
      <c r="J827">
        <f>'Participant reporting'!J1054</f>
        <v>0</v>
      </c>
      <c r="K827">
        <f>'Participant reporting'!K1054</f>
        <v>0</v>
      </c>
      <c r="L827">
        <f>'Participant reporting'!L1054</f>
        <v>0</v>
      </c>
      <c r="M827">
        <f>'Participant reporting'!M1054</f>
        <v>0</v>
      </c>
      <c r="N827">
        <f>'Participant reporting'!N1054</f>
        <v>0</v>
      </c>
      <c r="O827">
        <f>'Participant reporting'!O1054</f>
        <v>0</v>
      </c>
    </row>
    <row r="828" spans="1:15" x14ac:dyDescent="0.25">
      <c r="A828">
        <f>'Participant reporting'!A1055</f>
        <v>0</v>
      </c>
      <c r="B828">
        <f>'Participant reporting'!B1055</f>
        <v>0</v>
      </c>
      <c r="C828">
        <f>'Participant reporting'!C1055</f>
        <v>0</v>
      </c>
      <c r="D828">
        <f>'Participant reporting'!D1055</f>
        <v>0</v>
      </c>
      <c r="E828" s="15">
        <f>'Participant reporting'!E1055</f>
        <v>0</v>
      </c>
      <c r="F828">
        <f>'Participant reporting'!F1055</f>
        <v>0</v>
      </c>
      <c r="G828">
        <f>'Participant reporting'!G1055</f>
        <v>0</v>
      </c>
      <c r="H828">
        <f>'Participant reporting'!H1055</f>
        <v>0</v>
      </c>
      <c r="I828">
        <f>'Participant reporting'!I1055</f>
        <v>0</v>
      </c>
      <c r="J828">
        <f>'Participant reporting'!J1055</f>
        <v>0</v>
      </c>
      <c r="K828">
        <f>'Participant reporting'!K1055</f>
        <v>0</v>
      </c>
      <c r="L828">
        <f>'Participant reporting'!L1055</f>
        <v>0</v>
      </c>
      <c r="M828">
        <f>'Participant reporting'!M1055</f>
        <v>0</v>
      </c>
      <c r="N828">
        <f>'Participant reporting'!N1055</f>
        <v>0</v>
      </c>
      <c r="O828">
        <f>'Participant reporting'!O1055</f>
        <v>0</v>
      </c>
    </row>
    <row r="829" spans="1:15" x14ac:dyDescent="0.25">
      <c r="A829">
        <f>'Participant reporting'!A1056</f>
        <v>0</v>
      </c>
      <c r="B829">
        <f>'Participant reporting'!B1056</f>
        <v>0</v>
      </c>
      <c r="C829">
        <f>'Participant reporting'!C1056</f>
        <v>0</v>
      </c>
      <c r="D829">
        <f>'Participant reporting'!D1056</f>
        <v>0</v>
      </c>
      <c r="E829" s="15">
        <f>'Participant reporting'!E1056</f>
        <v>0</v>
      </c>
      <c r="F829">
        <f>'Participant reporting'!F1056</f>
        <v>0</v>
      </c>
      <c r="G829">
        <f>'Participant reporting'!G1056</f>
        <v>0</v>
      </c>
      <c r="H829">
        <f>'Participant reporting'!H1056</f>
        <v>0</v>
      </c>
      <c r="I829">
        <f>'Participant reporting'!I1056</f>
        <v>0</v>
      </c>
      <c r="J829">
        <f>'Participant reporting'!J1056</f>
        <v>0</v>
      </c>
      <c r="K829">
        <f>'Participant reporting'!K1056</f>
        <v>0</v>
      </c>
      <c r="L829">
        <f>'Participant reporting'!L1056</f>
        <v>0</v>
      </c>
      <c r="M829">
        <f>'Participant reporting'!M1056</f>
        <v>0</v>
      </c>
      <c r="N829">
        <f>'Participant reporting'!N1056</f>
        <v>0</v>
      </c>
      <c r="O829">
        <f>'Participant reporting'!O1056</f>
        <v>0</v>
      </c>
    </row>
    <row r="830" spans="1:15" x14ac:dyDescent="0.25">
      <c r="A830">
        <f>'Participant reporting'!A1057</f>
        <v>0</v>
      </c>
      <c r="B830">
        <f>'Participant reporting'!B1057</f>
        <v>0</v>
      </c>
      <c r="C830">
        <f>'Participant reporting'!C1057</f>
        <v>0</v>
      </c>
      <c r="D830">
        <f>'Participant reporting'!D1057</f>
        <v>0</v>
      </c>
      <c r="E830" s="15">
        <f>'Participant reporting'!E1057</f>
        <v>0</v>
      </c>
      <c r="F830">
        <f>'Participant reporting'!F1057</f>
        <v>0</v>
      </c>
      <c r="G830">
        <f>'Participant reporting'!G1057</f>
        <v>0</v>
      </c>
      <c r="H830">
        <f>'Participant reporting'!H1057</f>
        <v>0</v>
      </c>
      <c r="I830">
        <f>'Participant reporting'!I1057</f>
        <v>0</v>
      </c>
      <c r="J830">
        <f>'Participant reporting'!J1057</f>
        <v>0</v>
      </c>
      <c r="K830">
        <f>'Participant reporting'!K1057</f>
        <v>0</v>
      </c>
      <c r="L830">
        <f>'Participant reporting'!L1057</f>
        <v>0</v>
      </c>
      <c r="M830">
        <f>'Participant reporting'!M1057</f>
        <v>0</v>
      </c>
      <c r="N830">
        <f>'Participant reporting'!N1057</f>
        <v>0</v>
      </c>
      <c r="O830">
        <f>'Participant reporting'!O1057</f>
        <v>0</v>
      </c>
    </row>
    <row r="831" spans="1:15" x14ac:dyDescent="0.25">
      <c r="A831">
        <f>'Participant reporting'!A1058</f>
        <v>0</v>
      </c>
      <c r="B831">
        <f>'Participant reporting'!B1058</f>
        <v>0</v>
      </c>
      <c r="C831">
        <f>'Participant reporting'!C1058</f>
        <v>0</v>
      </c>
      <c r="D831">
        <f>'Participant reporting'!D1058</f>
        <v>0</v>
      </c>
      <c r="E831" s="15">
        <f>'Participant reporting'!E1058</f>
        <v>0</v>
      </c>
      <c r="F831">
        <f>'Participant reporting'!F1058</f>
        <v>0</v>
      </c>
      <c r="G831">
        <f>'Participant reporting'!G1058</f>
        <v>0</v>
      </c>
      <c r="H831">
        <f>'Participant reporting'!H1058</f>
        <v>0</v>
      </c>
      <c r="I831">
        <f>'Participant reporting'!I1058</f>
        <v>0</v>
      </c>
      <c r="J831">
        <f>'Participant reporting'!J1058</f>
        <v>0</v>
      </c>
      <c r="K831">
        <f>'Participant reporting'!K1058</f>
        <v>0</v>
      </c>
      <c r="L831">
        <f>'Participant reporting'!L1058</f>
        <v>0</v>
      </c>
      <c r="M831">
        <f>'Participant reporting'!M1058</f>
        <v>0</v>
      </c>
      <c r="N831">
        <f>'Participant reporting'!N1058</f>
        <v>0</v>
      </c>
      <c r="O831">
        <f>'Participant reporting'!O1058</f>
        <v>0</v>
      </c>
    </row>
    <row r="832" spans="1:15" x14ac:dyDescent="0.25">
      <c r="A832">
        <f>'Participant reporting'!A1059</f>
        <v>0</v>
      </c>
      <c r="B832">
        <f>'Participant reporting'!B1059</f>
        <v>0</v>
      </c>
      <c r="C832">
        <f>'Participant reporting'!C1059</f>
        <v>0</v>
      </c>
      <c r="D832">
        <f>'Participant reporting'!D1059</f>
        <v>0</v>
      </c>
      <c r="E832" s="15">
        <f>'Participant reporting'!E1059</f>
        <v>0</v>
      </c>
      <c r="F832">
        <f>'Participant reporting'!F1059</f>
        <v>0</v>
      </c>
      <c r="G832">
        <f>'Participant reporting'!G1059</f>
        <v>0</v>
      </c>
      <c r="H832">
        <f>'Participant reporting'!H1059</f>
        <v>0</v>
      </c>
      <c r="I832">
        <f>'Participant reporting'!I1059</f>
        <v>0</v>
      </c>
      <c r="J832">
        <f>'Participant reporting'!J1059</f>
        <v>0</v>
      </c>
      <c r="K832">
        <f>'Participant reporting'!K1059</f>
        <v>0</v>
      </c>
      <c r="L832">
        <f>'Participant reporting'!L1059</f>
        <v>0</v>
      </c>
      <c r="M832">
        <f>'Participant reporting'!M1059</f>
        <v>0</v>
      </c>
      <c r="N832">
        <f>'Participant reporting'!N1059</f>
        <v>0</v>
      </c>
      <c r="O832">
        <f>'Participant reporting'!O1059</f>
        <v>0</v>
      </c>
    </row>
    <row r="833" spans="1:15" x14ac:dyDescent="0.25">
      <c r="A833">
        <f>'Participant reporting'!A1060</f>
        <v>0</v>
      </c>
      <c r="B833">
        <f>'Participant reporting'!B1060</f>
        <v>0</v>
      </c>
      <c r="C833">
        <f>'Participant reporting'!C1060</f>
        <v>0</v>
      </c>
      <c r="D833">
        <f>'Participant reporting'!D1060</f>
        <v>0</v>
      </c>
      <c r="E833" s="15">
        <f>'Participant reporting'!E1060</f>
        <v>0</v>
      </c>
      <c r="F833">
        <f>'Participant reporting'!F1060</f>
        <v>0</v>
      </c>
      <c r="G833">
        <f>'Participant reporting'!G1060</f>
        <v>0</v>
      </c>
      <c r="H833">
        <f>'Participant reporting'!H1060</f>
        <v>0</v>
      </c>
      <c r="I833">
        <f>'Participant reporting'!I1060</f>
        <v>0</v>
      </c>
      <c r="J833">
        <f>'Participant reporting'!J1060</f>
        <v>0</v>
      </c>
      <c r="K833">
        <f>'Participant reporting'!K1060</f>
        <v>0</v>
      </c>
      <c r="L833">
        <f>'Participant reporting'!L1060</f>
        <v>0</v>
      </c>
      <c r="M833">
        <f>'Participant reporting'!M1060</f>
        <v>0</v>
      </c>
      <c r="N833">
        <f>'Participant reporting'!N1060</f>
        <v>0</v>
      </c>
      <c r="O833">
        <f>'Participant reporting'!O1060</f>
        <v>0</v>
      </c>
    </row>
    <row r="834" spans="1:15" x14ac:dyDescent="0.25">
      <c r="A834">
        <f>'Participant reporting'!A1061</f>
        <v>0</v>
      </c>
      <c r="B834">
        <f>'Participant reporting'!B1061</f>
        <v>0</v>
      </c>
      <c r="C834">
        <f>'Participant reporting'!C1061</f>
        <v>0</v>
      </c>
      <c r="D834">
        <f>'Participant reporting'!D1061</f>
        <v>0</v>
      </c>
      <c r="E834" s="15">
        <f>'Participant reporting'!E1061</f>
        <v>0</v>
      </c>
      <c r="F834">
        <f>'Participant reporting'!F1061</f>
        <v>0</v>
      </c>
      <c r="G834">
        <f>'Participant reporting'!G1061</f>
        <v>0</v>
      </c>
      <c r="H834">
        <f>'Participant reporting'!H1061</f>
        <v>0</v>
      </c>
      <c r="I834">
        <f>'Participant reporting'!I1061</f>
        <v>0</v>
      </c>
      <c r="J834">
        <f>'Participant reporting'!J1061</f>
        <v>0</v>
      </c>
      <c r="K834">
        <f>'Participant reporting'!K1061</f>
        <v>0</v>
      </c>
      <c r="L834">
        <f>'Participant reporting'!L1061</f>
        <v>0</v>
      </c>
      <c r="M834">
        <f>'Participant reporting'!M1061</f>
        <v>0</v>
      </c>
      <c r="N834">
        <f>'Participant reporting'!N1061</f>
        <v>0</v>
      </c>
      <c r="O834">
        <f>'Participant reporting'!O1061</f>
        <v>0</v>
      </c>
    </row>
    <row r="835" spans="1:15" x14ac:dyDescent="0.25">
      <c r="A835">
        <f>'Participant reporting'!A1062</f>
        <v>0</v>
      </c>
      <c r="B835">
        <f>'Participant reporting'!B1062</f>
        <v>0</v>
      </c>
      <c r="C835">
        <f>'Participant reporting'!C1062</f>
        <v>0</v>
      </c>
      <c r="D835">
        <f>'Participant reporting'!D1062</f>
        <v>0</v>
      </c>
      <c r="E835" s="15">
        <f>'Participant reporting'!E1062</f>
        <v>0</v>
      </c>
      <c r="F835">
        <f>'Participant reporting'!F1062</f>
        <v>0</v>
      </c>
      <c r="G835">
        <f>'Participant reporting'!G1062</f>
        <v>0</v>
      </c>
      <c r="H835">
        <f>'Participant reporting'!H1062</f>
        <v>0</v>
      </c>
      <c r="I835">
        <f>'Participant reporting'!I1062</f>
        <v>0</v>
      </c>
      <c r="J835">
        <f>'Participant reporting'!J1062</f>
        <v>0</v>
      </c>
      <c r="K835">
        <f>'Participant reporting'!K1062</f>
        <v>0</v>
      </c>
      <c r="L835">
        <f>'Participant reporting'!L1062</f>
        <v>0</v>
      </c>
      <c r="M835">
        <f>'Participant reporting'!M1062</f>
        <v>0</v>
      </c>
      <c r="N835">
        <f>'Participant reporting'!N1062</f>
        <v>0</v>
      </c>
      <c r="O835">
        <f>'Participant reporting'!O1062</f>
        <v>0</v>
      </c>
    </row>
    <row r="836" spans="1:15" x14ac:dyDescent="0.25">
      <c r="A836">
        <f>'Participant reporting'!A1063</f>
        <v>0</v>
      </c>
      <c r="B836">
        <f>'Participant reporting'!B1063</f>
        <v>0</v>
      </c>
      <c r="C836">
        <f>'Participant reporting'!C1063</f>
        <v>0</v>
      </c>
      <c r="D836">
        <f>'Participant reporting'!D1063</f>
        <v>0</v>
      </c>
      <c r="E836" s="15">
        <f>'Participant reporting'!E1063</f>
        <v>0</v>
      </c>
      <c r="F836">
        <f>'Participant reporting'!F1063</f>
        <v>0</v>
      </c>
      <c r="G836">
        <f>'Participant reporting'!G1063</f>
        <v>0</v>
      </c>
      <c r="H836">
        <f>'Participant reporting'!H1063</f>
        <v>0</v>
      </c>
      <c r="I836">
        <f>'Participant reporting'!I1063</f>
        <v>0</v>
      </c>
      <c r="J836">
        <f>'Participant reporting'!J1063</f>
        <v>0</v>
      </c>
      <c r="K836">
        <f>'Participant reporting'!K1063</f>
        <v>0</v>
      </c>
      <c r="L836">
        <f>'Participant reporting'!L1063</f>
        <v>0</v>
      </c>
      <c r="M836">
        <f>'Participant reporting'!M1063</f>
        <v>0</v>
      </c>
      <c r="N836">
        <f>'Participant reporting'!N1063</f>
        <v>0</v>
      </c>
      <c r="O836">
        <f>'Participant reporting'!O1063</f>
        <v>0</v>
      </c>
    </row>
    <row r="837" spans="1:15" x14ac:dyDescent="0.25">
      <c r="A837">
        <f>'Participant reporting'!A1064</f>
        <v>0</v>
      </c>
      <c r="B837">
        <f>'Participant reporting'!B1064</f>
        <v>0</v>
      </c>
      <c r="C837">
        <f>'Participant reporting'!C1064</f>
        <v>0</v>
      </c>
      <c r="D837">
        <f>'Participant reporting'!D1064</f>
        <v>0</v>
      </c>
      <c r="E837" s="15">
        <f>'Participant reporting'!E1064</f>
        <v>0</v>
      </c>
      <c r="F837">
        <f>'Participant reporting'!F1064</f>
        <v>0</v>
      </c>
      <c r="G837">
        <f>'Participant reporting'!G1064</f>
        <v>0</v>
      </c>
      <c r="H837">
        <f>'Participant reporting'!H1064</f>
        <v>0</v>
      </c>
      <c r="I837">
        <f>'Participant reporting'!I1064</f>
        <v>0</v>
      </c>
      <c r="J837">
        <f>'Participant reporting'!J1064</f>
        <v>0</v>
      </c>
      <c r="K837">
        <f>'Participant reporting'!K1064</f>
        <v>0</v>
      </c>
      <c r="L837">
        <f>'Participant reporting'!L1064</f>
        <v>0</v>
      </c>
      <c r="M837">
        <f>'Participant reporting'!M1064</f>
        <v>0</v>
      </c>
      <c r="N837">
        <f>'Participant reporting'!N1064</f>
        <v>0</v>
      </c>
      <c r="O837">
        <f>'Participant reporting'!O1064</f>
        <v>0</v>
      </c>
    </row>
    <row r="838" spans="1:15" x14ac:dyDescent="0.25">
      <c r="A838">
        <f>'Participant reporting'!A1065</f>
        <v>0</v>
      </c>
      <c r="B838">
        <f>'Participant reporting'!B1065</f>
        <v>0</v>
      </c>
      <c r="C838">
        <f>'Participant reporting'!C1065</f>
        <v>0</v>
      </c>
      <c r="D838">
        <f>'Participant reporting'!D1065</f>
        <v>0</v>
      </c>
      <c r="E838" s="15">
        <f>'Participant reporting'!E1065</f>
        <v>0</v>
      </c>
      <c r="F838">
        <f>'Participant reporting'!F1065</f>
        <v>0</v>
      </c>
      <c r="G838">
        <f>'Participant reporting'!G1065</f>
        <v>0</v>
      </c>
      <c r="H838">
        <f>'Participant reporting'!H1065</f>
        <v>0</v>
      </c>
      <c r="I838">
        <f>'Participant reporting'!I1065</f>
        <v>0</v>
      </c>
      <c r="J838">
        <f>'Participant reporting'!J1065</f>
        <v>0</v>
      </c>
      <c r="K838">
        <f>'Participant reporting'!K1065</f>
        <v>0</v>
      </c>
      <c r="L838">
        <f>'Participant reporting'!L1065</f>
        <v>0</v>
      </c>
      <c r="M838">
        <f>'Participant reporting'!M1065</f>
        <v>0</v>
      </c>
      <c r="N838">
        <f>'Participant reporting'!N1065</f>
        <v>0</v>
      </c>
      <c r="O838">
        <f>'Participant reporting'!O1065</f>
        <v>0</v>
      </c>
    </row>
    <row r="839" spans="1:15" x14ac:dyDescent="0.25">
      <c r="A839">
        <f>'Participant reporting'!A1066</f>
        <v>0</v>
      </c>
      <c r="B839">
        <f>'Participant reporting'!B1066</f>
        <v>0</v>
      </c>
      <c r="C839">
        <f>'Participant reporting'!C1066</f>
        <v>0</v>
      </c>
      <c r="D839">
        <f>'Participant reporting'!D1066</f>
        <v>0</v>
      </c>
      <c r="E839" s="15">
        <f>'Participant reporting'!E1066</f>
        <v>0</v>
      </c>
      <c r="F839">
        <f>'Participant reporting'!F1066</f>
        <v>0</v>
      </c>
      <c r="G839">
        <f>'Participant reporting'!G1066</f>
        <v>0</v>
      </c>
      <c r="H839">
        <f>'Participant reporting'!H1066</f>
        <v>0</v>
      </c>
      <c r="I839">
        <f>'Participant reporting'!I1066</f>
        <v>0</v>
      </c>
      <c r="J839">
        <f>'Participant reporting'!J1066</f>
        <v>0</v>
      </c>
      <c r="K839">
        <f>'Participant reporting'!K1066</f>
        <v>0</v>
      </c>
      <c r="L839">
        <f>'Participant reporting'!L1066</f>
        <v>0</v>
      </c>
      <c r="M839">
        <f>'Participant reporting'!M1066</f>
        <v>0</v>
      </c>
      <c r="N839">
        <f>'Participant reporting'!N1066</f>
        <v>0</v>
      </c>
      <c r="O839">
        <f>'Participant reporting'!O1066</f>
        <v>0</v>
      </c>
    </row>
    <row r="840" spans="1:15" x14ac:dyDescent="0.25">
      <c r="A840">
        <f>'Participant reporting'!A1067</f>
        <v>0</v>
      </c>
      <c r="B840">
        <f>'Participant reporting'!B1067</f>
        <v>0</v>
      </c>
      <c r="C840">
        <f>'Participant reporting'!C1067</f>
        <v>0</v>
      </c>
      <c r="D840">
        <f>'Participant reporting'!D1067</f>
        <v>0</v>
      </c>
      <c r="E840" s="15">
        <f>'Participant reporting'!E1067</f>
        <v>0</v>
      </c>
      <c r="F840">
        <f>'Participant reporting'!F1067</f>
        <v>0</v>
      </c>
      <c r="G840">
        <f>'Participant reporting'!G1067</f>
        <v>0</v>
      </c>
      <c r="H840">
        <f>'Participant reporting'!H1067</f>
        <v>0</v>
      </c>
      <c r="I840">
        <f>'Participant reporting'!I1067</f>
        <v>0</v>
      </c>
      <c r="J840">
        <f>'Participant reporting'!J1067</f>
        <v>0</v>
      </c>
      <c r="K840">
        <f>'Participant reporting'!K1067</f>
        <v>0</v>
      </c>
      <c r="L840">
        <f>'Participant reporting'!L1067</f>
        <v>0</v>
      </c>
      <c r="M840">
        <f>'Participant reporting'!M1067</f>
        <v>0</v>
      </c>
      <c r="N840">
        <f>'Participant reporting'!N1067</f>
        <v>0</v>
      </c>
      <c r="O840">
        <f>'Participant reporting'!O1067</f>
        <v>0</v>
      </c>
    </row>
    <row r="841" spans="1:15" x14ac:dyDescent="0.25">
      <c r="A841">
        <f>'Participant reporting'!A1068</f>
        <v>0</v>
      </c>
      <c r="B841">
        <f>'Participant reporting'!B1068</f>
        <v>0</v>
      </c>
      <c r="C841">
        <f>'Participant reporting'!C1068</f>
        <v>0</v>
      </c>
      <c r="D841">
        <f>'Participant reporting'!D1068</f>
        <v>0</v>
      </c>
      <c r="E841" s="15">
        <f>'Participant reporting'!E1068</f>
        <v>0</v>
      </c>
      <c r="F841">
        <f>'Participant reporting'!F1068</f>
        <v>0</v>
      </c>
      <c r="G841">
        <f>'Participant reporting'!G1068</f>
        <v>0</v>
      </c>
      <c r="H841">
        <f>'Participant reporting'!H1068</f>
        <v>0</v>
      </c>
      <c r="I841">
        <f>'Participant reporting'!I1068</f>
        <v>0</v>
      </c>
      <c r="J841">
        <f>'Participant reporting'!J1068</f>
        <v>0</v>
      </c>
      <c r="K841">
        <f>'Participant reporting'!K1068</f>
        <v>0</v>
      </c>
      <c r="L841">
        <f>'Participant reporting'!L1068</f>
        <v>0</v>
      </c>
      <c r="M841">
        <f>'Participant reporting'!M1068</f>
        <v>0</v>
      </c>
      <c r="N841">
        <f>'Participant reporting'!N1068</f>
        <v>0</v>
      </c>
      <c r="O841">
        <f>'Participant reporting'!O1068</f>
        <v>0</v>
      </c>
    </row>
    <row r="842" spans="1:15" x14ac:dyDescent="0.25">
      <c r="A842">
        <f>'Participant reporting'!A1069</f>
        <v>0</v>
      </c>
      <c r="B842">
        <f>'Participant reporting'!B1069</f>
        <v>0</v>
      </c>
      <c r="C842">
        <f>'Participant reporting'!C1069</f>
        <v>0</v>
      </c>
      <c r="D842">
        <f>'Participant reporting'!D1069</f>
        <v>0</v>
      </c>
      <c r="E842" s="15">
        <f>'Participant reporting'!E1069</f>
        <v>0</v>
      </c>
      <c r="F842">
        <f>'Participant reporting'!F1069</f>
        <v>0</v>
      </c>
      <c r="G842">
        <f>'Participant reporting'!G1069</f>
        <v>0</v>
      </c>
      <c r="H842">
        <f>'Participant reporting'!H1069</f>
        <v>0</v>
      </c>
      <c r="I842">
        <f>'Participant reporting'!I1069</f>
        <v>0</v>
      </c>
      <c r="J842">
        <f>'Participant reporting'!J1069</f>
        <v>0</v>
      </c>
      <c r="K842">
        <f>'Participant reporting'!K1069</f>
        <v>0</v>
      </c>
      <c r="L842">
        <f>'Participant reporting'!L1069</f>
        <v>0</v>
      </c>
      <c r="M842">
        <f>'Participant reporting'!M1069</f>
        <v>0</v>
      </c>
      <c r="N842">
        <f>'Participant reporting'!N1069</f>
        <v>0</v>
      </c>
      <c r="O842">
        <f>'Participant reporting'!O1069</f>
        <v>0</v>
      </c>
    </row>
    <row r="843" spans="1:15" x14ac:dyDescent="0.25">
      <c r="A843">
        <f>'Participant reporting'!A1070</f>
        <v>0</v>
      </c>
      <c r="B843">
        <f>'Participant reporting'!B1070</f>
        <v>0</v>
      </c>
      <c r="C843">
        <f>'Participant reporting'!C1070</f>
        <v>0</v>
      </c>
      <c r="D843">
        <f>'Participant reporting'!D1070</f>
        <v>0</v>
      </c>
      <c r="E843" s="15">
        <f>'Participant reporting'!E1070</f>
        <v>0</v>
      </c>
      <c r="F843">
        <f>'Participant reporting'!F1070</f>
        <v>0</v>
      </c>
      <c r="G843">
        <f>'Participant reporting'!G1070</f>
        <v>0</v>
      </c>
      <c r="H843">
        <f>'Participant reporting'!H1070</f>
        <v>0</v>
      </c>
      <c r="I843">
        <f>'Participant reporting'!I1070</f>
        <v>0</v>
      </c>
      <c r="J843">
        <f>'Participant reporting'!J1070</f>
        <v>0</v>
      </c>
      <c r="K843">
        <f>'Participant reporting'!K1070</f>
        <v>0</v>
      </c>
      <c r="L843">
        <f>'Participant reporting'!L1070</f>
        <v>0</v>
      </c>
      <c r="M843">
        <f>'Participant reporting'!M1070</f>
        <v>0</v>
      </c>
      <c r="N843">
        <f>'Participant reporting'!N1070</f>
        <v>0</v>
      </c>
      <c r="O843">
        <f>'Participant reporting'!O1070</f>
        <v>0</v>
      </c>
    </row>
    <row r="844" spans="1:15" x14ac:dyDescent="0.25">
      <c r="A844">
        <f>'Participant reporting'!A1071</f>
        <v>0</v>
      </c>
      <c r="B844">
        <f>'Participant reporting'!B1071</f>
        <v>0</v>
      </c>
      <c r="C844">
        <f>'Participant reporting'!C1071</f>
        <v>0</v>
      </c>
      <c r="D844">
        <f>'Participant reporting'!D1071</f>
        <v>0</v>
      </c>
      <c r="E844" s="15">
        <f>'Participant reporting'!E1071</f>
        <v>0</v>
      </c>
      <c r="F844">
        <f>'Participant reporting'!F1071</f>
        <v>0</v>
      </c>
      <c r="G844">
        <f>'Participant reporting'!G1071</f>
        <v>0</v>
      </c>
      <c r="H844">
        <f>'Participant reporting'!H1071</f>
        <v>0</v>
      </c>
      <c r="I844">
        <f>'Participant reporting'!I1071</f>
        <v>0</v>
      </c>
      <c r="J844">
        <f>'Participant reporting'!J1071</f>
        <v>0</v>
      </c>
      <c r="K844">
        <f>'Participant reporting'!K1071</f>
        <v>0</v>
      </c>
      <c r="L844">
        <f>'Participant reporting'!L1071</f>
        <v>0</v>
      </c>
      <c r="M844">
        <f>'Participant reporting'!M1071</f>
        <v>0</v>
      </c>
      <c r="N844">
        <f>'Participant reporting'!N1071</f>
        <v>0</v>
      </c>
      <c r="O844">
        <f>'Participant reporting'!O1071</f>
        <v>0</v>
      </c>
    </row>
    <row r="845" spans="1:15" x14ac:dyDescent="0.25">
      <c r="A845">
        <f>'Participant reporting'!A1072</f>
        <v>0</v>
      </c>
      <c r="B845">
        <f>'Participant reporting'!B1072</f>
        <v>0</v>
      </c>
      <c r="C845">
        <f>'Participant reporting'!C1072</f>
        <v>0</v>
      </c>
      <c r="D845">
        <f>'Participant reporting'!D1072</f>
        <v>0</v>
      </c>
      <c r="E845" s="15">
        <f>'Participant reporting'!E1072</f>
        <v>0</v>
      </c>
      <c r="F845">
        <f>'Participant reporting'!F1072</f>
        <v>0</v>
      </c>
      <c r="G845">
        <f>'Participant reporting'!G1072</f>
        <v>0</v>
      </c>
      <c r="H845">
        <f>'Participant reporting'!H1072</f>
        <v>0</v>
      </c>
      <c r="I845">
        <f>'Participant reporting'!I1072</f>
        <v>0</v>
      </c>
      <c r="J845">
        <f>'Participant reporting'!J1072</f>
        <v>0</v>
      </c>
      <c r="K845">
        <f>'Participant reporting'!K1072</f>
        <v>0</v>
      </c>
      <c r="L845">
        <f>'Participant reporting'!L1072</f>
        <v>0</v>
      </c>
      <c r="M845">
        <f>'Participant reporting'!M1072</f>
        <v>0</v>
      </c>
      <c r="N845">
        <f>'Participant reporting'!N1072</f>
        <v>0</v>
      </c>
      <c r="O845">
        <f>'Participant reporting'!O1072</f>
        <v>0</v>
      </c>
    </row>
    <row r="846" spans="1:15" x14ac:dyDescent="0.25">
      <c r="A846">
        <f>'Participant reporting'!A1073</f>
        <v>0</v>
      </c>
      <c r="B846">
        <f>'Participant reporting'!B1073</f>
        <v>0</v>
      </c>
      <c r="C846">
        <f>'Participant reporting'!C1073</f>
        <v>0</v>
      </c>
      <c r="D846">
        <f>'Participant reporting'!D1073</f>
        <v>0</v>
      </c>
      <c r="E846" s="15">
        <f>'Participant reporting'!E1073</f>
        <v>0</v>
      </c>
      <c r="F846">
        <f>'Participant reporting'!F1073</f>
        <v>0</v>
      </c>
      <c r="G846">
        <f>'Participant reporting'!G1073</f>
        <v>0</v>
      </c>
      <c r="H846">
        <f>'Participant reporting'!H1073</f>
        <v>0</v>
      </c>
      <c r="I846">
        <f>'Participant reporting'!I1073</f>
        <v>0</v>
      </c>
      <c r="J846">
        <f>'Participant reporting'!J1073</f>
        <v>0</v>
      </c>
      <c r="K846">
        <f>'Participant reporting'!K1073</f>
        <v>0</v>
      </c>
      <c r="L846">
        <f>'Participant reporting'!L1073</f>
        <v>0</v>
      </c>
      <c r="M846">
        <f>'Participant reporting'!M1073</f>
        <v>0</v>
      </c>
      <c r="N846">
        <f>'Participant reporting'!N1073</f>
        <v>0</v>
      </c>
      <c r="O846">
        <f>'Participant reporting'!O1073</f>
        <v>0</v>
      </c>
    </row>
    <row r="847" spans="1:15" x14ac:dyDescent="0.25">
      <c r="A847">
        <f>'Participant reporting'!A1074</f>
        <v>0</v>
      </c>
      <c r="B847">
        <f>'Participant reporting'!B1074</f>
        <v>0</v>
      </c>
      <c r="C847">
        <f>'Participant reporting'!C1074</f>
        <v>0</v>
      </c>
      <c r="D847">
        <f>'Participant reporting'!D1074</f>
        <v>0</v>
      </c>
      <c r="E847" s="15">
        <f>'Participant reporting'!E1074</f>
        <v>0</v>
      </c>
      <c r="F847">
        <f>'Participant reporting'!F1074</f>
        <v>0</v>
      </c>
      <c r="G847">
        <f>'Participant reporting'!G1074</f>
        <v>0</v>
      </c>
      <c r="H847">
        <f>'Participant reporting'!H1074</f>
        <v>0</v>
      </c>
      <c r="I847">
        <f>'Participant reporting'!I1074</f>
        <v>0</v>
      </c>
      <c r="J847">
        <f>'Participant reporting'!J1074</f>
        <v>0</v>
      </c>
      <c r="K847">
        <f>'Participant reporting'!K1074</f>
        <v>0</v>
      </c>
      <c r="L847">
        <f>'Participant reporting'!L1074</f>
        <v>0</v>
      </c>
      <c r="M847">
        <f>'Participant reporting'!M1074</f>
        <v>0</v>
      </c>
      <c r="N847">
        <f>'Participant reporting'!N1074</f>
        <v>0</v>
      </c>
      <c r="O847">
        <f>'Participant reporting'!O1074</f>
        <v>0</v>
      </c>
    </row>
    <row r="848" spans="1:15" x14ac:dyDescent="0.25">
      <c r="A848">
        <f>'Participant reporting'!A1075</f>
        <v>0</v>
      </c>
      <c r="B848">
        <f>'Participant reporting'!B1075</f>
        <v>0</v>
      </c>
      <c r="C848">
        <f>'Participant reporting'!C1075</f>
        <v>0</v>
      </c>
      <c r="D848">
        <f>'Participant reporting'!D1075</f>
        <v>0</v>
      </c>
      <c r="E848" s="15">
        <f>'Participant reporting'!E1075</f>
        <v>0</v>
      </c>
      <c r="F848">
        <f>'Participant reporting'!F1075</f>
        <v>0</v>
      </c>
      <c r="G848">
        <f>'Participant reporting'!G1075</f>
        <v>0</v>
      </c>
      <c r="H848">
        <f>'Participant reporting'!H1075</f>
        <v>0</v>
      </c>
      <c r="I848">
        <f>'Participant reporting'!I1075</f>
        <v>0</v>
      </c>
      <c r="J848">
        <f>'Participant reporting'!J1075</f>
        <v>0</v>
      </c>
      <c r="K848">
        <f>'Participant reporting'!K1075</f>
        <v>0</v>
      </c>
      <c r="L848">
        <f>'Participant reporting'!L1075</f>
        <v>0</v>
      </c>
      <c r="M848">
        <f>'Participant reporting'!M1075</f>
        <v>0</v>
      </c>
      <c r="N848">
        <f>'Participant reporting'!N1075</f>
        <v>0</v>
      </c>
      <c r="O848">
        <f>'Participant reporting'!O1075</f>
        <v>0</v>
      </c>
    </row>
    <row r="849" spans="1:15" x14ac:dyDescent="0.25">
      <c r="A849">
        <f>'Participant reporting'!A1076</f>
        <v>0</v>
      </c>
      <c r="B849">
        <f>'Participant reporting'!B1076</f>
        <v>0</v>
      </c>
      <c r="C849">
        <f>'Participant reporting'!C1076</f>
        <v>0</v>
      </c>
      <c r="D849">
        <f>'Participant reporting'!D1076</f>
        <v>0</v>
      </c>
      <c r="E849" s="15">
        <f>'Participant reporting'!E1076</f>
        <v>0</v>
      </c>
      <c r="F849">
        <f>'Participant reporting'!F1076</f>
        <v>0</v>
      </c>
      <c r="G849">
        <f>'Participant reporting'!G1076</f>
        <v>0</v>
      </c>
      <c r="H849">
        <f>'Participant reporting'!H1076</f>
        <v>0</v>
      </c>
      <c r="I849">
        <f>'Participant reporting'!I1076</f>
        <v>0</v>
      </c>
      <c r="J849">
        <f>'Participant reporting'!J1076</f>
        <v>0</v>
      </c>
      <c r="K849">
        <f>'Participant reporting'!K1076</f>
        <v>0</v>
      </c>
      <c r="L849">
        <f>'Participant reporting'!L1076</f>
        <v>0</v>
      </c>
      <c r="M849">
        <f>'Participant reporting'!M1076</f>
        <v>0</v>
      </c>
      <c r="N849">
        <f>'Participant reporting'!N1076</f>
        <v>0</v>
      </c>
      <c r="O849">
        <f>'Participant reporting'!O1076</f>
        <v>0</v>
      </c>
    </row>
    <row r="850" spans="1:15" x14ac:dyDescent="0.25">
      <c r="A850">
        <f>'Participant reporting'!A1077</f>
        <v>0</v>
      </c>
      <c r="B850">
        <f>'Participant reporting'!B1077</f>
        <v>0</v>
      </c>
      <c r="C850">
        <f>'Participant reporting'!C1077</f>
        <v>0</v>
      </c>
      <c r="D850">
        <f>'Participant reporting'!D1077</f>
        <v>0</v>
      </c>
      <c r="E850" s="15">
        <f>'Participant reporting'!E1077</f>
        <v>0</v>
      </c>
      <c r="F850">
        <f>'Participant reporting'!F1077</f>
        <v>0</v>
      </c>
      <c r="G850">
        <f>'Participant reporting'!G1077</f>
        <v>0</v>
      </c>
      <c r="H850">
        <f>'Participant reporting'!H1077</f>
        <v>0</v>
      </c>
      <c r="I850">
        <f>'Participant reporting'!I1077</f>
        <v>0</v>
      </c>
      <c r="J850">
        <f>'Participant reporting'!J1077</f>
        <v>0</v>
      </c>
      <c r="K850">
        <f>'Participant reporting'!K1077</f>
        <v>0</v>
      </c>
      <c r="L850">
        <f>'Participant reporting'!L1077</f>
        <v>0</v>
      </c>
      <c r="M850">
        <f>'Participant reporting'!M1077</f>
        <v>0</v>
      </c>
      <c r="N850">
        <f>'Participant reporting'!N1077</f>
        <v>0</v>
      </c>
      <c r="O850">
        <f>'Participant reporting'!O1077</f>
        <v>0</v>
      </c>
    </row>
    <row r="851" spans="1:15" x14ac:dyDescent="0.25">
      <c r="A851">
        <f>'Participant reporting'!A1078</f>
        <v>0</v>
      </c>
      <c r="B851">
        <f>'Participant reporting'!B1078</f>
        <v>0</v>
      </c>
      <c r="C851">
        <f>'Participant reporting'!C1078</f>
        <v>0</v>
      </c>
      <c r="D851">
        <f>'Participant reporting'!D1078</f>
        <v>0</v>
      </c>
      <c r="E851" s="15">
        <f>'Participant reporting'!E1078</f>
        <v>0</v>
      </c>
      <c r="F851">
        <f>'Participant reporting'!F1078</f>
        <v>0</v>
      </c>
      <c r="G851">
        <f>'Participant reporting'!G1078</f>
        <v>0</v>
      </c>
      <c r="H851">
        <f>'Participant reporting'!H1078</f>
        <v>0</v>
      </c>
      <c r="I851">
        <f>'Participant reporting'!I1078</f>
        <v>0</v>
      </c>
      <c r="J851">
        <f>'Participant reporting'!J1078</f>
        <v>0</v>
      </c>
      <c r="K851">
        <f>'Participant reporting'!K1078</f>
        <v>0</v>
      </c>
      <c r="L851">
        <f>'Participant reporting'!L1078</f>
        <v>0</v>
      </c>
      <c r="M851">
        <f>'Participant reporting'!M1078</f>
        <v>0</v>
      </c>
      <c r="N851">
        <f>'Participant reporting'!N1078</f>
        <v>0</v>
      </c>
      <c r="O851">
        <f>'Participant reporting'!O1078</f>
        <v>0</v>
      </c>
    </row>
    <row r="852" spans="1:15" x14ac:dyDescent="0.25">
      <c r="A852">
        <f>'Participant reporting'!A1079</f>
        <v>0</v>
      </c>
      <c r="B852">
        <f>'Participant reporting'!B1079</f>
        <v>0</v>
      </c>
      <c r="C852">
        <f>'Participant reporting'!C1079</f>
        <v>0</v>
      </c>
      <c r="D852">
        <f>'Participant reporting'!D1079</f>
        <v>0</v>
      </c>
      <c r="E852" s="15">
        <f>'Participant reporting'!E1079</f>
        <v>0</v>
      </c>
      <c r="F852">
        <f>'Participant reporting'!F1079</f>
        <v>0</v>
      </c>
      <c r="G852">
        <f>'Participant reporting'!G1079</f>
        <v>0</v>
      </c>
      <c r="H852">
        <f>'Participant reporting'!H1079</f>
        <v>0</v>
      </c>
      <c r="I852">
        <f>'Participant reporting'!I1079</f>
        <v>0</v>
      </c>
      <c r="J852">
        <f>'Participant reporting'!J1079</f>
        <v>0</v>
      </c>
      <c r="K852">
        <f>'Participant reporting'!K1079</f>
        <v>0</v>
      </c>
      <c r="L852">
        <f>'Participant reporting'!L1079</f>
        <v>0</v>
      </c>
      <c r="M852">
        <f>'Participant reporting'!M1079</f>
        <v>0</v>
      </c>
      <c r="N852">
        <f>'Participant reporting'!N1079</f>
        <v>0</v>
      </c>
      <c r="O852">
        <f>'Participant reporting'!O1079</f>
        <v>0</v>
      </c>
    </row>
    <row r="853" spans="1:15" x14ac:dyDescent="0.25">
      <c r="A853">
        <f>'Participant reporting'!A1080</f>
        <v>0</v>
      </c>
      <c r="B853">
        <f>'Participant reporting'!B1080</f>
        <v>0</v>
      </c>
      <c r="C853">
        <f>'Participant reporting'!C1080</f>
        <v>0</v>
      </c>
      <c r="D853">
        <f>'Participant reporting'!D1080</f>
        <v>0</v>
      </c>
      <c r="E853" s="15">
        <f>'Participant reporting'!E1080</f>
        <v>0</v>
      </c>
      <c r="F853">
        <f>'Participant reporting'!F1080</f>
        <v>0</v>
      </c>
      <c r="G853">
        <f>'Participant reporting'!G1080</f>
        <v>0</v>
      </c>
      <c r="H853">
        <f>'Participant reporting'!H1080</f>
        <v>0</v>
      </c>
      <c r="I853">
        <f>'Participant reporting'!I1080</f>
        <v>0</v>
      </c>
      <c r="J853">
        <f>'Participant reporting'!J1080</f>
        <v>0</v>
      </c>
      <c r="K853">
        <f>'Participant reporting'!K1080</f>
        <v>0</v>
      </c>
      <c r="L853">
        <f>'Participant reporting'!L1080</f>
        <v>0</v>
      </c>
      <c r="M853">
        <f>'Participant reporting'!M1080</f>
        <v>0</v>
      </c>
      <c r="N853">
        <f>'Participant reporting'!N1080</f>
        <v>0</v>
      </c>
      <c r="O853">
        <f>'Participant reporting'!O1080</f>
        <v>0</v>
      </c>
    </row>
    <row r="854" spans="1:15" x14ac:dyDescent="0.25">
      <c r="A854">
        <f>'Participant reporting'!A1081</f>
        <v>0</v>
      </c>
      <c r="B854">
        <f>'Participant reporting'!B1081</f>
        <v>0</v>
      </c>
      <c r="C854">
        <f>'Participant reporting'!C1081</f>
        <v>0</v>
      </c>
      <c r="D854">
        <f>'Participant reporting'!D1081</f>
        <v>0</v>
      </c>
      <c r="E854" s="15">
        <f>'Participant reporting'!E1081</f>
        <v>0</v>
      </c>
      <c r="F854">
        <f>'Participant reporting'!F1081</f>
        <v>0</v>
      </c>
      <c r="G854">
        <f>'Participant reporting'!G1081</f>
        <v>0</v>
      </c>
      <c r="H854">
        <f>'Participant reporting'!H1081</f>
        <v>0</v>
      </c>
      <c r="I854">
        <f>'Participant reporting'!I1081</f>
        <v>0</v>
      </c>
      <c r="J854">
        <f>'Participant reporting'!J1081</f>
        <v>0</v>
      </c>
      <c r="K854">
        <f>'Participant reporting'!K1081</f>
        <v>0</v>
      </c>
      <c r="L854">
        <f>'Participant reporting'!L1081</f>
        <v>0</v>
      </c>
      <c r="M854">
        <f>'Participant reporting'!M1081</f>
        <v>0</v>
      </c>
      <c r="N854">
        <f>'Participant reporting'!N1081</f>
        <v>0</v>
      </c>
      <c r="O854">
        <f>'Participant reporting'!O1081</f>
        <v>0</v>
      </c>
    </row>
    <row r="855" spans="1:15" x14ac:dyDescent="0.25">
      <c r="A855">
        <f>'Participant reporting'!A1082</f>
        <v>0</v>
      </c>
      <c r="B855">
        <f>'Participant reporting'!B1082</f>
        <v>0</v>
      </c>
      <c r="C855">
        <f>'Participant reporting'!C1082</f>
        <v>0</v>
      </c>
      <c r="D855">
        <f>'Participant reporting'!D1082</f>
        <v>0</v>
      </c>
      <c r="E855" s="15">
        <f>'Participant reporting'!E1082</f>
        <v>0</v>
      </c>
      <c r="F855">
        <f>'Participant reporting'!F1082</f>
        <v>0</v>
      </c>
      <c r="G855">
        <f>'Participant reporting'!G1082</f>
        <v>0</v>
      </c>
      <c r="H855">
        <f>'Participant reporting'!H1082</f>
        <v>0</v>
      </c>
      <c r="I855">
        <f>'Participant reporting'!I1082</f>
        <v>0</v>
      </c>
      <c r="J855">
        <f>'Participant reporting'!J1082</f>
        <v>0</v>
      </c>
      <c r="K855">
        <f>'Participant reporting'!K1082</f>
        <v>0</v>
      </c>
      <c r="L855">
        <f>'Participant reporting'!L1082</f>
        <v>0</v>
      </c>
      <c r="M855">
        <f>'Participant reporting'!M1082</f>
        <v>0</v>
      </c>
      <c r="N855">
        <f>'Participant reporting'!N1082</f>
        <v>0</v>
      </c>
      <c r="O855">
        <f>'Participant reporting'!O1082</f>
        <v>0</v>
      </c>
    </row>
    <row r="856" spans="1:15" x14ac:dyDescent="0.25">
      <c r="A856">
        <f>'Participant reporting'!A1083</f>
        <v>0</v>
      </c>
      <c r="B856">
        <f>'Participant reporting'!B1083</f>
        <v>0</v>
      </c>
      <c r="C856">
        <f>'Participant reporting'!C1083</f>
        <v>0</v>
      </c>
      <c r="D856">
        <f>'Participant reporting'!D1083</f>
        <v>0</v>
      </c>
      <c r="E856" s="15">
        <f>'Participant reporting'!E1083</f>
        <v>0</v>
      </c>
      <c r="F856">
        <f>'Participant reporting'!F1083</f>
        <v>0</v>
      </c>
      <c r="G856">
        <f>'Participant reporting'!G1083</f>
        <v>0</v>
      </c>
      <c r="H856">
        <f>'Participant reporting'!H1083</f>
        <v>0</v>
      </c>
      <c r="I856">
        <f>'Participant reporting'!I1083</f>
        <v>0</v>
      </c>
      <c r="J856">
        <f>'Participant reporting'!J1083</f>
        <v>0</v>
      </c>
      <c r="K856">
        <f>'Participant reporting'!K1083</f>
        <v>0</v>
      </c>
      <c r="L856">
        <f>'Participant reporting'!L1083</f>
        <v>0</v>
      </c>
      <c r="M856">
        <f>'Participant reporting'!M1083</f>
        <v>0</v>
      </c>
      <c r="N856">
        <f>'Participant reporting'!N1083</f>
        <v>0</v>
      </c>
      <c r="O856">
        <f>'Participant reporting'!O1083</f>
        <v>0</v>
      </c>
    </row>
    <row r="857" spans="1:15" x14ac:dyDescent="0.25">
      <c r="A857">
        <f>'Participant reporting'!A1084</f>
        <v>0</v>
      </c>
      <c r="B857">
        <f>'Participant reporting'!B1084</f>
        <v>0</v>
      </c>
      <c r="C857">
        <f>'Participant reporting'!C1084</f>
        <v>0</v>
      </c>
      <c r="D857">
        <f>'Participant reporting'!D1084</f>
        <v>0</v>
      </c>
      <c r="E857" s="15">
        <f>'Participant reporting'!E1084</f>
        <v>0</v>
      </c>
      <c r="F857">
        <f>'Participant reporting'!F1084</f>
        <v>0</v>
      </c>
      <c r="G857">
        <f>'Participant reporting'!G1084</f>
        <v>0</v>
      </c>
      <c r="H857">
        <f>'Participant reporting'!H1084</f>
        <v>0</v>
      </c>
      <c r="I857">
        <f>'Participant reporting'!I1084</f>
        <v>0</v>
      </c>
      <c r="J857">
        <f>'Participant reporting'!J1084</f>
        <v>0</v>
      </c>
      <c r="K857">
        <f>'Participant reporting'!K1084</f>
        <v>0</v>
      </c>
      <c r="L857">
        <f>'Participant reporting'!L1084</f>
        <v>0</v>
      </c>
      <c r="M857">
        <f>'Participant reporting'!M1084</f>
        <v>0</v>
      </c>
      <c r="N857">
        <f>'Participant reporting'!N1084</f>
        <v>0</v>
      </c>
      <c r="O857">
        <f>'Participant reporting'!O1084</f>
        <v>0</v>
      </c>
    </row>
    <row r="858" spans="1:15" x14ac:dyDescent="0.25">
      <c r="A858">
        <f>'Participant reporting'!A1085</f>
        <v>0</v>
      </c>
      <c r="B858">
        <f>'Participant reporting'!B1085</f>
        <v>0</v>
      </c>
      <c r="C858">
        <f>'Participant reporting'!C1085</f>
        <v>0</v>
      </c>
      <c r="D858">
        <f>'Participant reporting'!D1085</f>
        <v>0</v>
      </c>
      <c r="E858" s="15">
        <f>'Participant reporting'!E1085</f>
        <v>0</v>
      </c>
      <c r="F858">
        <f>'Participant reporting'!F1085</f>
        <v>0</v>
      </c>
      <c r="G858">
        <f>'Participant reporting'!G1085</f>
        <v>0</v>
      </c>
      <c r="H858">
        <f>'Participant reporting'!H1085</f>
        <v>0</v>
      </c>
      <c r="I858">
        <f>'Participant reporting'!I1085</f>
        <v>0</v>
      </c>
      <c r="J858">
        <f>'Participant reporting'!J1085</f>
        <v>0</v>
      </c>
      <c r="K858">
        <f>'Participant reporting'!K1085</f>
        <v>0</v>
      </c>
      <c r="L858">
        <f>'Participant reporting'!L1085</f>
        <v>0</v>
      </c>
      <c r="M858">
        <f>'Participant reporting'!M1085</f>
        <v>0</v>
      </c>
      <c r="N858">
        <f>'Participant reporting'!N1085</f>
        <v>0</v>
      </c>
      <c r="O858">
        <f>'Participant reporting'!O1085</f>
        <v>0</v>
      </c>
    </row>
    <row r="859" spans="1:15" x14ac:dyDescent="0.25">
      <c r="A859">
        <f>'Participant reporting'!A1086</f>
        <v>0</v>
      </c>
      <c r="B859">
        <f>'Participant reporting'!B1086</f>
        <v>0</v>
      </c>
      <c r="C859">
        <f>'Participant reporting'!C1086</f>
        <v>0</v>
      </c>
      <c r="D859">
        <f>'Participant reporting'!D1086</f>
        <v>0</v>
      </c>
      <c r="E859" s="15">
        <f>'Participant reporting'!E1086</f>
        <v>0</v>
      </c>
      <c r="F859">
        <f>'Participant reporting'!F1086</f>
        <v>0</v>
      </c>
      <c r="G859">
        <f>'Participant reporting'!G1086</f>
        <v>0</v>
      </c>
      <c r="H859">
        <f>'Participant reporting'!H1086</f>
        <v>0</v>
      </c>
      <c r="I859">
        <f>'Participant reporting'!I1086</f>
        <v>0</v>
      </c>
      <c r="J859">
        <f>'Participant reporting'!J1086</f>
        <v>0</v>
      </c>
      <c r="K859">
        <f>'Participant reporting'!K1086</f>
        <v>0</v>
      </c>
      <c r="L859">
        <f>'Participant reporting'!L1086</f>
        <v>0</v>
      </c>
      <c r="M859">
        <f>'Participant reporting'!M1086</f>
        <v>0</v>
      </c>
      <c r="N859">
        <f>'Participant reporting'!N1086</f>
        <v>0</v>
      </c>
      <c r="O859">
        <f>'Participant reporting'!O1086</f>
        <v>0</v>
      </c>
    </row>
    <row r="860" spans="1:15" x14ac:dyDescent="0.25">
      <c r="A860">
        <f>'Participant reporting'!A1087</f>
        <v>0</v>
      </c>
      <c r="B860">
        <f>'Participant reporting'!B1087</f>
        <v>0</v>
      </c>
      <c r="C860">
        <f>'Participant reporting'!C1087</f>
        <v>0</v>
      </c>
      <c r="D860">
        <f>'Participant reporting'!D1087</f>
        <v>0</v>
      </c>
      <c r="E860" s="15">
        <f>'Participant reporting'!E1087</f>
        <v>0</v>
      </c>
      <c r="F860">
        <f>'Participant reporting'!F1087</f>
        <v>0</v>
      </c>
      <c r="G860">
        <f>'Participant reporting'!G1087</f>
        <v>0</v>
      </c>
      <c r="H860">
        <f>'Participant reporting'!H1087</f>
        <v>0</v>
      </c>
      <c r="I860">
        <f>'Participant reporting'!I1087</f>
        <v>0</v>
      </c>
      <c r="J860">
        <f>'Participant reporting'!J1087</f>
        <v>0</v>
      </c>
      <c r="K860">
        <f>'Participant reporting'!K1087</f>
        <v>0</v>
      </c>
      <c r="L860">
        <f>'Participant reporting'!L1087</f>
        <v>0</v>
      </c>
      <c r="M860">
        <f>'Participant reporting'!M1087</f>
        <v>0</v>
      </c>
      <c r="N860">
        <f>'Participant reporting'!N1087</f>
        <v>0</v>
      </c>
      <c r="O860">
        <f>'Participant reporting'!O1087</f>
        <v>0</v>
      </c>
    </row>
    <row r="861" spans="1:15" x14ac:dyDescent="0.25">
      <c r="A861">
        <f>'Participant reporting'!A1088</f>
        <v>0</v>
      </c>
      <c r="B861">
        <f>'Participant reporting'!B1088</f>
        <v>0</v>
      </c>
      <c r="C861">
        <f>'Participant reporting'!C1088</f>
        <v>0</v>
      </c>
      <c r="D861">
        <f>'Participant reporting'!D1088</f>
        <v>0</v>
      </c>
      <c r="E861" s="15">
        <f>'Participant reporting'!E1088</f>
        <v>0</v>
      </c>
      <c r="F861">
        <f>'Participant reporting'!F1088</f>
        <v>0</v>
      </c>
      <c r="G861">
        <f>'Participant reporting'!G1088</f>
        <v>0</v>
      </c>
      <c r="H861">
        <f>'Participant reporting'!H1088</f>
        <v>0</v>
      </c>
      <c r="I861">
        <f>'Participant reporting'!I1088</f>
        <v>0</v>
      </c>
      <c r="J861">
        <f>'Participant reporting'!J1088</f>
        <v>0</v>
      </c>
      <c r="K861">
        <f>'Participant reporting'!K1088</f>
        <v>0</v>
      </c>
      <c r="L861">
        <f>'Participant reporting'!L1088</f>
        <v>0</v>
      </c>
      <c r="M861">
        <f>'Participant reporting'!M1088</f>
        <v>0</v>
      </c>
      <c r="N861">
        <f>'Participant reporting'!N1088</f>
        <v>0</v>
      </c>
      <c r="O861">
        <f>'Participant reporting'!O1088</f>
        <v>0</v>
      </c>
    </row>
    <row r="862" spans="1:15" x14ac:dyDescent="0.25">
      <c r="A862">
        <f>'Participant reporting'!A1089</f>
        <v>0</v>
      </c>
      <c r="B862">
        <f>'Participant reporting'!B1089</f>
        <v>0</v>
      </c>
      <c r="C862">
        <f>'Participant reporting'!C1089</f>
        <v>0</v>
      </c>
      <c r="D862">
        <f>'Participant reporting'!D1089</f>
        <v>0</v>
      </c>
      <c r="E862" s="15">
        <f>'Participant reporting'!E1089</f>
        <v>0</v>
      </c>
      <c r="F862">
        <f>'Participant reporting'!F1089</f>
        <v>0</v>
      </c>
      <c r="G862">
        <f>'Participant reporting'!G1089</f>
        <v>0</v>
      </c>
      <c r="H862">
        <f>'Participant reporting'!H1089</f>
        <v>0</v>
      </c>
      <c r="I862">
        <f>'Participant reporting'!I1089</f>
        <v>0</v>
      </c>
      <c r="J862">
        <f>'Participant reporting'!J1089</f>
        <v>0</v>
      </c>
      <c r="K862">
        <f>'Participant reporting'!K1089</f>
        <v>0</v>
      </c>
      <c r="L862">
        <f>'Participant reporting'!L1089</f>
        <v>0</v>
      </c>
      <c r="M862">
        <f>'Participant reporting'!M1089</f>
        <v>0</v>
      </c>
      <c r="N862">
        <f>'Participant reporting'!N1089</f>
        <v>0</v>
      </c>
      <c r="O862">
        <f>'Participant reporting'!O1089</f>
        <v>0</v>
      </c>
    </row>
    <row r="863" spans="1:15" x14ac:dyDescent="0.25">
      <c r="A863">
        <f>'Participant reporting'!A1090</f>
        <v>0</v>
      </c>
      <c r="B863">
        <f>'Participant reporting'!B1090</f>
        <v>0</v>
      </c>
      <c r="C863">
        <f>'Participant reporting'!C1090</f>
        <v>0</v>
      </c>
      <c r="D863">
        <f>'Participant reporting'!D1090</f>
        <v>0</v>
      </c>
      <c r="E863" s="15">
        <f>'Participant reporting'!E1090</f>
        <v>0</v>
      </c>
      <c r="F863">
        <f>'Participant reporting'!F1090</f>
        <v>0</v>
      </c>
      <c r="G863">
        <f>'Participant reporting'!G1090</f>
        <v>0</v>
      </c>
      <c r="H863">
        <f>'Participant reporting'!H1090</f>
        <v>0</v>
      </c>
      <c r="I863">
        <f>'Participant reporting'!I1090</f>
        <v>0</v>
      </c>
      <c r="J863">
        <f>'Participant reporting'!J1090</f>
        <v>0</v>
      </c>
      <c r="K863">
        <f>'Participant reporting'!K1090</f>
        <v>0</v>
      </c>
      <c r="L863">
        <f>'Participant reporting'!L1090</f>
        <v>0</v>
      </c>
      <c r="M863">
        <f>'Participant reporting'!M1090</f>
        <v>0</v>
      </c>
      <c r="N863">
        <f>'Participant reporting'!N1090</f>
        <v>0</v>
      </c>
      <c r="O863">
        <f>'Participant reporting'!O1090</f>
        <v>0</v>
      </c>
    </row>
    <row r="864" spans="1:15" x14ac:dyDescent="0.25">
      <c r="A864">
        <f>'Participant reporting'!A1091</f>
        <v>0</v>
      </c>
      <c r="B864">
        <f>'Participant reporting'!B1091</f>
        <v>0</v>
      </c>
      <c r="C864">
        <f>'Participant reporting'!C1091</f>
        <v>0</v>
      </c>
      <c r="D864">
        <f>'Participant reporting'!D1091</f>
        <v>0</v>
      </c>
      <c r="E864" s="15">
        <f>'Participant reporting'!E1091</f>
        <v>0</v>
      </c>
      <c r="F864">
        <f>'Participant reporting'!F1091</f>
        <v>0</v>
      </c>
      <c r="G864">
        <f>'Participant reporting'!G1091</f>
        <v>0</v>
      </c>
      <c r="H864">
        <f>'Participant reporting'!H1091</f>
        <v>0</v>
      </c>
      <c r="I864">
        <f>'Participant reporting'!I1091</f>
        <v>0</v>
      </c>
      <c r="J864">
        <f>'Participant reporting'!J1091</f>
        <v>0</v>
      </c>
      <c r="K864">
        <f>'Participant reporting'!K1091</f>
        <v>0</v>
      </c>
      <c r="L864">
        <f>'Participant reporting'!L1091</f>
        <v>0</v>
      </c>
      <c r="M864">
        <f>'Participant reporting'!M1091</f>
        <v>0</v>
      </c>
      <c r="N864">
        <f>'Participant reporting'!N1091</f>
        <v>0</v>
      </c>
      <c r="O864">
        <f>'Participant reporting'!O1091</f>
        <v>0</v>
      </c>
    </row>
    <row r="865" spans="1:15" x14ac:dyDescent="0.25">
      <c r="A865">
        <f>'Participant reporting'!A1092</f>
        <v>0</v>
      </c>
      <c r="B865">
        <f>'Participant reporting'!B1092</f>
        <v>0</v>
      </c>
      <c r="C865">
        <f>'Participant reporting'!C1092</f>
        <v>0</v>
      </c>
      <c r="D865">
        <f>'Participant reporting'!D1092</f>
        <v>0</v>
      </c>
      <c r="E865" s="15">
        <f>'Participant reporting'!E1092</f>
        <v>0</v>
      </c>
      <c r="F865">
        <f>'Participant reporting'!F1092</f>
        <v>0</v>
      </c>
      <c r="G865">
        <f>'Participant reporting'!G1092</f>
        <v>0</v>
      </c>
      <c r="H865">
        <f>'Participant reporting'!H1092</f>
        <v>0</v>
      </c>
      <c r="I865">
        <f>'Participant reporting'!I1092</f>
        <v>0</v>
      </c>
      <c r="J865">
        <f>'Participant reporting'!J1092</f>
        <v>0</v>
      </c>
      <c r="K865">
        <f>'Participant reporting'!K1092</f>
        <v>0</v>
      </c>
      <c r="L865">
        <f>'Participant reporting'!L1092</f>
        <v>0</v>
      </c>
      <c r="M865">
        <f>'Participant reporting'!M1092</f>
        <v>0</v>
      </c>
      <c r="N865">
        <f>'Participant reporting'!N1092</f>
        <v>0</v>
      </c>
      <c r="O865">
        <f>'Participant reporting'!O1092</f>
        <v>0</v>
      </c>
    </row>
    <row r="866" spans="1:15" x14ac:dyDescent="0.25">
      <c r="A866">
        <f>'Participant reporting'!A1093</f>
        <v>0</v>
      </c>
      <c r="B866">
        <f>'Participant reporting'!B1093</f>
        <v>0</v>
      </c>
      <c r="C866">
        <f>'Participant reporting'!C1093</f>
        <v>0</v>
      </c>
      <c r="D866">
        <f>'Participant reporting'!D1093</f>
        <v>0</v>
      </c>
      <c r="E866" s="15">
        <f>'Participant reporting'!E1093</f>
        <v>0</v>
      </c>
      <c r="F866">
        <f>'Participant reporting'!F1093</f>
        <v>0</v>
      </c>
      <c r="G866">
        <f>'Participant reporting'!G1093</f>
        <v>0</v>
      </c>
      <c r="H866">
        <f>'Participant reporting'!H1093</f>
        <v>0</v>
      </c>
      <c r="I866">
        <f>'Participant reporting'!I1093</f>
        <v>0</v>
      </c>
      <c r="J866">
        <f>'Participant reporting'!J1093</f>
        <v>0</v>
      </c>
      <c r="K866">
        <f>'Participant reporting'!K1093</f>
        <v>0</v>
      </c>
      <c r="L866">
        <f>'Participant reporting'!L1093</f>
        <v>0</v>
      </c>
      <c r="M866">
        <f>'Participant reporting'!M1093</f>
        <v>0</v>
      </c>
      <c r="N866">
        <f>'Participant reporting'!N1093</f>
        <v>0</v>
      </c>
      <c r="O866">
        <f>'Participant reporting'!O1093</f>
        <v>0</v>
      </c>
    </row>
    <row r="867" spans="1:15" x14ac:dyDescent="0.25">
      <c r="A867">
        <f>'Participant reporting'!A1094</f>
        <v>0</v>
      </c>
      <c r="B867">
        <f>'Participant reporting'!B1094</f>
        <v>0</v>
      </c>
      <c r="C867">
        <f>'Participant reporting'!C1094</f>
        <v>0</v>
      </c>
      <c r="D867">
        <f>'Participant reporting'!D1094</f>
        <v>0</v>
      </c>
      <c r="E867" s="15">
        <f>'Participant reporting'!E1094</f>
        <v>0</v>
      </c>
      <c r="F867">
        <f>'Participant reporting'!F1094</f>
        <v>0</v>
      </c>
      <c r="G867">
        <f>'Participant reporting'!G1094</f>
        <v>0</v>
      </c>
      <c r="H867">
        <f>'Participant reporting'!H1094</f>
        <v>0</v>
      </c>
      <c r="I867">
        <f>'Participant reporting'!I1094</f>
        <v>0</v>
      </c>
      <c r="J867">
        <f>'Participant reporting'!J1094</f>
        <v>0</v>
      </c>
      <c r="K867">
        <f>'Participant reporting'!K1094</f>
        <v>0</v>
      </c>
      <c r="L867">
        <f>'Participant reporting'!L1094</f>
        <v>0</v>
      </c>
      <c r="M867">
        <f>'Participant reporting'!M1094</f>
        <v>0</v>
      </c>
      <c r="N867">
        <f>'Participant reporting'!N1094</f>
        <v>0</v>
      </c>
      <c r="O867">
        <f>'Participant reporting'!O1094</f>
        <v>0</v>
      </c>
    </row>
    <row r="868" spans="1:15" x14ac:dyDescent="0.25">
      <c r="A868">
        <f>'Participant reporting'!A1095</f>
        <v>0</v>
      </c>
      <c r="B868">
        <f>'Participant reporting'!B1095</f>
        <v>0</v>
      </c>
      <c r="C868">
        <f>'Participant reporting'!C1095</f>
        <v>0</v>
      </c>
      <c r="D868">
        <f>'Participant reporting'!D1095</f>
        <v>0</v>
      </c>
      <c r="E868" s="15">
        <f>'Participant reporting'!E1095</f>
        <v>0</v>
      </c>
      <c r="F868">
        <f>'Participant reporting'!F1095</f>
        <v>0</v>
      </c>
      <c r="G868">
        <f>'Participant reporting'!G1095</f>
        <v>0</v>
      </c>
      <c r="H868">
        <f>'Participant reporting'!H1095</f>
        <v>0</v>
      </c>
      <c r="I868">
        <f>'Participant reporting'!I1095</f>
        <v>0</v>
      </c>
      <c r="J868">
        <f>'Participant reporting'!J1095</f>
        <v>0</v>
      </c>
      <c r="K868">
        <f>'Participant reporting'!K1095</f>
        <v>0</v>
      </c>
      <c r="L868">
        <f>'Participant reporting'!L1095</f>
        <v>0</v>
      </c>
      <c r="M868">
        <f>'Participant reporting'!M1095</f>
        <v>0</v>
      </c>
      <c r="N868">
        <f>'Participant reporting'!N1095</f>
        <v>0</v>
      </c>
      <c r="O868">
        <f>'Participant reporting'!O1095</f>
        <v>0</v>
      </c>
    </row>
    <row r="869" spans="1:15" x14ac:dyDescent="0.25">
      <c r="A869">
        <f>'Participant reporting'!A1096</f>
        <v>0</v>
      </c>
      <c r="B869">
        <f>'Participant reporting'!B1096</f>
        <v>0</v>
      </c>
      <c r="C869">
        <f>'Participant reporting'!C1096</f>
        <v>0</v>
      </c>
      <c r="D869">
        <f>'Participant reporting'!D1096</f>
        <v>0</v>
      </c>
      <c r="E869" s="15">
        <f>'Participant reporting'!E1096</f>
        <v>0</v>
      </c>
      <c r="F869">
        <f>'Participant reporting'!F1096</f>
        <v>0</v>
      </c>
      <c r="G869">
        <f>'Participant reporting'!G1096</f>
        <v>0</v>
      </c>
      <c r="H869">
        <f>'Participant reporting'!H1096</f>
        <v>0</v>
      </c>
      <c r="I869">
        <f>'Participant reporting'!I1096</f>
        <v>0</v>
      </c>
      <c r="J869">
        <f>'Participant reporting'!J1096</f>
        <v>0</v>
      </c>
      <c r="K869">
        <f>'Participant reporting'!K1096</f>
        <v>0</v>
      </c>
      <c r="L869">
        <f>'Participant reporting'!L1096</f>
        <v>0</v>
      </c>
      <c r="M869">
        <f>'Participant reporting'!M1096</f>
        <v>0</v>
      </c>
      <c r="N869">
        <f>'Participant reporting'!N1096</f>
        <v>0</v>
      </c>
      <c r="O869">
        <f>'Participant reporting'!O1096</f>
        <v>0</v>
      </c>
    </row>
    <row r="870" spans="1:15" x14ac:dyDescent="0.25">
      <c r="A870">
        <f>'Participant reporting'!A1097</f>
        <v>0</v>
      </c>
      <c r="B870">
        <f>'Participant reporting'!B1097</f>
        <v>0</v>
      </c>
      <c r="C870">
        <f>'Participant reporting'!C1097</f>
        <v>0</v>
      </c>
      <c r="D870">
        <f>'Participant reporting'!D1097</f>
        <v>0</v>
      </c>
      <c r="E870" s="15">
        <f>'Participant reporting'!E1097</f>
        <v>0</v>
      </c>
      <c r="F870">
        <f>'Participant reporting'!F1097</f>
        <v>0</v>
      </c>
      <c r="G870">
        <f>'Participant reporting'!G1097</f>
        <v>0</v>
      </c>
      <c r="H870">
        <f>'Participant reporting'!H1097</f>
        <v>0</v>
      </c>
      <c r="I870">
        <f>'Participant reporting'!I1097</f>
        <v>0</v>
      </c>
      <c r="J870">
        <f>'Participant reporting'!J1097</f>
        <v>0</v>
      </c>
      <c r="K870">
        <f>'Participant reporting'!K1097</f>
        <v>0</v>
      </c>
      <c r="L870">
        <f>'Participant reporting'!L1097</f>
        <v>0</v>
      </c>
      <c r="M870">
        <f>'Participant reporting'!M1097</f>
        <v>0</v>
      </c>
      <c r="N870">
        <f>'Participant reporting'!N1097</f>
        <v>0</v>
      </c>
      <c r="O870">
        <f>'Participant reporting'!O1097</f>
        <v>0</v>
      </c>
    </row>
    <row r="871" spans="1:15" x14ac:dyDescent="0.25">
      <c r="A871">
        <f>'Participant reporting'!A1098</f>
        <v>0</v>
      </c>
      <c r="B871">
        <f>'Participant reporting'!B1098</f>
        <v>0</v>
      </c>
      <c r="C871">
        <f>'Participant reporting'!C1098</f>
        <v>0</v>
      </c>
      <c r="D871">
        <f>'Participant reporting'!D1098</f>
        <v>0</v>
      </c>
      <c r="E871" s="15">
        <f>'Participant reporting'!E1098</f>
        <v>0</v>
      </c>
      <c r="F871">
        <f>'Participant reporting'!F1098</f>
        <v>0</v>
      </c>
      <c r="G871">
        <f>'Participant reporting'!G1098</f>
        <v>0</v>
      </c>
      <c r="H871">
        <f>'Participant reporting'!H1098</f>
        <v>0</v>
      </c>
      <c r="I871">
        <f>'Participant reporting'!I1098</f>
        <v>0</v>
      </c>
      <c r="J871">
        <f>'Participant reporting'!J1098</f>
        <v>0</v>
      </c>
      <c r="K871">
        <f>'Participant reporting'!K1098</f>
        <v>0</v>
      </c>
      <c r="L871">
        <f>'Participant reporting'!L1098</f>
        <v>0</v>
      </c>
      <c r="M871">
        <f>'Participant reporting'!M1098</f>
        <v>0</v>
      </c>
      <c r="N871">
        <f>'Participant reporting'!N1098</f>
        <v>0</v>
      </c>
      <c r="O871">
        <f>'Participant reporting'!O1098</f>
        <v>0</v>
      </c>
    </row>
    <row r="872" spans="1:15" x14ac:dyDescent="0.25">
      <c r="A872">
        <f>'Participant reporting'!A1099</f>
        <v>0</v>
      </c>
      <c r="B872">
        <f>'Participant reporting'!B1099</f>
        <v>0</v>
      </c>
      <c r="C872">
        <f>'Participant reporting'!C1099</f>
        <v>0</v>
      </c>
      <c r="D872">
        <f>'Participant reporting'!D1099</f>
        <v>0</v>
      </c>
      <c r="E872" s="15">
        <f>'Participant reporting'!E1099</f>
        <v>0</v>
      </c>
      <c r="F872">
        <f>'Participant reporting'!F1099</f>
        <v>0</v>
      </c>
      <c r="G872">
        <f>'Participant reporting'!G1099</f>
        <v>0</v>
      </c>
      <c r="H872">
        <f>'Participant reporting'!H1099</f>
        <v>0</v>
      </c>
      <c r="I872">
        <f>'Participant reporting'!I1099</f>
        <v>0</v>
      </c>
      <c r="J872">
        <f>'Participant reporting'!J1099</f>
        <v>0</v>
      </c>
      <c r="K872">
        <f>'Participant reporting'!K1099</f>
        <v>0</v>
      </c>
      <c r="L872">
        <f>'Participant reporting'!L1099</f>
        <v>0</v>
      </c>
      <c r="M872">
        <f>'Participant reporting'!M1099</f>
        <v>0</v>
      </c>
      <c r="N872">
        <f>'Participant reporting'!N1099</f>
        <v>0</v>
      </c>
      <c r="O872">
        <f>'Participant reporting'!O1099</f>
        <v>0</v>
      </c>
    </row>
    <row r="873" spans="1:15" x14ac:dyDescent="0.25">
      <c r="A873">
        <f>'Participant reporting'!A1100</f>
        <v>0</v>
      </c>
      <c r="B873">
        <f>'Participant reporting'!B1100</f>
        <v>0</v>
      </c>
      <c r="C873">
        <f>'Participant reporting'!C1100</f>
        <v>0</v>
      </c>
      <c r="D873">
        <f>'Participant reporting'!D1100</f>
        <v>0</v>
      </c>
      <c r="E873" s="15">
        <f>'Participant reporting'!E1100</f>
        <v>0</v>
      </c>
      <c r="F873">
        <f>'Participant reporting'!F1100</f>
        <v>0</v>
      </c>
      <c r="G873">
        <f>'Participant reporting'!G1100</f>
        <v>0</v>
      </c>
      <c r="H873">
        <f>'Participant reporting'!H1100</f>
        <v>0</v>
      </c>
      <c r="I873">
        <f>'Participant reporting'!I1100</f>
        <v>0</v>
      </c>
      <c r="J873">
        <f>'Participant reporting'!J1100</f>
        <v>0</v>
      </c>
      <c r="K873">
        <f>'Participant reporting'!K1100</f>
        <v>0</v>
      </c>
      <c r="L873">
        <f>'Participant reporting'!L1100</f>
        <v>0</v>
      </c>
      <c r="M873">
        <f>'Participant reporting'!M1100</f>
        <v>0</v>
      </c>
      <c r="N873">
        <f>'Participant reporting'!N1100</f>
        <v>0</v>
      </c>
      <c r="O873">
        <f>'Participant reporting'!O1100</f>
        <v>0</v>
      </c>
    </row>
    <row r="874" spans="1:15" x14ac:dyDescent="0.25">
      <c r="A874">
        <f>'Participant reporting'!A1101</f>
        <v>0</v>
      </c>
      <c r="B874">
        <f>'Participant reporting'!B1101</f>
        <v>0</v>
      </c>
      <c r="C874">
        <f>'Participant reporting'!C1101</f>
        <v>0</v>
      </c>
      <c r="D874">
        <f>'Participant reporting'!D1101</f>
        <v>0</v>
      </c>
      <c r="E874" s="15">
        <f>'Participant reporting'!E1101</f>
        <v>0</v>
      </c>
      <c r="F874">
        <f>'Participant reporting'!F1101</f>
        <v>0</v>
      </c>
      <c r="G874">
        <f>'Participant reporting'!G1101</f>
        <v>0</v>
      </c>
      <c r="H874">
        <f>'Participant reporting'!H1101</f>
        <v>0</v>
      </c>
      <c r="I874">
        <f>'Participant reporting'!I1101</f>
        <v>0</v>
      </c>
      <c r="J874">
        <f>'Participant reporting'!J1101</f>
        <v>0</v>
      </c>
      <c r="K874">
        <f>'Participant reporting'!K1101</f>
        <v>0</v>
      </c>
      <c r="L874">
        <f>'Participant reporting'!L1101</f>
        <v>0</v>
      </c>
      <c r="M874">
        <f>'Participant reporting'!M1101</f>
        <v>0</v>
      </c>
      <c r="N874">
        <f>'Participant reporting'!N1101</f>
        <v>0</v>
      </c>
      <c r="O874">
        <f>'Participant reporting'!O1101</f>
        <v>0</v>
      </c>
    </row>
    <row r="875" spans="1:15" x14ac:dyDescent="0.25">
      <c r="A875">
        <f>'Participant reporting'!A1102</f>
        <v>0</v>
      </c>
      <c r="B875">
        <f>'Participant reporting'!B1102</f>
        <v>0</v>
      </c>
      <c r="C875">
        <f>'Participant reporting'!C1102</f>
        <v>0</v>
      </c>
      <c r="D875">
        <f>'Participant reporting'!D1102</f>
        <v>0</v>
      </c>
      <c r="E875" s="15">
        <f>'Participant reporting'!E1102</f>
        <v>0</v>
      </c>
      <c r="F875">
        <f>'Participant reporting'!F1102</f>
        <v>0</v>
      </c>
      <c r="G875">
        <f>'Participant reporting'!G1102</f>
        <v>0</v>
      </c>
      <c r="H875">
        <f>'Participant reporting'!H1102</f>
        <v>0</v>
      </c>
      <c r="I875">
        <f>'Participant reporting'!I1102</f>
        <v>0</v>
      </c>
      <c r="J875">
        <f>'Participant reporting'!J1102</f>
        <v>0</v>
      </c>
      <c r="K875">
        <f>'Participant reporting'!K1102</f>
        <v>0</v>
      </c>
      <c r="L875">
        <f>'Participant reporting'!L1102</f>
        <v>0</v>
      </c>
      <c r="M875">
        <f>'Participant reporting'!M1102</f>
        <v>0</v>
      </c>
      <c r="N875">
        <f>'Participant reporting'!N1102</f>
        <v>0</v>
      </c>
      <c r="O875">
        <f>'Participant reporting'!O1102</f>
        <v>0</v>
      </c>
    </row>
    <row r="876" spans="1:15" x14ac:dyDescent="0.25">
      <c r="A876">
        <f>'Participant reporting'!A1103</f>
        <v>0</v>
      </c>
      <c r="B876">
        <f>'Participant reporting'!B1103</f>
        <v>0</v>
      </c>
      <c r="C876">
        <f>'Participant reporting'!C1103</f>
        <v>0</v>
      </c>
      <c r="D876">
        <f>'Participant reporting'!D1103</f>
        <v>0</v>
      </c>
      <c r="E876" s="15">
        <f>'Participant reporting'!E1103</f>
        <v>0</v>
      </c>
      <c r="F876">
        <f>'Participant reporting'!F1103</f>
        <v>0</v>
      </c>
      <c r="G876">
        <f>'Participant reporting'!G1103</f>
        <v>0</v>
      </c>
      <c r="H876">
        <f>'Participant reporting'!H1103</f>
        <v>0</v>
      </c>
      <c r="I876">
        <f>'Participant reporting'!I1103</f>
        <v>0</v>
      </c>
      <c r="J876">
        <f>'Participant reporting'!J1103</f>
        <v>0</v>
      </c>
      <c r="K876">
        <f>'Participant reporting'!K1103</f>
        <v>0</v>
      </c>
      <c r="L876">
        <f>'Participant reporting'!L1103</f>
        <v>0</v>
      </c>
      <c r="M876">
        <f>'Participant reporting'!M1103</f>
        <v>0</v>
      </c>
      <c r="N876">
        <f>'Participant reporting'!N1103</f>
        <v>0</v>
      </c>
      <c r="O876">
        <f>'Participant reporting'!O1103</f>
        <v>0</v>
      </c>
    </row>
    <row r="877" spans="1:15" x14ac:dyDescent="0.25">
      <c r="A877">
        <f>'Participant reporting'!A1104</f>
        <v>0</v>
      </c>
      <c r="B877">
        <f>'Participant reporting'!B1104</f>
        <v>0</v>
      </c>
      <c r="C877">
        <f>'Participant reporting'!C1104</f>
        <v>0</v>
      </c>
      <c r="D877">
        <f>'Participant reporting'!D1104</f>
        <v>0</v>
      </c>
      <c r="E877" s="15">
        <f>'Participant reporting'!E1104</f>
        <v>0</v>
      </c>
      <c r="F877">
        <f>'Participant reporting'!F1104</f>
        <v>0</v>
      </c>
      <c r="G877">
        <f>'Participant reporting'!G1104</f>
        <v>0</v>
      </c>
      <c r="H877">
        <f>'Participant reporting'!H1104</f>
        <v>0</v>
      </c>
      <c r="I877">
        <f>'Participant reporting'!I1104</f>
        <v>0</v>
      </c>
      <c r="J877">
        <f>'Participant reporting'!J1104</f>
        <v>0</v>
      </c>
      <c r="K877">
        <f>'Participant reporting'!K1104</f>
        <v>0</v>
      </c>
      <c r="L877">
        <f>'Participant reporting'!L1104</f>
        <v>0</v>
      </c>
      <c r="M877">
        <f>'Participant reporting'!M1104</f>
        <v>0</v>
      </c>
      <c r="N877">
        <f>'Participant reporting'!N1104</f>
        <v>0</v>
      </c>
      <c r="O877">
        <f>'Participant reporting'!O1104</f>
        <v>0</v>
      </c>
    </row>
    <row r="878" spans="1:15" x14ac:dyDescent="0.25">
      <c r="A878">
        <f>'Participant reporting'!A1105</f>
        <v>0</v>
      </c>
      <c r="B878">
        <f>'Participant reporting'!B1105</f>
        <v>0</v>
      </c>
      <c r="C878">
        <f>'Participant reporting'!C1105</f>
        <v>0</v>
      </c>
      <c r="D878">
        <f>'Participant reporting'!D1105</f>
        <v>0</v>
      </c>
      <c r="E878" s="15">
        <f>'Participant reporting'!E1105</f>
        <v>0</v>
      </c>
      <c r="F878">
        <f>'Participant reporting'!F1105</f>
        <v>0</v>
      </c>
      <c r="G878">
        <f>'Participant reporting'!G1105</f>
        <v>0</v>
      </c>
      <c r="H878">
        <f>'Participant reporting'!H1105</f>
        <v>0</v>
      </c>
      <c r="I878">
        <f>'Participant reporting'!I1105</f>
        <v>0</v>
      </c>
      <c r="J878">
        <f>'Participant reporting'!J1105</f>
        <v>0</v>
      </c>
      <c r="K878">
        <f>'Participant reporting'!K1105</f>
        <v>0</v>
      </c>
      <c r="L878">
        <f>'Participant reporting'!L1105</f>
        <v>0</v>
      </c>
      <c r="M878">
        <f>'Participant reporting'!M1105</f>
        <v>0</v>
      </c>
      <c r="N878">
        <f>'Participant reporting'!N1105</f>
        <v>0</v>
      </c>
      <c r="O878">
        <f>'Participant reporting'!O1105</f>
        <v>0</v>
      </c>
    </row>
    <row r="879" spans="1:15" x14ac:dyDescent="0.25">
      <c r="A879">
        <f>'Participant reporting'!A1106</f>
        <v>0</v>
      </c>
      <c r="B879">
        <f>'Participant reporting'!B1106</f>
        <v>0</v>
      </c>
      <c r="C879">
        <f>'Participant reporting'!C1106</f>
        <v>0</v>
      </c>
      <c r="D879">
        <f>'Participant reporting'!D1106</f>
        <v>0</v>
      </c>
      <c r="E879" s="15">
        <f>'Participant reporting'!E1106</f>
        <v>0</v>
      </c>
      <c r="F879">
        <f>'Participant reporting'!F1106</f>
        <v>0</v>
      </c>
      <c r="G879">
        <f>'Participant reporting'!G1106</f>
        <v>0</v>
      </c>
      <c r="H879">
        <f>'Participant reporting'!H1106</f>
        <v>0</v>
      </c>
      <c r="I879">
        <f>'Participant reporting'!I1106</f>
        <v>0</v>
      </c>
      <c r="J879">
        <f>'Participant reporting'!J1106</f>
        <v>0</v>
      </c>
      <c r="K879">
        <f>'Participant reporting'!K1106</f>
        <v>0</v>
      </c>
      <c r="L879">
        <f>'Participant reporting'!L1106</f>
        <v>0</v>
      </c>
      <c r="M879">
        <f>'Participant reporting'!M1106</f>
        <v>0</v>
      </c>
      <c r="N879">
        <f>'Participant reporting'!N1106</f>
        <v>0</v>
      </c>
      <c r="O879">
        <f>'Participant reporting'!O1106</f>
        <v>0</v>
      </c>
    </row>
    <row r="880" spans="1:15" x14ac:dyDescent="0.25">
      <c r="A880">
        <f>'Participant reporting'!A1107</f>
        <v>0</v>
      </c>
      <c r="B880">
        <f>'Participant reporting'!B1107</f>
        <v>0</v>
      </c>
      <c r="C880">
        <f>'Participant reporting'!C1107</f>
        <v>0</v>
      </c>
      <c r="D880">
        <f>'Participant reporting'!D1107</f>
        <v>0</v>
      </c>
      <c r="E880" s="15">
        <f>'Participant reporting'!E1107</f>
        <v>0</v>
      </c>
      <c r="F880">
        <f>'Participant reporting'!F1107</f>
        <v>0</v>
      </c>
      <c r="G880">
        <f>'Participant reporting'!G1107</f>
        <v>0</v>
      </c>
      <c r="H880">
        <f>'Participant reporting'!H1107</f>
        <v>0</v>
      </c>
      <c r="I880">
        <f>'Participant reporting'!I1107</f>
        <v>0</v>
      </c>
      <c r="J880">
        <f>'Participant reporting'!J1107</f>
        <v>0</v>
      </c>
      <c r="K880">
        <f>'Participant reporting'!K1107</f>
        <v>0</v>
      </c>
      <c r="L880">
        <f>'Participant reporting'!L1107</f>
        <v>0</v>
      </c>
      <c r="M880">
        <f>'Participant reporting'!M1107</f>
        <v>0</v>
      </c>
      <c r="N880">
        <f>'Participant reporting'!N1107</f>
        <v>0</v>
      </c>
      <c r="O880">
        <f>'Participant reporting'!O1107</f>
        <v>0</v>
      </c>
    </row>
    <row r="881" spans="1:15" x14ac:dyDescent="0.25">
      <c r="A881">
        <f>'Participant reporting'!A1108</f>
        <v>0</v>
      </c>
      <c r="B881">
        <f>'Participant reporting'!B1108</f>
        <v>0</v>
      </c>
      <c r="C881">
        <f>'Participant reporting'!C1108</f>
        <v>0</v>
      </c>
      <c r="D881">
        <f>'Participant reporting'!D1108</f>
        <v>0</v>
      </c>
      <c r="E881" s="15">
        <f>'Participant reporting'!E1108</f>
        <v>0</v>
      </c>
      <c r="F881">
        <f>'Participant reporting'!F1108</f>
        <v>0</v>
      </c>
      <c r="G881">
        <f>'Participant reporting'!G1108</f>
        <v>0</v>
      </c>
      <c r="H881">
        <f>'Participant reporting'!H1108</f>
        <v>0</v>
      </c>
      <c r="I881">
        <f>'Participant reporting'!I1108</f>
        <v>0</v>
      </c>
      <c r="J881">
        <f>'Participant reporting'!J1108</f>
        <v>0</v>
      </c>
      <c r="K881">
        <f>'Participant reporting'!K1108</f>
        <v>0</v>
      </c>
      <c r="L881">
        <f>'Participant reporting'!L1108</f>
        <v>0</v>
      </c>
      <c r="M881">
        <f>'Participant reporting'!M1108</f>
        <v>0</v>
      </c>
      <c r="N881">
        <f>'Participant reporting'!N1108</f>
        <v>0</v>
      </c>
      <c r="O881">
        <f>'Participant reporting'!O1108</f>
        <v>0</v>
      </c>
    </row>
    <row r="882" spans="1:15" x14ac:dyDescent="0.25">
      <c r="A882">
        <f>'Participant reporting'!A1109</f>
        <v>0</v>
      </c>
      <c r="B882">
        <f>'Participant reporting'!B1109</f>
        <v>0</v>
      </c>
      <c r="C882">
        <f>'Participant reporting'!C1109</f>
        <v>0</v>
      </c>
      <c r="D882">
        <f>'Participant reporting'!D1109</f>
        <v>0</v>
      </c>
      <c r="E882" s="15">
        <f>'Participant reporting'!E1109</f>
        <v>0</v>
      </c>
      <c r="F882">
        <f>'Participant reporting'!F1109</f>
        <v>0</v>
      </c>
      <c r="G882">
        <f>'Participant reporting'!G1109</f>
        <v>0</v>
      </c>
      <c r="H882">
        <f>'Participant reporting'!H1109</f>
        <v>0</v>
      </c>
      <c r="I882">
        <f>'Participant reporting'!I1109</f>
        <v>0</v>
      </c>
      <c r="J882">
        <f>'Participant reporting'!J1109</f>
        <v>0</v>
      </c>
      <c r="K882">
        <f>'Participant reporting'!K1109</f>
        <v>0</v>
      </c>
      <c r="L882">
        <f>'Participant reporting'!L1109</f>
        <v>0</v>
      </c>
      <c r="M882">
        <f>'Participant reporting'!M1109</f>
        <v>0</v>
      </c>
      <c r="N882">
        <f>'Participant reporting'!N1109</f>
        <v>0</v>
      </c>
      <c r="O882">
        <f>'Participant reporting'!O1109</f>
        <v>0</v>
      </c>
    </row>
    <row r="883" spans="1:15" x14ac:dyDescent="0.25">
      <c r="A883">
        <f>'Participant reporting'!A1110</f>
        <v>0</v>
      </c>
      <c r="B883">
        <f>'Participant reporting'!B1110</f>
        <v>0</v>
      </c>
      <c r="C883">
        <f>'Participant reporting'!C1110</f>
        <v>0</v>
      </c>
      <c r="D883">
        <f>'Participant reporting'!D1110</f>
        <v>0</v>
      </c>
      <c r="E883" s="15">
        <f>'Participant reporting'!E1110</f>
        <v>0</v>
      </c>
      <c r="F883">
        <f>'Participant reporting'!F1110</f>
        <v>0</v>
      </c>
      <c r="G883">
        <f>'Participant reporting'!G1110</f>
        <v>0</v>
      </c>
      <c r="H883">
        <f>'Participant reporting'!H1110</f>
        <v>0</v>
      </c>
      <c r="I883">
        <f>'Participant reporting'!I1110</f>
        <v>0</v>
      </c>
      <c r="J883">
        <f>'Participant reporting'!J1110</f>
        <v>0</v>
      </c>
      <c r="K883">
        <f>'Participant reporting'!K1110</f>
        <v>0</v>
      </c>
      <c r="L883">
        <f>'Participant reporting'!L1110</f>
        <v>0</v>
      </c>
      <c r="M883">
        <f>'Participant reporting'!M1110</f>
        <v>0</v>
      </c>
      <c r="N883">
        <f>'Participant reporting'!N1110</f>
        <v>0</v>
      </c>
      <c r="O883">
        <f>'Participant reporting'!O1110</f>
        <v>0</v>
      </c>
    </row>
    <row r="884" spans="1:15" x14ac:dyDescent="0.25">
      <c r="A884">
        <f>'Participant reporting'!A1111</f>
        <v>0</v>
      </c>
      <c r="B884">
        <f>'Participant reporting'!B1111</f>
        <v>0</v>
      </c>
      <c r="C884">
        <f>'Participant reporting'!C1111</f>
        <v>0</v>
      </c>
      <c r="D884">
        <f>'Participant reporting'!D1111</f>
        <v>0</v>
      </c>
      <c r="E884" s="15">
        <f>'Participant reporting'!E1111</f>
        <v>0</v>
      </c>
      <c r="F884">
        <f>'Participant reporting'!F1111</f>
        <v>0</v>
      </c>
      <c r="G884">
        <f>'Participant reporting'!G1111</f>
        <v>0</v>
      </c>
      <c r="H884">
        <f>'Participant reporting'!H1111</f>
        <v>0</v>
      </c>
      <c r="I884">
        <f>'Participant reporting'!I1111</f>
        <v>0</v>
      </c>
      <c r="J884">
        <f>'Participant reporting'!J1111</f>
        <v>0</v>
      </c>
      <c r="K884">
        <f>'Participant reporting'!K1111</f>
        <v>0</v>
      </c>
      <c r="L884">
        <f>'Participant reporting'!L1111</f>
        <v>0</v>
      </c>
      <c r="M884">
        <f>'Participant reporting'!M1111</f>
        <v>0</v>
      </c>
      <c r="N884">
        <f>'Participant reporting'!N1111</f>
        <v>0</v>
      </c>
      <c r="O884">
        <f>'Participant reporting'!O1111</f>
        <v>0</v>
      </c>
    </row>
    <row r="885" spans="1:15" x14ac:dyDescent="0.25">
      <c r="A885">
        <f>'Participant reporting'!A1112</f>
        <v>0</v>
      </c>
      <c r="B885">
        <f>'Participant reporting'!B1112</f>
        <v>0</v>
      </c>
      <c r="C885">
        <f>'Participant reporting'!C1112</f>
        <v>0</v>
      </c>
      <c r="D885">
        <f>'Participant reporting'!D1112</f>
        <v>0</v>
      </c>
      <c r="E885" s="15">
        <f>'Participant reporting'!E1112</f>
        <v>0</v>
      </c>
      <c r="F885">
        <f>'Participant reporting'!F1112</f>
        <v>0</v>
      </c>
      <c r="G885">
        <f>'Participant reporting'!G1112</f>
        <v>0</v>
      </c>
      <c r="H885">
        <f>'Participant reporting'!H1112</f>
        <v>0</v>
      </c>
      <c r="I885">
        <f>'Participant reporting'!I1112</f>
        <v>0</v>
      </c>
      <c r="J885">
        <f>'Participant reporting'!J1112</f>
        <v>0</v>
      </c>
      <c r="K885">
        <f>'Participant reporting'!K1112</f>
        <v>0</v>
      </c>
      <c r="L885">
        <f>'Participant reporting'!L1112</f>
        <v>0</v>
      </c>
      <c r="M885">
        <f>'Participant reporting'!M1112</f>
        <v>0</v>
      </c>
      <c r="N885">
        <f>'Participant reporting'!N1112</f>
        <v>0</v>
      </c>
      <c r="O885">
        <f>'Participant reporting'!O1112</f>
        <v>0</v>
      </c>
    </row>
    <row r="886" spans="1:15" x14ac:dyDescent="0.25">
      <c r="A886">
        <f>'Participant reporting'!A1113</f>
        <v>0</v>
      </c>
      <c r="B886">
        <f>'Participant reporting'!B1113</f>
        <v>0</v>
      </c>
      <c r="C886">
        <f>'Participant reporting'!C1113</f>
        <v>0</v>
      </c>
      <c r="D886">
        <f>'Participant reporting'!D1113</f>
        <v>0</v>
      </c>
      <c r="E886" s="15">
        <f>'Participant reporting'!E1113</f>
        <v>0</v>
      </c>
      <c r="F886">
        <f>'Participant reporting'!F1113</f>
        <v>0</v>
      </c>
      <c r="G886">
        <f>'Participant reporting'!G1113</f>
        <v>0</v>
      </c>
      <c r="H886">
        <f>'Participant reporting'!H1113</f>
        <v>0</v>
      </c>
      <c r="I886">
        <f>'Participant reporting'!I1113</f>
        <v>0</v>
      </c>
      <c r="J886">
        <f>'Participant reporting'!J1113</f>
        <v>0</v>
      </c>
      <c r="K886">
        <f>'Participant reporting'!K1113</f>
        <v>0</v>
      </c>
      <c r="L886">
        <f>'Participant reporting'!L1113</f>
        <v>0</v>
      </c>
      <c r="M886">
        <f>'Participant reporting'!M1113</f>
        <v>0</v>
      </c>
      <c r="N886">
        <f>'Participant reporting'!N1113</f>
        <v>0</v>
      </c>
      <c r="O886">
        <f>'Participant reporting'!O1113</f>
        <v>0</v>
      </c>
    </row>
    <row r="887" spans="1:15" x14ac:dyDescent="0.25">
      <c r="A887">
        <f>'Participant reporting'!A1114</f>
        <v>0</v>
      </c>
      <c r="B887">
        <f>'Participant reporting'!B1114</f>
        <v>0</v>
      </c>
      <c r="C887">
        <f>'Participant reporting'!C1114</f>
        <v>0</v>
      </c>
      <c r="D887">
        <f>'Participant reporting'!D1114</f>
        <v>0</v>
      </c>
      <c r="E887" s="15">
        <f>'Participant reporting'!E1114</f>
        <v>0</v>
      </c>
      <c r="F887">
        <f>'Participant reporting'!F1114</f>
        <v>0</v>
      </c>
      <c r="G887">
        <f>'Participant reporting'!G1114</f>
        <v>0</v>
      </c>
      <c r="H887">
        <f>'Participant reporting'!H1114</f>
        <v>0</v>
      </c>
      <c r="I887">
        <f>'Participant reporting'!I1114</f>
        <v>0</v>
      </c>
      <c r="J887">
        <f>'Participant reporting'!J1114</f>
        <v>0</v>
      </c>
      <c r="K887">
        <f>'Participant reporting'!K1114</f>
        <v>0</v>
      </c>
      <c r="L887">
        <f>'Participant reporting'!L1114</f>
        <v>0</v>
      </c>
      <c r="M887">
        <f>'Participant reporting'!M1114</f>
        <v>0</v>
      </c>
      <c r="N887">
        <f>'Participant reporting'!N1114</f>
        <v>0</v>
      </c>
      <c r="O887">
        <f>'Participant reporting'!O1114</f>
        <v>0</v>
      </c>
    </row>
    <row r="888" spans="1:15" x14ac:dyDescent="0.25">
      <c r="A888">
        <f>'Participant reporting'!A1115</f>
        <v>0</v>
      </c>
      <c r="B888">
        <f>'Participant reporting'!B1115</f>
        <v>0</v>
      </c>
      <c r="C888">
        <f>'Participant reporting'!C1115</f>
        <v>0</v>
      </c>
      <c r="D888">
        <f>'Participant reporting'!D1115</f>
        <v>0</v>
      </c>
      <c r="E888" s="15">
        <f>'Participant reporting'!E1115</f>
        <v>0</v>
      </c>
      <c r="F888">
        <f>'Participant reporting'!F1115</f>
        <v>0</v>
      </c>
      <c r="G888">
        <f>'Participant reporting'!G1115</f>
        <v>0</v>
      </c>
      <c r="H888">
        <f>'Participant reporting'!H1115</f>
        <v>0</v>
      </c>
      <c r="I888">
        <f>'Participant reporting'!I1115</f>
        <v>0</v>
      </c>
      <c r="J888">
        <f>'Participant reporting'!J1115</f>
        <v>0</v>
      </c>
      <c r="K888">
        <f>'Participant reporting'!K1115</f>
        <v>0</v>
      </c>
      <c r="L888">
        <f>'Participant reporting'!L1115</f>
        <v>0</v>
      </c>
      <c r="M888">
        <f>'Participant reporting'!M1115</f>
        <v>0</v>
      </c>
      <c r="N888">
        <f>'Participant reporting'!N1115</f>
        <v>0</v>
      </c>
      <c r="O888">
        <f>'Participant reporting'!O1115</f>
        <v>0</v>
      </c>
    </row>
    <row r="889" spans="1:15" x14ac:dyDescent="0.25">
      <c r="A889">
        <f>'Participant reporting'!A1116</f>
        <v>0</v>
      </c>
      <c r="B889">
        <f>'Participant reporting'!B1116</f>
        <v>0</v>
      </c>
      <c r="C889">
        <f>'Participant reporting'!C1116</f>
        <v>0</v>
      </c>
      <c r="D889">
        <f>'Participant reporting'!D1116</f>
        <v>0</v>
      </c>
      <c r="E889" s="15">
        <f>'Participant reporting'!E1116</f>
        <v>0</v>
      </c>
      <c r="F889">
        <f>'Participant reporting'!F1116</f>
        <v>0</v>
      </c>
      <c r="G889">
        <f>'Participant reporting'!G1116</f>
        <v>0</v>
      </c>
      <c r="H889">
        <f>'Participant reporting'!H1116</f>
        <v>0</v>
      </c>
      <c r="I889">
        <f>'Participant reporting'!I1116</f>
        <v>0</v>
      </c>
      <c r="J889">
        <f>'Participant reporting'!J1116</f>
        <v>0</v>
      </c>
      <c r="K889">
        <f>'Participant reporting'!K1116</f>
        <v>0</v>
      </c>
      <c r="L889">
        <f>'Participant reporting'!L1116</f>
        <v>0</v>
      </c>
      <c r="M889">
        <f>'Participant reporting'!M1116</f>
        <v>0</v>
      </c>
      <c r="N889">
        <f>'Participant reporting'!N1116</f>
        <v>0</v>
      </c>
      <c r="O889">
        <f>'Participant reporting'!O1116</f>
        <v>0</v>
      </c>
    </row>
    <row r="890" spans="1:15" x14ac:dyDescent="0.25">
      <c r="A890">
        <f>'Participant reporting'!A1117</f>
        <v>0</v>
      </c>
      <c r="B890">
        <f>'Participant reporting'!B1117</f>
        <v>0</v>
      </c>
      <c r="C890">
        <f>'Participant reporting'!C1117</f>
        <v>0</v>
      </c>
      <c r="D890">
        <f>'Participant reporting'!D1117</f>
        <v>0</v>
      </c>
      <c r="E890" s="15">
        <f>'Participant reporting'!E1117</f>
        <v>0</v>
      </c>
      <c r="F890">
        <f>'Participant reporting'!F1117</f>
        <v>0</v>
      </c>
      <c r="G890">
        <f>'Participant reporting'!G1117</f>
        <v>0</v>
      </c>
      <c r="H890">
        <f>'Participant reporting'!H1117</f>
        <v>0</v>
      </c>
      <c r="I890">
        <f>'Participant reporting'!I1117</f>
        <v>0</v>
      </c>
      <c r="J890">
        <f>'Participant reporting'!J1117</f>
        <v>0</v>
      </c>
      <c r="K890">
        <f>'Participant reporting'!K1117</f>
        <v>0</v>
      </c>
      <c r="L890">
        <f>'Participant reporting'!L1117</f>
        <v>0</v>
      </c>
      <c r="M890">
        <f>'Participant reporting'!M1117</f>
        <v>0</v>
      </c>
      <c r="N890">
        <f>'Participant reporting'!N1117</f>
        <v>0</v>
      </c>
      <c r="O890">
        <f>'Participant reporting'!O1117</f>
        <v>0</v>
      </c>
    </row>
    <row r="891" spans="1:15" x14ac:dyDescent="0.25">
      <c r="A891">
        <f>'Participant reporting'!A1118</f>
        <v>0</v>
      </c>
      <c r="B891">
        <f>'Participant reporting'!B1118</f>
        <v>0</v>
      </c>
      <c r="C891">
        <f>'Participant reporting'!C1118</f>
        <v>0</v>
      </c>
      <c r="D891">
        <f>'Participant reporting'!D1118</f>
        <v>0</v>
      </c>
      <c r="E891" s="15">
        <f>'Participant reporting'!E1118</f>
        <v>0</v>
      </c>
      <c r="F891">
        <f>'Participant reporting'!F1118</f>
        <v>0</v>
      </c>
      <c r="G891">
        <f>'Participant reporting'!G1118</f>
        <v>0</v>
      </c>
      <c r="H891">
        <f>'Participant reporting'!H1118</f>
        <v>0</v>
      </c>
      <c r="I891">
        <f>'Participant reporting'!I1118</f>
        <v>0</v>
      </c>
      <c r="J891">
        <f>'Participant reporting'!J1118</f>
        <v>0</v>
      </c>
      <c r="K891">
        <f>'Participant reporting'!K1118</f>
        <v>0</v>
      </c>
      <c r="L891">
        <f>'Participant reporting'!L1118</f>
        <v>0</v>
      </c>
      <c r="M891">
        <f>'Participant reporting'!M1118</f>
        <v>0</v>
      </c>
      <c r="N891">
        <f>'Participant reporting'!N1118</f>
        <v>0</v>
      </c>
      <c r="O891">
        <f>'Participant reporting'!O1118</f>
        <v>0</v>
      </c>
    </row>
    <row r="892" spans="1:15" x14ac:dyDescent="0.25">
      <c r="A892">
        <f>'Participant reporting'!A1119</f>
        <v>0</v>
      </c>
      <c r="B892">
        <f>'Participant reporting'!B1119</f>
        <v>0</v>
      </c>
      <c r="C892">
        <f>'Participant reporting'!C1119</f>
        <v>0</v>
      </c>
      <c r="D892">
        <f>'Participant reporting'!D1119</f>
        <v>0</v>
      </c>
      <c r="E892" s="15">
        <f>'Participant reporting'!E1119</f>
        <v>0</v>
      </c>
      <c r="F892">
        <f>'Participant reporting'!F1119</f>
        <v>0</v>
      </c>
      <c r="G892">
        <f>'Participant reporting'!G1119</f>
        <v>0</v>
      </c>
      <c r="H892">
        <f>'Participant reporting'!H1119</f>
        <v>0</v>
      </c>
      <c r="I892">
        <f>'Participant reporting'!I1119</f>
        <v>0</v>
      </c>
      <c r="J892">
        <f>'Participant reporting'!J1119</f>
        <v>0</v>
      </c>
      <c r="K892">
        <f>'Participant reporting'!K1119</f>
        <v>0</v>
      </c>
      <c r="L892">
        <f>'Participant reporting'!L1119</f>
        <v>0</v>
      </c>
      <c r="M892">
        <f>'Participant reporting'!M1119</f>
        <v>0</v>
      </c>
      <c r="N892">
        <f>'Participant reporting'!N1119</f>
        <v>0</v>
      </c>
      <c r="O892">
        <f>'Participant reporting'!O1119</f>
        <v>0</v>
      </c>
    </row>
    <row r="893" spans="1:15" x14ac:dyDescent="0.25">
      <c r="A893">
        <f>'Participant reporting'!A1120</f>
        <v>0</v>
      </c>
      <c r="B893">
        <f>'Participant reporting'!B1120</f>
        <v>0</v>
      </c>
      <c r="C893">
        <f>'Participant reporting'!C1120</f>
        <v>0</v>
      </c>
      <c r="D893">
        <f>'Participant reporting'!D1120</f>
        <v>0</v>
      </c>
      <c r="E893" s="15">
        <f>'Participant reporting'!E1120</f>
        <v>0</v>
      </c>
      <c r="F893">
        <f>'Participant reporting'!F1120</f>
        <v>0</v>
      </c>
      <c r="G893">
        <f>'Participant reporting'!G1120</f>
        <v>0</v>
      </c>
      <c r="H893">
        <f>'Participant reporting'!H1120</f>
        <v>0</v>
      </c>
      <c r="I893">
        <f>'Participant reporting'!I1120</f>
        <v>0</v>
      </c>
      <c r="J893">
        <f>'Participant reporting'!J1120</f>
        <v>0</v>
      </c>
      <c r="K893">
        <f>'Participant reporting'!K1120</f>
        <v>0</v>
      </c>
      <c r="L893">
        <f>'Participant reporting'!L1120</f>
        <v>0</v>
      </c>
      <c r="M893">
        <f>'Participant reporting'!M1120</f>
        <v>0</v>
      </c>
      <c r="N893">
        <f>'Participant reporting'!N1120</f>
        <v>0</v>
      </c>
      <c r="O893">
        <f>'Participant reporting'!O1120</f>
        <v>0</v>
      </c>
    </row>
    <row r="894" spans="1:15" x14ac:dyDescent="0.25">
      <c r="A894">
        <f>'Participant reporting'!A1121</f>
        <v>0</v>
      </c>
      <c r="B894">
        <f>'Participant reporting'!B1121</f>
        <v>0</v>
      </c>
      <c r="C894">
        <f>'Participant reporting'!C1121</f>
        <v>0</v>
      </c>
      <c r="D894">
        <f>'Participant reporting'!D1121</f>
        <v>0</v>
      </c>
      <c r="E894" s="15">
        <f>'Participant reporting'!E1121</f>
        <v>0</v>
      </c>
      <c r="F894">
        <f>'Participant reporting'!F1121</f>
        <v>0</v>
      </c>
      <c r="G894">
        <f>'Participant reporting'!G1121</f>
        <v>0</v>
      </c>
      <c r="H894">
        <f>'Participant reporting'!H1121</f>
        <v>0</v>
      </c>
      <c r="I894">
        <f>'Participant reporting'!I1121</f>
        <v>0</v>
      </c>
      <c r="J894">
        <f>'Participant reporting'!J1121</f>
        <v>0</v>
      </c>
      <c r="K894">
        <f>'Participant reporting'!K1121</f>
        <v>0</v>
      </c>
      <c r="L894">
        <f>'Participant reporting'!L1121</f>
        <v>0</v>
      </c>
      <c r="M894">
        <f>'Participant reporting'!M1121</f>
        <v>0</v>
      </c>
      <c r="N894">
        <f>'Participant reporting'!N1121</f>
        <v>0</v>
      </c>
      <c r="O894">
        <f>'Participant reporting'!O1121</f>
        <v>0</v>
      </c>
    </row>
    <row r="895" spans="1:15" x14ac:dyDescent="0.25">
      <c r="A895">
        <f>'Participant reporting'!A1122</f>
        <v>0</v>
      </c>
      <c r="B895">
        <f>'Participant reporting'!B1122</f>
        <v>0</v>
      </c>
      <c r="C895">
        <f>'Participant reporting'!C1122</f>
        <v>0</v>
      </c>
      <c r="D895">
        <f>'Participant reporting'!D1122</f>
        <v>0</v>
      </c>
      <c r="E895" s="15">
        <f>'Participant reporting'!E1122</f>
        <v>0</v>
      </c>
      <c r="F895">
        <f>'Participant reporting'!F1122</f>
        <v>0</v>
      </c>
      <c r="G895">
        <f>'Participant reporting'!G1122</f>
        <v>0</v>
      </c>
      <c r="H895">
        <f>'Participant reporting'!H1122</f>
        <v>0</v>
      </c>
      <c r="I895">
        <f>'Participant reporting'!I1122</f>
        <v>0</v>
      </c>
      <c r="J895">
        <f>'Participant reporting'!J1122</f>
        <v>0</v>
      </c>
      <c r="K895">
        <f>'Participant reporting'!K1122</f>
        <v>0</v>
      </c>
      <c r="L895">
        <f>'Participant reporting'!L1122</f>
        <v>0</v>
      </c>
      <c r="M895">
        <f>'Participant reporting'!M1122</f>
        <v>0</v>
      </c>
      <c r="N895">
        <f>'Participant reporting'!N1122</f>
        <v>0</v>
      </c>
      <c r="O895">
        <f>'Participant reporting'!O1122</f>
        <v>0</v>
      </c>
    </row>
    <row r="896" spans="1:15" x14ac:dyDescent="0.25">
      <c r="A896">
        <f>'Participant reporting'!A1123</f>
        <v>0</v>
      </c>
      <c r="B896">
        <f>'Participant reporting'!B1123</f>
        <v>0</v>
      </c>
      <c r="C896">
        <f>'Participant reporting'!C1123</f>
        <v>0</v>
      </c>
      <c r="D896">
        <f>'Participant reporting'!D1123</f>
        <v>0</v>
      </c>
      <c r="E896" s="15">
        <f>'Participant reporting'!E1123</f>
        <v>0</v>
      </c>
      <c r="F896">
        <f>'Participant reporting'!F1123</f>
        <v>0</v>
      </c>
      <c r="G896">
        <f>'Participant reporting'!G1123</f>
        <v>0</v>
      </c>
      <c r="H896">
        <f>'Participant reporting'!H1123</f>
        <v>0</v>
      </c>
      <c r="I896">
        <f>'Participant reporting'!I1123</f>
        <v>0</v>
      </c>
      <c r="J896">
        <f>'Participant reporting'!J1123</f>
        <v>0</v>
      </c>
      <c r="K896">
        <f>'Participant reporting'!K1123</f>
        <v>0</v>
      </c>
      <c r="L896">
        <f>'Participant reporting'!L1123</f>
        <v>0</v>
      </c>
      <c r="M896">
        <f>'Participant reporting'!M1123</f>
        <v>0</v>
      </c>
      <c r="N896">
        <f>'Participant reporting'!N1123</f>
        <v>0</v>
      </c>
      <c r="O896">
        <f>'Participant reporting'!O1123</f>
        <v>0</v>
      </c>
    </row>
    <row r="897" spans="1:15" x14ac:dyDescent="0.25">
      <c r="A897">
        <f>'Participant reporting'!A1124</f>
        <v>0</v>
      </c>
      <c r="B897">
        <f>'Participant reporting'!B1124</f>
        <v>0</v>
      </c>
      <c r="C897">
        <f>'Participant reporting'!C1124</f>
        <v>0</v>
      </c>
      <c r="D897">
        <f>'Participant reporting'!D1124</f>
        <v>0</v>
      </c>
      <c r="E897" s="15">
        <f>'Participant reporting'!E1124</f>
        <v>0</v>
      </c>
      <c r="F897">
        <f>'Participant reporting'!F1124</f>
        <v>0</v>
      </c>
      <c r="G897">
        <f>'Participant reporting'!G1124</f>
        <v>0</v>
      </c>
      <c r="H897">
        <f>'Participant reporting'!H1124</f>
        <v>0</v>
      </c>
      <c r="I897">
        <f>'Participant reporting'!I1124</f>
        <v>0</v>
      </c>
      <c r="J897">
        <f>'Participant reporting'!J1124</f>
        <v>0</v>
      </c>
      <c r="K897">
        <f>'Participant reporting'!K1124</f>
        <v>0</v>
      </c>
      <c r="L897">
        <f>'Participant reporting'!L1124</f>
        <v>0</v>
      </c>
      <c r="M897">
        <f>'Participant reporting'!M1124</f>
        <v>0</v>
      </c>
      <c r="N897">
        <f>'Participant reporting'!N1124</f>
        <v>0</v>
      </c>
      <c r="O897">
        <f>'Participant reporting'!O1124</f>
        <v>0</v>
      </c>
    </row>
    <row r="898" spans="1:15" x14ac:dyDescent="0.25">
      <c r="A898">
        <f>'Participant reporting'!A1125</f>
        <v>0</v>
      </c>
      <c r="B898">
        <f>'Participant reporting'!B1125</f>
        <v>0</v>
      </c>
      <c r="C898">
        <f>'Participant reporting'!C1125</f>
        <v>0</v>
      </c>
      <c r="D898">
        <f>'Participant reporting'!D1125</f>
        <v>0</v>
      </c>
      <c r="E898" s="15">
        <f>'Participant reporting'!E1125</f>
        <v>0</v>
      </c>
      <c r="F898">
        <f>'Participant reporting'!F1125</f>
        <v>0</v>
      </c>
      <c r="G898">
        <f>'Participant reporting'!G1125</f>
        <v>0</v>
      </c>
      <c r="H898">
        <f>'Participant reporting'!H1125</f>
        <v>0</v>
      </c>
      <c r="I898">
        <f>'Participant reporting'!I1125</f>
        <v>0</v>
      </c>
      <c r="J898">
        <f>'Participant reporting'!J1125</f>
        <v>0</v>
      </c>
      <c r="K898">
        <f>'Participant reporting'!K1125</f>
        <v>0</v>
      </c>
      <c r="L898">
        <f>'Participant reporting'!L1125</f>
        <v>0</v>
      </c>
      <c r="M898">
        <f>'Participant reporting'!M1125</f>
        <v>0</v>
      </c>
      <c r="N898">
        <f>'Participant reporting'!N1125</f>
        <v>0</v>
      </c>
      <c r="O898">
        <f>'Participant reporting'!O1125</f>
        <v>0</v>
      </c>
    </row>
    <row r="899" spans="1:15" x14ac:dyDescent="0.25">
      <c r="A899">
        <f>'Participant reporting'!A1126</f>
        <v>0</v>
      </c>
      <c r="B899">
        <f>'Participant reporting'!B1126</f>
        <v>0</v>
      </c>
      <c r="C899">
        <f>'Participant reporting'!C1126</f>
        <v>0</v>
      </c>
      <c r="D899">
        <f>'Participant reporting'!D1126</f>
        <v>0</v>
      </c>
      <c r="E899" s="15">
        <f>'Participant reporting'!E1126</f>
        <v>0</v>
      </c>
      <c r="F899">
        <f>'Participant reporting'!F1126</f>
        <v>0</v>
      </c>
      <c r="G899">
        <f>'Participant reporting'!G1126</f>
        <v>0</v>
      </c>
      <c r="H899">
        <f>'Participant reporting'!H1126</f>
        <v>0</v>
      </c>
      <c r="I899">
        <f>'Participant reporting'!I1126</f>
        <v>0</v>
      </c>
      <c r="J899">
        <f>'Participant reporting'!J1126</f>
        <v>0</v>
      </c>
      <c r="K899">
        <f>'Participant reporting'!K1126</f>
        <v>0</v>
      </c>
      <c r="L899">
        <f>'Participant reporting'!L1126</f>
        <v>0</v>
      </c>
      <c r="M899">
        <f>'Participant reporting'!M1126</f>
        <v>0</v>
      </c>
      <c r="N899">
        <f>'Participant reporting'!N1126</f>
        <v>0</v>
      </c>
      <c r="O899">
        <f>'Participant reporting'!O1126</f>
        <v>0</v>
      </c>
    </row>
    <row r="900" spans="1:15" x14ac:dyDescent="0.25">
      <c r="A900">
        <f>'Participant reporting'!A1127</f>
        <v>0</v>
      </c>
      <c r="B900">
        <f>'Participant reporting'!B1127</f>
        <v>0</v>
      </c>
      <c r="C900">
        <f>'Participant reporting'!C1127</f>
        <v>0</v>
      </c>
      <c r="D900">
        <f>'Participant reporting'!D1127</f>
        <v>0</v>
      </c>
      <c r="E900" s="15">
        <f>'Participant reporting'!E1127</f>
        <v>0</v>
      </c>
      <c r="F900">
        <f>'Participant reporting'!F1127</f>
        <v>0</v>
      </c>
      <c r="G900">
        <f>'Participant reporting'!G1127</f>
        <v>0</v>
      </c>
      <c r="H900">
        <f>'Participant reporting'!H1127</f>
        <v>0</v>
      </c>
      <c r="I900">
        <f>'Participant reporting'!I1127</f>
        <v>0</v>
      </c>
      <c r="J900">
        <f>'Participant reporting'!J1127</f>
        <v>0</v>
      </c>
      <c r="K900">
        <f>'Participant reporting'!K1127</f>
        <v>0</v>
      </c>
      <c r="L900">
        <f>'Participant reporting'!L1127</f>
        <v>0</v>
      </c>
      <c r="M900">
        <f>'Participant reporting'!M1127</f>
        <v>0</v>
      </c>
      <c r="N900">
        <f>'Participant reporting'!N1127</f>
        <v>0</v>
      </c>
      <c r="O900">
        <f>'Participant reporting'!O1127</f>
        <v>0</v>
      </c>
    </row>
    <row r="901" spans="1:15" x14ac:dyDescent="0.25">
      <c r="A901">
        <f>'Participant reporting'!A1128</f>
        <v>0</v>
      </c>
      <c r="B901">
        <f>'Participant reporting'!B1128</f>
        <v>0</v>
      </c>
      <c r="C901">
        <f>'Participant reporting'!C1128</f>
        <v>0</v>
      </c>
      <c r="D901">
        <f>'Participant reporting'!D1128</f>
        <v>0</v>
      </c>
      <c r="E901" s="15">
        <f>'Participant reporting'!E1128</f>
        <v>0</v>
      </c>
      <c r="F901">
        <f>'Participant reporting'!F1128</f>
        <v>0</v>
      </c>
      <c r="G901">
        <f>'Participant reporting'!G1128</f>
        <v>0</v>
      </c>
      <c r="H901">
        <f>'Participant reporting'!H1128</f>
        <v>0</v>
      </c>
      <c r="I901">
        <f>'Participant reporting'!I1128</f>
        <v>0</v>
      </c>
      <c r="J901">
        <f>'Participant reporting'!J1128</f>
        <v>0</v>
      </c>
      <c r="K901">
        <f>'Participant reporting'!K1128</f>
        <v>0</v>
      </c>
      <c r="L901">
        <f>'Participant reporting'!L1128</f>
        <v>0</v>
      </c>
      <c r="M901">
        <f>'Participant reporting'!M1128</f>
        <v>0</v>
      </c>
      <c r="N901">
        <f>'Participant reporting'!N1128</f>
        <v>0</v>
      </c>
      <c r="O901">
        <f>'Participant reporting'!O1128</f>
        <v>0</v>
      </c>
    </row>
    <row r="902" spans="1:15" x14ac:dyDescent="0.25">
      <c r="A902">
        <f>'Participant reporting'!A1129</f>
        <v>0</v>
      </c>
      <c r="B902">
        <f>'Participant reporting'!B1129</f>
        <v>0</v>
      </c>
      <c r="C902">
        <f>'Participant reporting'!C1129</f>
        <v>0</v>
      </c>
      <c r="D902">
        <f>'Participant reporting'!D1129</f>
        <v>0</v>
      </c>
      <c r="E902" s="15">
        <f>'Participant reporting'!E1129</f>
        <v>0</v>
      </c>
      <c r="F902">
        <f>'Participant reporting'!F1129</f>
        <v>0</v>
      </c>
      <c r="G902">
        <f>'Participant reporting'!G1129</f>
        <v>0</v>
      </c>
      <c r="H902">
        <f>'Participant reporting'!H1129</f>
        <v>0</v>
      </c>
      <c r="I902">
        <f>'Participant reporting'!I1129</f>
        <v>0</v>
      </c>
      <c r="J902">
        <f>'Participant reporting'!J1129</f>
        <v>0</v>
      </c>
      <c r="K902">
        <f>'Participant reporting'!K1129</f>
        <v>0</v>
      </c>
      <c r="L902">
        <f>'Participant reporting'!L1129</f>
        <v>0</v>
      </c>
      <c r="M902">
        <f>'Participant reporting'!M1129</f>
        <v>0</v>
      </c>
      <c r="N902">
        <f>'Participant reporting'!N1129</f>
        <v>0</v>
      </c>
      <c r="O902">
        <f>'Participant reporting'!O1129</f>
        <v>0</v>
      </c>
    </row>
    <row r="903" spans="1:15" x14ac:dyDescent="0.25">
      <c r="A903">
        <f>'Participant reporting'!A1130</f>
        <v>0</v>
      </c>
      <c r="B903">
        <f>'Participant reporting'!B1130</f>
        <v>0</v>
      </c>
      <c r="C903">
        <f>'Participant reporting'!C1130</f>
        <v>0</v>
      </c>
      <c r="D903">
        <f>'Participant reporting'!D1130</f>
        <v>0</v>
      </c>
      <c r="E903" s="15">
        <f>'Participant reporting'!E1130</f>
        <v>0</v>
      </c>
      <c r="F903">
        <f>'Participant reporting'!F1130</f>
        <v>0</v>
      </c>
      <c r="G903">
        <f>'Participant reporting'!G1130</f>
        <v>0</v>
      </c>
      <c r="H903">
        <f>'Participant reporting'!H1130</f>
        <v>0</v>
      </c>
      <c r="I903">
        <f>'Participant reporting'!I1130</f>
        <v>0</v>
      </c>
      <c r="J903">
        <f>'Participant reporting'!J1130</f>
        <v>0</v>
      </c>
      <c r="K903">
        <f>'Participant reporting'!K1130</f>
        <v>0</v>
      </c>
      <c r="L903">
        <f>'Participant reporting'!L1130</f>
        <v>0</v>
      </c>
      <c r="M903">
        <f>'Participant reporting'!M1130</f>
        <v>0</v>
      </c>
      <c r="N903">
        <f>'Participant reporting'!N1130</f>
        <v>0</v>
      </c>
      <c r="O903">
        <f>'Participant reporting'!O1130</f>
        <v>0</v>
      </c>
    </row>
    <row r="904" spans="1:15" x14ac:dyDescent="0.25">
      <c r="A904">
        <f>'Participant reporting'!A1131</f>
        <v>0</v>
      </c>
      <c r="B904">
        <f>'Participant reporting'!B1131</f>
        <v>0</v>
      </c>
      <c r="C904">
        <f>'Participant reporting'!C1131</f>
        <v>0</v>
      </c>
      <c r="D904">
        <f>'Participant reporting'!D1131</f>
        <v>0</v>
      </c>
      <c r="E904" s="15">
        <f>'Participant reporting'!E1131</f>
        <v>0</v>
      </c>
      <c r="F904">
        <f>'Participant reporting'!F1131</f>
        <v>0</v>
      </c>
      <c r="G904">
        <f>'Participant reporting'!G1131</f>
        <v>0</v>
      </c>
      <c r="H904">
        <f>'Participant reporting'!H1131</f>
        <v>0</v>
      </c>
      <c r="I904">
        <f>'Participant reporting'!I1131</f>
        <v>0</v>
      </c>
      <c r="J904">
        <f>'Participant reporting'!J1131</f>
        <v>0</v>
      </c>
      <c r="K904">
        <f>'Participant reporting'!K1131</f>
        <v>0</v>
      </c>
      <c r="L904">
        <f>'Participant reporting'!L1131</f>
        <v>0</v>
      </c>
      <c r="M904">
        <f>'Participant reporting'!M1131</f>
        <v>0</v>
      </c>
      <c r="N904">
        <f>'Participant reporting'!N1131</f>
        <v>0</v>
      </c>
      <c r="O904">
        <f>'Participant reporting'!O1131</f>
        <v>0</v>
      </c>
    </row>
    <row r="905" spans="1:15" x14ac:dyDescent="0.25">
      <c r="A905">
        <f>'Participant reporting'!A1132</f>
        <v>0</v>
      </c>
      <c r="B905">
        <f>'Participant reporting'!B1132</f>
        <v>0</v>
      </c>
      <c r="C905">
        <f>'Participant reporting'!C1132</f>
        <v>0</v>
      </c>
      <c r="D905">
        <f>'Participant reporting'!D1132</f>
        <v>0</v>
      </c>
      <c r="E905" s="15">
        <f>'Participant reporting'!E1132</f>
        <v>0</v>
      </c>
      <c r="F905">
        <f>'Participant reporting'!F1132</f>
        <v>0</v>
      </c>
      <c r="G905">
        <f>'Participant reporting'!G1132</f>
        <v>0</v>
      </c>
      <c r="H905">
        <f>'Participant reporting'!H1132</f>
        <v>0</v>
      </c>
      <c r="I905">
        <f>'Participant reporting'!I1132</f>
        <v>0</v>
      </c>
      <c r="J905">
        <f>'Participant reporting'!J1132</f>
        <v>0</v>
      </c>
      <c r="K905">
        <f>'Participant reporting'!K1132</f>
        <v>0</v>
      </c>
      <c r="L905">
        <f>'Participant reporting'!L1132</f>
        <v>0</v>
      </c>
      <c r="M905">
        <f>'Participant reporting'!M1132</f>
        <v>0</v>
      </c>
      <c r="N905">
        <f>'Participant reporting'!N1132</f>
        <v>0</v>
      </c>
      <c r="O905">
        <f>'Participant reporting'!O1132</f>
        <v>0</v>
      </c>
    </row>
    <row r="906" spans="1:15" x14ac:dyDescent="0.25">
      <c r="A906">
        <f>'Participant reporting'!A1133</f>
        <v>0</v>
      </c>
      <c r="B906">
        <f>'Participant reporting'!B1133</f>
        <v>0</v>
      </c>
      <c r="C906">
        <f>'Participant reporting'!C1133</f>
        <v>0</v>
      </c>
      <c r="D906">
        <f>'Participant reporting'!D1133</f>
        <v>0</v>
      </c>
      <c r="E906" s="15">
        <f>'Participant reporting'!E1133</f>
        <v>0</v>
      </c>
      <c r="F906">
        <f>'Participant reporting'!F1133</f>
        <v>0</v>
      </c>
      <c r="G906">
        <f>'Participant reporting'!G1133</f>
        <v>0</v>
      </c>
      <c r="H906">
        <f>'Participant reporting'!H1133</f>
        <v>0</v>
      </c>
      <c r="I906">
        <f>'Participant reporting'!I1133</f>
        <v>0</v>
      </c>
      <c r="J906">
        <f>'Participant reporting'!J1133</f>
        <v>0</v>
      </c>
      <c r="K906">
        <f>'Participant reporting'!K1133</f>
        <v>0</v>
      </c>
      <c r="L906">
        <f>'Participant reporting'!L1133</f>
        <v>0</v>
      </c>
      <c r="M906">
        <f>'Participant reporting'!M1133</f>
        <v>0</v>
      </c>
      <c r="N906">
        <f>'Participant reporting'!N1133</f>
        <v>0</v>
      </c>
      <c r="O906">
        <f>'Participant reporting'!O1133</f>
        <v>0</v>
      </c>
    </row>
    <row r="907" spans="1:15" x14ac:dyDescent="0.25">
      <c r="A907">
        <f>'Participant reporting'!A1134</f>
        <v>0</v>
      </c>
      <c r="B907">
        <f>'Participant reporting'!B1134</f>
        <v>0</v>
      </c>
      <c r="C907">
        <f>'Participant reporting'!C1134</f>
        <v>0</v>
      </c>
      <c r="D907">
        <f>'Participant reporting'!D1134</f>
        <v>0</v>
      </c>
      <c r="E907" s="15">
        <f>'Participant reporting'!E1134</f>
        <v>0</v>
      </c>
      <c r="F907">
        <f>'Participant reporting'!F1134</f>
        <v>0</v>
      </c>
      <c r="G907">
        <f>'Participant reporting'!G1134</f>
        <v>0</v>
      </c>
      <c r="H907">
        <f>'Participant reporting'!H1134</f>
        <v>0</v>
      </c>
      <c r="I907">
        <f>'Participant reporting'!I1134</f>
        <v>0</v>
      </c>
      <c r="J907">
        <f>'Participant reporting'!J1134</f>
        <v>0</v>
      </c>
      <c r="K907">
        <f>'Participant reporting'!K1134</f>
        <v>0</v>
      </c>
      <c r="L907">
        <f>'Participant reporting'!L1134</f>
        <v>0</v>
      </c>
      <c r="M907">
        <f>'Participant reporting'!M1134</f>
        <v>0</v>
      </c>
      <c r="N907">
        <f>'Participant reporting'!N1134</f>
        <v>0</v>
      </c>
      <c r="O907">
        <f>'Participant reporting'!O1134</f>
        <v>0</v>
      </c>
    </row>
    <row r="908" spans="1:15" x14ac:dyDescent="0.25">
      <c r="A908">
        <f>'Participant reporting'!A1135</f>
        <v>0</v>
      </c>
      <c r="B908">
        <f>'Participant reporting'!B1135</f>
        <v>0</v>
      </c>
      <c r="C908">
        <f>'Participant reporting'!C1135</f>
        <v>0</v>
      </c>
      <c r="D908">
        <f>'Participant reporting'!D1135</f>
        <v>0</v>
      </c>
      <c r="E908" s="15">
        <f>'Participant reporting'!E1135</f>
        <v>0</v>
      </c>
      <c r="F908">
        <f>'Participant reporting'!F1135</f>
        <v>0</v>
      </c>
      <c r="G908">
        <f>'Participant reporting'!G1135</f>
        <v>0</v>
      </c>
      <c r="H908">
        <f>'Participant reporting'!H1135</f>
        <v>0</v>
      </c>
      <c r="I908">
        <f>'Participant reporting'!I1135</f>
        <v>0</v>
      </c>
      <c r="J908">
        <f>'Participant reporting'!J1135</f>
        <v>0</v>
      </c>
      <c r="K908">
        <f>'Participant reporting'!K1135</f>
        <v>0</v>
      </c>
      <c r="L908">
        <f>'Participant reporting'!L1135</f>
        <v>0</v>
      </c>
      <c r="M908">
        <f>'Participant reporting'!M1135</f>
        <v>0</v>
      </c>
      <c r="N908">
        <f>'Participant reporting'!N1135</f>
        <v>0</v>
      </c>
      <c r="O908">
        <f>'Participant reporting'!O1135</f>
        <v>0</v>
      </c>
    </row>
    <row r="909" spans="1:15" x14ac:dyDescent="0.25">
      <c r="A909">
        <f>'Participant reporting'!A1136</f>
        <v>0</v>
      </c>
      <c r="B909">
        <f>'Participant reporting'!B1136</f>
        <v>0</v>
      </c>
      <c r="C909">
        <f>'Participant reporting'!C1136</f>
        <v>0</v>
      </c>
      <c r="D909">
        <f>'Participant reporting'!D1136</f>
        <v>0</v>
      </c>
      <c r="E909" s="15">
        <f>'Participant reporting'!E1136</f>
        <v>0</v>
      </c>
      <c r="F909">
        <f>'Participant reporting'!F1136</f>
        <v>0</v>
      </c>
      <c r="G909">
        <f>'Participant reporting'!G1136</f>
        <v>0</v>
      </c>
      <c r="H909">
        <f>'Participant reporting'!H1136</f>
        <v>0</v>
      </c>
      <c r="I909">
        <f>'Participant reporting'!I1136</f>
        <v>0</v>
      </c>
      <c r="J909">
        <f>'Participant reporting'!J1136</f>
        <v>0</v>
      </c>
      <c r="K909">
        <f>'Participant reporting'!K1136</f>
        <v>0</v>
      </c>
      <c r="L909">
        <f>'Participant reporting'!L1136</f>
        <v>0</v>
      </c>
      <c r="M909">
        <f>'Participant reporting'!M1136</f>
        <v>0</v>
      </c>
      <c r="N909">
        <f>'Participant reporting'!N1136</f>
        <v>0</v>
      </c>
      <c r="O909">
        <f>'Participant reporting'!O1136</f>
        <v>0</v>
      </c>
    </row>
    <row r="910" spans="1:15" x14ac:dyDescent="0.25">
      <c r="A910">
        <f>'Participant reporting'!A1137</f>
        <v>0</v>
      </c>
      <c r="B910">
        <f>'Participant reporting'!B1137</f>
        <v>0</v>
      </c>
      <c r="C910">
        <f>'Participant reporting'!C1137</f>
        <v>0</v>
      </c>
      <c r="D910">
        <f>'Participant reporting'!D1137</f>
        <v>0</v>
      </c>
      <c r="E910" s="15">
        <f>'Participant reporting'!E1137</f>
        <v>0</v>
      </c>
      <c r="F910">
        <f>'Participant reporting'!F1137</f>
        <v>0</v>
      </c>
      <c r="G910">
        <f>'Participant reporting'!G1137</f>
        <v>0</v>
      </c>
      <c r="H910">
        <f>'Participant reporting'!H1137</f>
        <v>0</v>
      </c>
      <c r="I910">
        <f>'Participant reporting'!I1137</f>
        <v>0</v>
      </c>
      <c r="J910">
        <f>'Participant reporting'!J1137</f>
        <v>0</v>
      </c>
      <c r="K910">
        <f>'Participant reporting'!K1137</f>
        <v>0</v>
      </c>
      <c r="L910">
        <f>'Participant reporting'!L1137</f>
        <v>0</v>
      </c>
      <c r="M910">
        <f>'Participant reporting'!M1137</f>
        <v>0</v>
      </c>
      <c r="N910">
        <f>'Participant reporting'!N1137</f>
        <v>0</v>
      </c>
      <c r="O910">
        <f>'Participant reporting'!O1137</f>
        <v>0</v>
      </c>
    </row>
    <row r="911" spans="1:15" x14ac:dyDescent="0.25">
      <c r="A911">
        <f>'Participant reporting'!A1138</f>
        <v>0</v>
      </c>
      <c r="B911">
        <f>'Participant reporting'!B1138</f>
        <v>0</v>
      </c>
      <c r="C911">
        <f>'Participant reporting'!C1138</f>
        <v>0</v>
      </c>
      <c r="D911">
        <f>'Participant reporting'!D1138</f>
        <v>0</v>
      </c>
      <c r="E911" s="15">
        <f>'Participant reporting'!E1138</f>
        <v>0</v>
      </c>
      <c r="F911">
        <f>'Participant reporting'!F1138</f>
        <v>0</v>
      </c>
      <c r="G911">
        <f>'Participant reporting'!G1138</f>
        <v>0</v>
      </c>
      <c r="H911">
        <f>'Participant reporting'!H1138</f>
        <v>0</v>
      </c>
      <c r="I911">
        <f>'Participant reporting'!I1138</f>
        <v>0</v>
      </c>
      <c r="J911">
        <f>'Participant reporting'!J1138</f>
        <v>0</v>
      </c>
      <c r="K911">
        <f>'Participant reporting'!K1138</f>
        <v>0</v>
      </c>
      <c r="L911">
        <f>'Participant reporting'!L1138</f>
        <v>0</v>
      </c>
      <c r="M911">
        <f>'Participant reporting'!M1138</f>
        <v>0</v>
      </c>
      <c r="N911">
        <f>'Participant reporting'!N1138</f>
        <v>0</v>
      </c>
      <c r="O911">
        <f>'Participant reporting'!O1138</f>
        <v>0</v>
      </c>
    </row>
    <row r="912" spans="1:15" x14ac:dyDescent="0.25">
      <c r="A912">
        <f>'Participant reporting'!A1139</f>
        <v>0</v>
      </c>
      <c r="B912">
        <f>'Participant reporting'!B1139</f>
        <v>0</v>
      </c>
      <c r="C912">
        <f>'Participant reporting'!C1139</f>
        <v>0</v>
      </c>
      <c r="D912">
        <f>'Participant reporting'!D1139</f>
        <v>0</v>
      </c>
      <c r="E912" s="15">
        <f>'Participant reporting'!E1139</f>
        <v>0</v>
      </c>
      <c r="F912">
        <f>'Participant reporting'!F1139</f>
        <v>0</v>
      </c>
      <c r="G912">
        <f>'Participant reporting'!G1139</f>
        <v>0</v>
      </c>
      <c r="H912">
        <f>'Participant reporting'!H1139</f>
        <v>0</v>
      </c>
      <c r="I912">
        <f>'Participant reporting'!I1139</f>
        <v>0</v>
      </c>
      <c r="J912">
        <f>'Participant reporting'!J1139</f>
        <v>0</v>
      </c>
      <c r="K912">
        <f>'Participant reporting'!K1139</f>
        <v>0</v>
      </c>
      <c r="L912">
        <f>'Participant reporting'!L1139</f>
        <v>0</v>
      </c>
      <c r="M912">
        <f>'Participant reporting'!M1139</f>
        <v>0</v>
      </c>
      <c r="N912">
        <f>'Participant reporting'!N1139</f>
        <v>0</v>
      </c>
      <c r="O912">
        <f>'Participant reporting'!O1139</f>
        <v>0</v>
      </c>
    </row>
    <row r="913" spans="1:15" x14ac:dyDescent="0.25">
      <c r="A913">
        <f>'Participant reporting'!A1140</f>
        <v>0</v>
      </c>
      <c r="B913">
        <f>'Participant reporting'!B1140</f>
        <v>0</v>
      </c>
      <c r="C913">
        <f>'Participant reporting'!C1140</f>
        <v>0</v>
      </c>
      <c r="D913">
        <f>'Participant reporting'!D1140</f>
        <v>0</v>
      </c>
      <c r="E913" s="15">
        <f>'Participant reporting'!E1140</f>
        <v>0</v>
      </c>
      <c r="F913">
        <f>'Participant reporting'!F1140</f>
        <v>0</v>
      </c>
      <c r="G913">
        <f>'Participant reporting'!G1140</f>
        <v>0</v>
      </c>
      <c r="H913">
        <f>'Participant reporting'!H1140</f>
        <v>0</v>
      </c>
      <c r="I913">
        <f>'Participant reporting'!I1140</f>
        <v>0</v>
      </c>
      <c r="J913">
        <f>'Participant reporting'!J1140</f>
        <v>0</v>
      </c>
      <c r="K913">
        <f>'Participant reporting'!K1140</f>
        <v>0</v>
      </c>
      <c r="L913">
        <f>'Participant reporting'!L1140</f>
        <v>0</v>
      </c>
      <c r="M913">
        <f>'Participant reporting'!M1140</f>
        <v>0</v>
      </c>
      <c r="N913">
        <f>'Participant reporting'!N1140</f>
        <v>0</v>
      </c>
      <c r="O913">
        <f>'Participant reporting'!O1140</f>
        <v>0</v>
      </c>
    </row>
    <row r="914" spans="1:15" x14ac:dyDescent="0.25">
      <c r="A914">
        <f>'Participant reporting'!A1141</f>
        <v>0</v>
      </c>
      <c r="B914">
        <f>'Participant reporting'!B1141</f>
        <v>0</v>
      </c>
      <c r="C914">
        <f>'Participant reporting'!C1141</f>
        <v>0</v>
      </c>
      <c r="D914">
        <f>'Participant reporting'!D1141</f>
        <v>0</v>
      </c>
      <c r="E914" s="15">
        <f>'Participant reporting'!E1141</f>
        <v>0</v>
      </c>
      <c r="F914">
        <f>'Participant reporting'!F1141</f>
        <v>0</v>
      </c>
      <c r="G914">
        <f>'Participant reporting'!G1141</f>
        <v>0</v>
      </c>
      <c r="H914">
        <f>'Participant reporting'!H1141</f>
        <v>0</v>
      </c>
      <c r="I914">
        <f>'Participant reporting'!I1141</f>
        <v>0</v>
      </c>
      <c r="J914">
        <f>'Participant reporting'!J1141</f>
        <v>0</v>
      </c>
      <c r="K914">
        <f>'Participant reporting'!K1141</f>
        <v>0</v>
      </c>
      <c r="L914">
        <f>'Participant reporting'!L1141</f>
        <v>0</v>
      </c>
      <c r="M914">
        <f>'Participant reporting'!M1141</f>
        <v>0</v>
      </c>
      <c r="N914">
        <f>'Participant reporting'!N1141</f>
        <v>0</v>
      </c>
      <c r="O914">
        <f>'Participant reporting'!O1141</f>
        <v>0</v>
      </c>
    </row>
    <row r="915" spans="1:15" x14ac:dyDescent="0.25">
      <c r="A915">
        <f>'Participant reporting'!A1142</f>
        <v>0</v>
      </c>
      <c r="B915">
        <f>'Participant reporting'!B1142</f>
        <v>0</v>
      </c>
      <c r="C915">
        <f>'Participant reporting'!C1142</f>
        <v>0</v>
      </c>
      <c r="D915">
        <f>'Participant reporting'!D1142</f>
        <v>0</v>
      </c>
      <c r="E915" s="15">
        <f>'Participant reporting'!E1142</f>
        <v>0</v>
      </c>
      <c r="F915">
        <f>'Participant reporting'!F1142</f>
        <v>0</v>
      </c>
      <c r="G915">
        <f>'Participant reporting'!G1142</f>
        <v>0</v>
      </c>
      <c r="H915">
        <f>'Participant reporting'!H1142</f>
        <v>0</v>
      </c>
      <c r="I915">
        <f>'Participant reporting'!I1142</f>
        <v>0</v>
      </c>
      <c r="J915">
        <f>'Participant reporting'!J1142</f>
        <v>0</v>
      </c>
      <c r="K915">
        <f>'Participant reporting'!K1142</f>
        <v>0</v>
      </c>
      <c r="L915">
        <f>'Participant reporting'!L1142</f>
        <v>0</v>
      </c>
      <c r="M915">
        <f>'Participant reporting'!M1142</f>
        <v>0</v>
      </c>
      <c r="N915">
        <f>'Participant reporting'!N1142</f>
        <v>0</v>
      </c>
      <c r="O915">
        <f>'Participant reporting'!O1142</f>
        <v>0</v>
      </c>
    </row>
    <row r="916" spans="1:15" x14ac:dyDescent="0.25">
      <c r="A916">
        <f>'Participant reporting'!A1143</f>
        <v>0</v>
      </c>
      <c r="B916">
        <f>'Participant reporting'!B1143</f>
        <v>0</v>
      </c>
      <c r="C916">
        <f>'Participant reporting'!C1143</f>
        <v>0</v>
      </c>
      <c r="D916">
        <f>'Participant reporting'!D1143</f>
        <v>0</v>
      </c>
      <c r="E916" s="15">
        <f>'Participant reporting'!E1143</f>
        <v>0</v>
      </c>
      <c r="F916">
        <f>'Participant reporting'!F1143</f>
        <v>0</v>
      </c>
      <c r="G916">
        <f>'Participant reporting'!G1143</f>
        <v>0</v>
      </c>
      <c r="H916">
        <f>'Participant reporting'!H1143</f>
        <v>0</v>
      </c>
      <c r="I916">
        <f>'Participant reporting'!I1143</f>
        <v>0</v>
      </c>
      <c r="J916">
        <f>'Participant reporting'!J1143</f>
        <v>0</v>
      </c>
      <c r="K916">
        <f>'Participant reporting'!K1143</f>
        <v>0</v>
      </c>
      <c r="L916">
        <f>'Participant reporting'!L1143</f>
        <v>0</v>
      </c>
      <c r="M916">
        <f>'Participant reporting'!M1143</f>
        <v>0</v>
      </c>
      <c r="N916">
        <f>'Participant reporting'!N1143</f>
        <v>0</v>
      </c>
      <c r="O916">
        <f>'Participant reporting'!O1143</f>
        <v>0</v>
      </c>
    </row>
    <row r="917" spans="1:15" x14ac:dyDescent="0.25">
      <c r="A917">
        <f>'Participant reporting'!A1144</f>
        <v>0</v>
      </c>
      <c r="B917">
        <f>'Participant reporting'!B1144</f>
        <v>0</v>
      </c>
      <c r="C917">
        <f>'Participant reporting'!C1144</f>
        <v>0</v>
      </c>
      <c r="D917">
        <f>'Participant reporting'!D1144</f>
        <v>0</v>
      </c>
      <c r="E917" s="15">
        <f>'Participant reporting'!E1144</f>
        <v>0</v>
      </c>
      <c r="F917">
        <f>'Participant reporting'!F1144</f>
        <v>0</v>
      </c>
      <c r="G917">
        <f>'Participant reporting'!G1144</f>
        <v>0</v>
      </c>
      <c r="H917">
        <f>'Participant reporting'!H1144</f>
        <v>0</v>
      </c>
      <c r="I917">
        <f>'Participant reporting'!I1144</f>
        <v>0</v>
      </c>
      <c r="J917">
        <f>'Participant reporting'!J1144</f>
        <v>0</v>
      </c>
      <c r="K917">
        <f>'Participant reporting'!K1144</f>
        <v>0</v>
      </c>
      <c r="L917">
        <f>'Participant reporting'!L1144</f>
        <v>0</v>
      </c>
      <c r="M917">
        <f>'Participant reporting'!M1144</f>
        <v>0</v>
      </c>
      <c r="N917">
        <f>'Participant reporting'!N1144</f>
        <v>0</v>
      </c>
      <c r="O917">
        <f>'Participant reporting'!O1144</f>
        <v>0</v>
      </c>
    </row>
    <row r="918" spans="1:15" x14ac:dyDescent="0.25">
      <c r="A918">
        <f>'Participant reporting'!A1145</f>
        <v>0</v>
      </c>
      <c r="B918">
        <f>'Participant reporting'!B1145</f>
        <v>0</v>
      </c>
      <c r="C918">
        <f>'Participant reporting'!C1145</f>
        <v>0</v>
      </c>
      <c r="D918">
        <f>'Participant reporting'!D1145</f>
        <v>0</v>
      </c>
      <c r="E918" s="15">
        <f>'Participant reporting'!E1145</f>
        <v>0</v>
      </c>
      <c r="F918">
        <f>'Participant reporting'!F1145</f>
        <v>0</v>
      </c>
      <c r="G918">
        <f>'Participant reporting'!G1145</f>
        <v>0</v>
      </c>
      <c r="H918">
        <f>'Participant reporting'!H1145</f>
        <v>0</v>
      </c>
      <c r="I918">
        <f>'Participant reporting'!I1145</f>
        <v>0</v>
      </c>
      <c r="J918">
        <f>'Participant reporting'!J1145</f>
        <v>0</v>
      </c>
      <c r="K918">
        <f>'Participant reporting'!K1145</f>
        <v>0</v>
      </c>
      <c r="L918">
        <f>'Participant reporting'!L1145</f>
        <v>0</v>
      </c>
      <c r="M918">
        <f>'Participant reporting'!M1145</f>
        <v>0</v>
      </c>
      <c r="N918">
        <f>'Participant reporting'!N1145</f>
        <v>0</v>
      </c>
      <c r="O918">
        <f>'Participant reporting'!O1145</f>
        <v>0</v>
      </c>
    </row>
    <row r="919" spans="1:15" x14ac:dyDescent="0.25">
      <c r="A919">
        <f>'Participant reporting'!A1146</f>
        <v>0</v>
      </c>
      <c r="B919">
        <f>'Participant reporting'!B1146</f>
        <v>0</v>
      </c>
      <c r="C919">
        <f>'Participant reporting'!C1146</f>
        <v>0</v>
      </c>
      <c r="D919">
        <f>'Participant reporting'!D1146</f>
        <v>0</v>
      </c>
      <c r="E919" s="15">
        <f>'Participant reporting'!E1146</f>
        <v>0</v>
      </c>
      <c r="F919">
        <f>'Participant reporting'!F1146</f>
        <v>0</v>
      </c>
      <c r="G919">
        <f>'Participant reporting'!G1146</f>
        <v>0</v>
      </c>
      <c r="H919">
        <f>'Participant reporting'!H1146</f>
        <v>0</v>
      </c>
      <c r="I919">
        <f>'Participant reporting'!I1146</f>
        <v>0</v>
      </c>
      <c r="J919">
        <f>'Participant reporting'!J1146</f>
        <v>0</v>
      </c>
      <c r="K919">
        <f>'Participant reporting'!K1146</f>
        <v>0</v>
      </c>
      <c r="L919">
        <f>'Participant reporting'!L1146</f>
        <v>0</v>
      </c>
      <c r="M919">
        <f>'Participant reporting'!M1146</f>
        <v>0</v>
      </c>
      <c r="N919">
        <f>'Participant reporting'!N1146</f>
        <v>0</v>
      </c>
      <c r="O919">
        <f>'Participant reporting'!O1146</f>
        <v>0</v>
      </c>
    </row>
    <row r="920" spans="1:15" x14ac:dyDescent="0.25">
      <c r="A920">
        <f>'Participant reporting'!A1147</f>
        <v>0</v>
      </c>
      <c r="B920">
        <f>'Participant reporting'!B1147</f>
        <v>0</v>
      </c>
      <c r="C920">
        <f>'Participant reporting'!C1147</f>
        <v>0</v>
      </c>
      <c r="D920">
        <f>'Participant reporting'!D1147</f>
        <v>0</v>
      </c>
      <c r="E920" s="15">
        <f>'Participant reporting'!E1147</f>
        <v>0</v>
      </c>
      <c r="F920">
        <f>'Participant reporting'!F1147</f>
        <v>0</v>
      </c>
      <c r="G920">
        <f>'Participant reporting'!G1147</f>
        <v>0</v>
      </c>
      <c r="H920">
        <f>'Participant reporting'!H1147</f>
        <v>0</v>
      </c>
      <c r="I920">
        <f>'Participant reporting'!I1147</f>
        <v>0</v>
      </c>
      <c r="J920">
        <f>'Participant reporting'!J1147</f>
        <v>0</v>
      </c>
      <c r="K920">
        <f>'Participant reporting'!K1147</f>
        <v>0</v>
      </c>
      <c r="L920">
        <f>'Participant reporting'!L1147</f>
        <v>0</v>
      </c>
      <c r="M920">
        <f>'Participant reporting'!M1147</f>
        <v>0</v>
      </c>
      <c r="N920">
        <f>'Participant reporting'!N1147</f>
        <v>0</v>
      </c>
      <c r="O920">
        <f>'Participant reporting'!O1147</f>
        <v>0</v>
      </c>
    </row>
    <row r="921" spans="1:15" x14ac:dyDescent="0.25">
      <c r="A921">
        <f>'Participant reporting'!A1148</f>
        <v>0</v>
      </c>
      <c r="B921">
        <f>'Participant reporting'!B1148</f>
        <v>0</v>
      </c>
      <c r="C921">
        <f>'Participant reporting'!C1148</f>
        <v>0</v>
      </c>
      <c r="D921">
        <f>'Participant reporting'!D1148</f>
        <v>0</v>
      </c>
      <c r="E921" s="15">
        <f>'Participant reporting'!E1148</f>
        <v>0</v>
      </c>
      <c r="F921">
        <f>'Participant reporting'!F1148</f>
        <v>0</v>
      </c>
      <c r="G921">
        <f>'Participant reporting'!G1148</f>
        <v>0</v>
      </c>
      <c r="H921">
        <f>'Participant reporting'!H1148</f>
        <v>0</v>
      </c>
      <c r="I921">
        <f>'Participant reporting'!I1148</f>
        <v>0</v>
      </c>
      <c r="J921">
        <f>'Participant reporting'!J1148</f>
        <v>0</v>
      </c>
      <c r="K921">
        <f>'Participant reporting'!K1148</f>
        <v>0</v>
      </c>
      <c r="L921">
        <f>'Participant reporting'!L1148</f>
        <v>0</v>
      </c>
      <c r="M921">
        <f>'Participant reporting'!M1148</f>
        <v>0</v>
      </c>
      <c r="N921">
        <f>'Participant reporting'!N1148</f>
        <v>0</v>
      </c>
      <c r="O921">
        <f>'Participant reporting'!O1148</f>
        <v>0</v>
      </c>
    </row>
    <row r="922" spans="1:15" x14ac:dyDescent="0.25">
      <c r="A922">
        <f>'Participant reporting'!A1149</f>
        <v>0</v>
      </c>
      <c r="B922">
        <f>'Participant reporting'!B1149</f>
        <v>0</v>
      </c>
      <c r="C922">
        <f>'Participant reporting'!C1149</f>
        <v>0</v>
      </c>
      <c r="D922">
        <f>'Participant reporting'!D1149</f>
        <v>0</v>
      </c>
      <c r="E922" s="15">
        <f>'Participant reporting'!E1149</f>
        <v>0</v>
      </c>
      <c r="F922">
        <f>'Participant reporting'!F1149</f>
        <v>0</v>
      </c>
      <c r="G922">
        <f>'Participant reporting'!G1149</f>
        <v>0</v>
      </c>
      <c r="H922">
        <f>'Participant reporting'!H1149</f>
        <v>0</v>
      </c>
      <c r="I922">
        <f>'Participant reporting'!I1149</f>
        <v>0</v>
      </c>
      <c r="J922">
        <f>'Participant reporting'!J1149</f>
        <v>0</v>
      </c>
      <c r="K922">
        <f>'Participant reporting'!K1149</f>
        <v>0</v>
      </c>
      <c r="L922">
        <f>'Participant reporting'!L1149</f>
        <v>0</v>
      </c>
      <c r="M922">
        <f>'Participant reporting'!M1149</f>
        <v>0</v>
      </c>
      <c r="N922">
        <f>'Participant reporting'!N1149</f>
        <v>0</v>
      </c>
      <c r="O922">
        <f>'Participant reporting'!O1149</f>
        <v>0</v>
      </c>
    </row>
    <row r="923" spans="1:15" x14ac:dyDescent="0.25">
      <c r="A923">
        <f>'Participant reporting'!A1150</f>
        <v>0</v>
      </c>
      <c r="B923">
        <f>'Participant reporting'!B1150</f>
        <v>0</v>
      </c>
      <c r="C923">
        <f>'Participant reporting'!C1150</f>
        <v>0</v>
      </c>
      <c r="D923">
        <f>'Participant reporting'!D1150</f>
        <v>0</v>
      </c>
      <c r="E923" s="15">
        <f>'Participant reporting'!E1150</f>
        <v>0</v>
      </c>
      <c r="F923">
        <f>'Participant reporting'!F1150</f>
        <v>0</v>
      </c>
      <c r="G923">
        <f>'Participant reporting'!G1150</f>
        <v>0</v>
      </c>
      <c r="H923">
        <f>'Participant reporting'!H1150</f>
        <v>0</v>
      </c>
      <c r="I923">
        <f>'Participant reporting'!I1150</f>
        <v>0</v>
      </c>
      <c r="J923">
        <f>'Participant reporting'!J1150</f>
        <v>0</v>
      </c>
      <c r="K923">
        <f>'Participant reporting'!K1150</f>
        <v>0</v>
      </c>
      <c r="L923">
        <f>'Participant reporting'!L1150</f>
        <v>0</v>
      </c>
      <c r="M923">
        <f>'Participant reporting'!M1150</f>
        <v>0</v>
      </c>
      <c r="N923">
        <f>'Participant reporting'!N1150</f>
        <v>0</v>
      </c>
      <c r="O923">
        <f>'Participant reporting'!O1150</f>
        <v>0</v>
      </c>
    </row>
    <row r="924" spans="1:15" x14ac:dyDescent="0.25">
      <c r="A924">
        <f>'Participant reporting'!A1151</f>
        <v>0</v>
      </c>
      <c r="B924">
        <f>'Participant reporting'!B1151</f>
        <v>0</v>
      </c>
      <c r="C924">
        <f>'Participant reporting'!C1151</f>
        <v>0</v>
      </c>
      <c r="D924">
        <f>'Participant reporting'!D1151</f>
        <v>0</v>
      </c>
      <c r="E924" s="15">
        <f>'Participant reporting'!E1151</f>
        <v>0</v>
      </c>
      <c r="F924">
        <f>'Participant reporting'!F1151</f>
        <v>0</v>
      </c>
      <c r="G924">
        <f>'Participant reporting'!G1151</f>
        <v>0</v>
      </c>
      <c r="H924">
        <f>'Participant reporting'!H1151</f>
        <v>0</v>
      </c>
      <c r="I924">
        <f>'Participant reporting'!I1151</f>
        <v>0</v>
      </c>
      <c r="J924">
        <f>'Participant reporting'!J1151</f>
        <v>0</v>
      </c>
      <c r="K924">
        <f>'Participant reporting'!K1151</f>
        <v>0</v>
      </c>
      <c r="L924">
        <f>'Participant reporting'!L1151</f>
        <v>0</v>
      </c>
      <c r="M924">
        <f>'Participant reporting'!M1151</f>
        <v>0</v>
      </c>
      <c r="N924">
        <f>'Participant reporting'!N1151</f>
        <v>0</v>
      </c>
      <c r="O924">
        <f>'Participant reporting'!O1151</f>
        <v>0</v>
      </c>
    </row>
    <row r="925" spans="1:15" x14ac:dyDescent="0.25">
      <c r="A925">
        <f>'Participant reporting'!A1152</f>
        <v>0</v>
      </c>
      <c r="B925">
        <f>'Participant reporting'!B1152</f>
        <v>0</v>
      </c>
      <c r="C925">
        <f>'Participant reporting'!C1152</f>
        <v>0</v>
      </c>
      <c r="D925">
        <f>'Participant reporting'!D1152</f>
        <v>0</v>
      </c>
      <c r="E925" s="15">
        <f>'Participant reporting'!E1152</f>
        <v>0</v>
      </c>
      <c r="F925">
        <f>'Participant reporting'!F1152</f>
        <v>0</v>
      </c>
      <c r="G925">
        <f>'Participant reporting'!G1152</f>
        <v>0</v>
      </c>
      <c r="H925">
        <f>'Participant reporting'!H1152</f>
        <v>0</v>
      </c>
      <c r="I925">
        <f>'Participant reporting'!I1152</f>
        <v>0</v>
      </c>
      <c r="J925">
        <f>'Participant reporting'!J1152</f>
        <v>0</v>
      </c>
      <c r="K925">
        <f>'Participant reporting'!K1152</f>
        <v>0</v>
      </c>
      <c r="L925">
        <f>'Participant reporting'!L1152</f>
        <v>0</v>
      </c>
      <c r="M925">
        <f>'Participant reporting'!M1152</f>
        <v>0</v>
      </c>
      <c r="N925">
        <f>'Participant reporting'!N1152</f>
        <v>0</v>
      </c>
      <c r="O925">
        <f>'Participant reporting'!O1152</f>
        <v>0</v>
      </c>
    </row>
    <row r="926" spans="1:15" x14ac:dyDescent="0.25">
      <c r="A926">
        <f>'Participant reporting'!A1153</f>
        <v>0</v>
      </c>
      <c r="B926">
        <f>'Participant reporting'!B1153</f>
        <v>0</v>
      </c>
      <c r="C926">
        <f>'Participant reporting'!C1153</f>
        <v>0</v>
      </c>
      <c r="D926">
        <f>'Participant reporting'!D1153</f>
        <v>0</v>
      </c>
      <c r="E926" s="15">
        <f>'Participant reporting'!E1153</f>
        <v>0</v>
      </c>
      <c r="F926">
        <f>'Participant reporting'!F1153</f>
        <v>0</v>
      </c>
      <c r="G926">
        <f>'Participant reporting'!G1153</f>
        <v>0</v>
      </c>
      <c r="H926">
        <f>'Participant reporting'!H1153</f>
        <v>0</v>
      </c>
      <c r="I926">
        <f>'Participant reporting'!I1153</f>
        <v>0</v>
      </c>
      <c r="J926">
        <f>'Participant reporting'!J1153</f>
        <v>0</v>
      </c>
      <c r="K926">
        <f>'Participant reporting'!K1153</f>
        <v>0</v>
      </c>
      <c r="L926">
        <f>'Participant reporting'!L1153</f>
        <v>0</v>
      </c>
      <c r="M926">
        <f>'Participant reporting'!M1153</f>
        <v>0</v>
      </c>
      <c r="N926">
        <f>'Participant reporting'!N1153</f>
        <v>0</v>
      </c>
      <c r="O926">
        <f>'Participant reporting'!O1153</f>
        <v>0</v>
      </c>
    </row>
    <row r="927" spans="1:15" x14ac:dyDescent="0.25">
      <c r="A927">
        <f>'Participant reporting'!A1154</f>
        <v>0</v>
      </c>
      <c r="B927">
        <f>'Participant reporting'!B1154</f>
        <v>0</v>
      </c>
      <c r="C927">
        <f>'Participant reporting'!C1154</f>
        <v>0</v>
      </c>
      <c r="D927">
        <f>'Participant reporting'!D1154</f>
        <v>0</v>
      </c>
      <c r="E927" s="15">
        <f>'Participant reporting'!E1154</f>
        <v>0</v>
      </c>
      <c r="F927">
        <f>'Participant reporting'!F1154</f>
        <v>0</v>
      </c>
      <c r="G927">
        <f>'Participant reporting'!G1154</f>
        <v>0</v>
      </c>
      <c r="H927">
        <f>'Participant reporting'!H1154</f>
        <v>0</v>
      </c>
      <c r="I927">
        <f>'Participant reporting'!I1154</f>
        <v>0</v>
      </c>
      <c r="J927">
        <f>'Participant reporting'!J1154</f>
        <v>0</v>
      </c>
      <c r="K927">
        <f>'Participant reporting'!K1154</f>
        <v>0</v>
      </c>
      <c r="L927">
        <f>'Participant reporting'!L1154</f>
        <v>0</v>
      </c>
      <c r="M927">
        <f>'Participant reporting'!M1154</f>
        <v>0</v>
      </c>
      <c r="N927">
        <f>'Participant reporting'!N1154</f>
        <v>0</v>
      </c>
      <c r="O927">
        <f>'Participant reporting'!O1154</f>
        <v>0</v>
      </c>
    </row>
    <row r="928" spans="1:15" x14ac:dyDescent="0.25">
      <c r="A928">
        <f>'Participant reporting'!A1155</f>
        <v>0</v>
      </c>
      <c r="B928">
        <f>'Participant reporting'!B1155</f>
        <v>0</v>
      </c>
      <c r="C928">
        <f>'Participant reporting'!C1155</f>
        <v>0</v>
      </c>
      <c r="D928">
        <f>'Participant reporting'!D1155</f>
        <v>0</v>
      </c>
      <c r="E928" s="15">
        <f>'Participant reporting'!E1155</f>
        <v>0</v>
      </c>
      <c r="F928">
        <f>'Participant reporting'!F1155</f>
        <v>0</v>
      </c>
      <c r="G928">
        <f>'Participant reporting'!G1155</f>
        <v>0</v>
      </c>
      <c r="H928">
        <f>'Participant reporting'!H1155</f>
        <v>0</v>
      </c>
      <c r="I928">
        <f>'Participant reporting'!I1155</f>
        <v>0</v>
      </c>
      <c r="J928">
        <f>'Participant reporting'!J1155</f>
        <v>0</v>
      </c>
      <c r="K928">
        <f>'Participant reporting'!K1155</f>
        <v>0</v>
      </c>
      <c r="L928">
        <f>'Participant reporting'!L1155</f>
        <v>0</v>
      </c>
      <c r="M928">
        <f>'Participant reporting'!M1155</f>
        <v>0</v>
      </c>
      <c r="N928">
        <f>'Participant reporting'!N1155</f>
        <v>0</v>
      </c>
      <c r="O928">
        <f>'Participant reporting'!O1155</f>
        <v>0</v>
      </c>
    </row>
    <row r="929" spans="1:15" x14ac:dyDescent="0.25">
      <c r="A929">
        <f>'Participant reporting'!A1156</f>
        <v>0</v>
      </c>
      <c r="B929">
        <f>'Participant reporting'!B1156</f>
        <v>0</v>
      </c>
      <c r="C929">
        <f>'Participant reporting'!C1156</f>
        <v>0</v>
      </c>
      <c r="D929">
        <f>'Participant reporting'!D1156</f>
        <v>0</v>
      </c>
      <c r="E929" s="15">
        <f>'Participant reporting'!E1156</f>
        <v>0</v>
      </c>
      <c r="F929">
        <f>'Participant reporting'!F1156</f>
        <v>0</v>
      </c>
      <c r="G929">
        <f>'Participant reporting'!G1156</f>
        <v>0</v>
      </c>
      <c r="H929">
        <f>'Participant reporting'!H1156</f>
        <v>0</v>
      </c>
      <c r="I929">
        <f>'Participant reporting'!I1156</f>
        <v>0</v>
      </c>
      <c r="J929">
        <f>'Participant reporting'!J1156</f>
        <v>0</v>
      </c>
      <c r="K929">
        <f>'Participant reporting'!K1156</f>
        <v>0</v>
      </c>
      <c r="L929">
        <f>'Participant reporting'!L1156</f>
        <v>0</v>
      </c>
      <c r="M929">
        <f>'Participant reporting'!M1156</f>
        <v>0</v>
      </c>
      <c r="N929">
        <f>'Participant reporting'!N1156</f>
        <v>0</v>
      </c>
      <c r="O929">
        <f>'Participant reporting'!O1156</f>
        <v>0</v>
      </c>
    </row>
    <row r="930" spans="1:15" x14ac:dyDescent="0.25">
      <c r="A930">
        <f>'Participant reporting'!A1157</f>
        <v>0</v>
      </c>
      <c r="B930">
        <f>'Participant reporting'!B1157</f>
        <v>0</v>
      </c>
      <c r="C930">
        <f>'Participant reporting'!C1157</f>
        <v>0</v>
      </c>
      <c r="D930">
        <f>'Participant reporting'!D1157</f>
        <v>0</v>
      </c>
      <c r="E930" s="15">
        <f>'Participant reporting'!E1157</f>
        <v>0</v>
      </c>
      <c r="F930">
        <f>'Participant reporting'!F1157</f>
        <v>0</v>
      </c>
      <c r="G930">
        <f>'Participant reporting'!G1157</f>
        <v>0</v>
      </c>
      <c r="H930">
        <f>'Participant reporting'!H1157</f>
        <v>0</v>
      </c>
      <c r="I930">
        <f>'Participant reporting'!I1157</f>
        <v>0</v>
      </c>
      <c r="J930">
        <f>'Participant reporting'!J1157</f>
        <v>0</v>
      </c>
      <c r="K930">
        <f>'Participant reporting'!K1157</f>
        <v>0</v>
      </c>
      <c r="L930">
        <f>'Participant reporting'!L1157</f>
        <v>0</v>
      </c>
      <c r="M930">
        <f>'Participant reporting'!M1157</f>
        <v>0</v>
      </c>
      <c r="N930">
        <f>'Participant reporting'!N1157</f>
        <v>0</v>
      </c>
      <c r="O930">
        <f>'Participant reporting'!O1157</f>
        <v>0</v>
      </c>
    </row>
    <row r="931" spans="1:15" x14ac:dyDescent="0.25">
      <c r="A931">
        <f>'Participant reporting'!A1158</f>
        <v>0</v>
      </c>
      <c r="B931">
        <f>'Participant reporting'!B1158</f>
        <v>0</v>
      </c>
      <c r="C931">
        <f>'Participant reporting'!C1158</f>
        <v>0</v>
      </c>
      <c r="D931">
        <f>'Participant reporting'!D1158</f>
        <v>0</v>
      </c>
      <c r="E931" s="15">
        <f>'Participant reporting'!E1158</f>
        <v>0</v>
      </c>
      <c r="F931">
        <f>'Participant reporting'!F1158</f>
        <v>0</v>
      </c>
      <c r="G931">
        <f>'Participant reporting'!G1158</f>
        <v>0</v>
      </c>
      <c r="H931">
        <f>'Participant reporting'!H1158</f>
        <v>0</v>
      </c>
      <c r="I931">
        <f>'Participant reporting'!I1158</f>
        <v>0</v>
      </c>
      <c r="J931">
        <f>'Participant reporting'!J1158</f>
        <v>0</v>
      </c>
      <c r="K931">
        <f>'Participant reporting'!K1158</f>
        <v>0</v>
      </c>
      <c r="L931">
        <f>'Participant reporting'!L1158</f>
        <v>0</v>
      </c>
      <c r="M931">
        <f>'Participant reporting'!M1158</f>
        <v>0</v>
      </c>
      <c r="N931">
        <f>'Participant reporting'!N1158</f>
        <v>0</v>
      </c>
      <c r="O931">
        <f>'Participant reporting'!O1158</f>
        <v>0</v>
      </c>
    </row>
    <row r="932" spans="1:15" x14ac:dyDescent="0.25">
      <c r="A932">
        <f>'Participant reporting'!A1159</f>
        <v>0</v>
      </c>
      <c r="B932">
        <f>'Participant reporting'!B1159</f>
        <v>0</v>
      </c>
      <c r="C932">
        <f>'Participant reporting'!C1159</f>
        <v>0</v>
      </c>
      <c r="D932">
        <f>'Participant reporting'!D1159</f>
        <v>0</v>
      </c>
      <c r="E932" s="15">
        <f>'Participant reporting'!E1159</f>
        <v>0</v>
      </c>
      <c r="F932">
        <f>'Participant reporting'!F1159</f>
        <v>0</v>
      </c>
      <c r="G932">
        <f>'Participant reporting'!G1159</f>
        <v>0</v>
      </c>
      <c r="H932">
        <f>'Participant reporting'!H1159</f>
        <v>0</v>
      </c>
      <c r="I932">
        <f>'Participant reporting'!I1159</f>
        <v>0</v>
      </c>
      <c r="J932">
        <f>'Participant reporting'!J1159</f>
        <v>0</v>
      </c>
      <c r="K932">
        <f>'Participant reporting'!K1159</f>
        <v>0</v>
      </c>
      <c r="L932">
        <f>'Participant reporting'!L1159</f>
        <v>0</v>
      </c>
      <c r="M932">
        <f>'Participant reporting'!M1159</f>
        <v>0</v>
      </c>
      <c r="N932">
        <f>'Participant reporting'!N1159</f>
        <v>0</v>
      </c>
      <c r="O932">
        <f>'Participant reporting'!O1159</f>
        <v>0</v>
      </c>
    </row>
    <row r="933" spans="1:15" x14ac:dyDescent="0.25">
      <c r="A933">
        <f>'Participant reporting'!A1160</f>
        <v>0</v>
      </c>
      <c r="B933">
        <f>'Participant reporting'!B1160</f>
        <v>0</v>
      </c>
      <c r="C933">
        <f>'Participant reporting'!C1160</f>
        <v>0</v>
      </c>
      <c r="D933">
        <f>'Participant reporting'!D1160</f>
        <v>0</v>
      </c>
      <c r="E933" s="15">
        <f>'Participant reporting'!E1160</f>
        <v>0</v>
      </c>
      <c r="F933">
        <f>'Participant reporting'!F1160</f>
        <v>0</v>
      </c>
      <c r="G933">
        <f>'Participant reporting'!G1160</f>
        <v>0</v>
      </c>
      <c r="H933">
        <f>'Participant reporting'!H1160</f>
        <v>0</v>
      </c>
      <c r="I933">
        <f>'Participant reporting'!I1160</f>
        <v>0</v>
      </c>
      <c r="J933">
        <f>'Participant reporting'!J1160</f>
        <v>0</v>
      </c>
      <c r="K933">
        <f>'Participant reporting'!K1160</f>
        <v>0</v>
      </c>
      <c r="L933">
        <f>'Participant reporting'!L1160</f>
        <v>0</v>
      </c>
      <c r="M933">
        <f>'Participant reporting'!M1160</f>
        <v>0</v>
      </c>
      <c r="N933">
        <f>'Participant reporting'!N1160</f>
        <v>0</v>
      </c>
      <c r="O933">
        <f>'Participant reporting'!O1160</f>
        <v>0</v>
      </c>
    </row>
    <row r="934" spans="1:15" x14ac:dyDescent="0.25">
      <c r="A934">
        <f>'Participant reporting'!A1161</f>
        <v>0</v>
      </c>
      <c r="B934">
        <f>'Participant reporting'!B1161</f>
        <v>0</v>
      </c>
      <c r="C934">
        <f>'Participant reporting'!C1161</f>
        <v>0</v>
      </c>
      <c r="D934">
        <f>'Participant reporting'!D1161</f>
        <v>0</v>
      </c>
      <c r="E934" s="15">
        <f>'Participant reporting'!E1161</f>
        <v>0</v>
      </c>
      <c r="F934">
        <f>'Participant reporting'!F1161</f>
        <v>0</v>
      </c>
      <c r="G934">
        <f>'Participant reporting'!G1161</f>
        <v>0</v>
      </c>
      <c r="H934">
        <f>'Participant reporting'!H1161</f>
        <v>0</v>
      </c>
      <c r="I934">
        <f>'Participant reporting'!I1161</f>
        <v>0</v>
      </c>
      <c r="J934">
        <f>'Participant reporting'!J1161</f>
        <v>0</v>
      </c>
      <c r="K934">
        <f>'Participant reporting'!K1161</f>
        <v>0</v>
      </c>
      <c r="L934">
        <f>'Participant reporting'!L1161</f>
        <v>0</v>
      </c>
      <c r="M934">
        <f>'Participant reporting'!M1161</f>
        <v>0</v>
      </c>
      <c r="N934">
        <f>'Participant reporting'!N1161</f>
        <v>0</v>
      </c>
      <c r="O934">
        <f>'Participant reporting'!O1161</f>
        <v>0</v>
      </c>
    </row>
    <row r="935" spans="1:15" x14ac:dyDescent="0.25">
      <c r="A935">
        <f>'Participant reporting'!A1162</f>
        <v>0</v>
      </c>
      <c r="B935">
        <f>'Participant reporting'!B1162</f>
        <v>0</v>
      </c>
      <c r="C935">
        <f>'Participant reporting'!C1162</f>
        <v>0</v>
      </c>
      <c r="D935">
        <f>'Participant reporting'!D1162</f>
        <v>0</v>
      </c>
      <c r="E935" s="15">
        <f>'Participant reporting'!E1162</f>
        <v>0</v>
      </c>
      <c r="F935">
        <f>'Participant reporting'!F1162</f>
        <v>0</v>
      </c>
      <c r="G935">
        <f>'Participant reporting'!G1162</f>
        <v>0</v>
      </c>
      <c r="H935">
        <f>'Participant reporting'!H1162</f>
        <v>0</v>
      </c>
      <c r="I935">
        <f>'Participant reporting'!I1162</f>
        <v>0</v>
      </c>
      <c r="J935">
        <f>'Participant reporting'!J1162</f>
        <v>0</v>
      </c>
      <c r="K935">
        <f>'Participant reporting'!K1162</f>
        <v>0</v>
      </c>
      <c r="L935">
        <f>'Participant reporting'!L1162</f>
        <v>0</v>
      </c>
      <c r="M935">
        <f>'Participant reporting'!M1162</f>
        <v>0</v>
      </c>
      <c r="N935">
        <f>'Participant reporting'!N1162</f>
        <v>0</v>
      </c>
      <c r="O935">
        <f>'Participant reporting'!O1162</f>
        <v>0</v>
      </c>
    </row>
    <row r="936" spans="1:15" x14ac:dyDescent="0.25">
      <c r="A936">
        <f>'Participant reporting'!A1163</f>
        <v>0</v>
      </c>
      <c r="B936">
        <f>'Participant reporting'!B1163</f>
        <v>0</v>
      </c>
      <c r="C936">
        <f>'Participant reporting'!C1163</f>
        <v>0</v>
      </c>
      <c r="D936">
        <f>'Participant reporting'!D1163</f>
        <v>0</v>
      </c>
      <c r="E936" s="15">
        <f>'Participant reporting'!E1163</f>
        <v>0</v>
      </c>
      <c r="F936">
        <f>'Participant reporting'!F1163</f>
        <v>0</v>
      </c>
      <c r="G936">
        <f>'Participant reporting'!G1163</f>
        <v>0</v>
      </c>
      <c r="H936">
        <f>'Participant reporting'!H1163</f>
        <v>0</v>
      </c>
      <c r="I936">
        <f>'Participant reporting'!I1163</f>
        <v>0</v>
      </c>
      <c r="J936">
        <f>'Participant reporting'!J1163</f>
        <v>0</v>
      </c>
      <c r="K936">
        <f>'Participant reporting'!K1163</f>
        <v>0</v>
      </c>
      <c r="L936">
        <f>'Participant reporting'!L1163</f>
        <v>0</v>
      </c>
      <c r="M936">
        <f>'Participant reporting'!M1163</f>
        <v>0</v>
      </c>
      <c r="N936">
        <f>'Participant reporting'!N1163</f>
        <v>0</v>
      </c>
      <c r="O936">
        <f>'Participant reporting'!O1163</f>
        <v>0</v>
      </c>
    </row>
    <row r="937" spans="1:15" x14ac:dyDescent="0.25">
      <c r="A937">
        <f>'Participant reporting'!A1164</f>
        <v>0</v>
      </c>
      <c r="B937">
        <f>'Participant reporting'!B1164</f>
        <v>0</v>
      </c>
      <c r="C937">
        <f>'Participant reporting'!C1164</f>
        <v>0</v>
      </c>
      <c r="D937">
        <f>'Participant reporting'!D1164</f>
        <v>0</v>
      </c>
      <c r="E937" s="15">
        <f>'Participant reporting'!E1164</f>
        <v>0</v>
      </c>
      <c r="F937">
        <f>'Participant reporting'!F1164</f>
        <v>0</v>
      </c>
      <c r="G937">
        <f>'Participant reporting'!G1164</f>
        <v>0</v>
      </c>
      <c r="H937">
        <f>'Participant reporting'!H1164</f>
        <v>0</v>
      </c>
      <c r="I937">
        <f>'Participant reporting'!I1164</f>
        <v>0</v>
      </c>
      <c r="J937">
        <f>'Participant reporting'!J1164</f>
        <v>0</v>
      </c>
      <c r="K937">
        <f>'Participant reporting'!K1164</f>
        <v>0</v>
      </c>
      <c r="L937">
        <f>'Participant reporting'!L1164</f>
        <v>0</v>
      </c>
      <c r="M937">
        <f>'Participant reporting'!M1164</f>
        <v>0</v>
      </c>
      <c r="N937">
        <f>'Participant reporting'!N1164</f>
        <v>0</v>
      </c>
      <c r="O937">
        <f>'Participant reporting'!O1164</f>
        <v>0</v>
      </c>
    </row>
    <row r="938" spans="1:15" x14ac:dyDescent="0.25">
      <c r="A938">
        <f>'Participant reporting'!A1165</f>
        <v>0</v>
      </c>
      <c r="B938">
        <f>'Participant reporting'!B1165</f>
        <v>0</v>
      </c>
      <c r="C938">
        <f>'Participant reporting'!C1165</f>
        <v>0</v>
      </c>
      <c r="D938">
        <f>'Participant reporting'!D1165</f>
        <v>0</v>
      </c>
      <c r="E938" s="15">
        <f>'Participant reporting'!E1165</f>
        <v>0</v>
      </c>
      <c r="F938">
        <f>'Participant reporting'!F1165</f>
        <v>0</v>
      </c>
      <c r="G938">
        <f>'Participant reporting'!G1165</f>
        <v>0</v>
      </c>
      <c r="H938">
        <f>'Participant reporting'!H1165</f>
        <v>0</v>
      </c>
      <c r="I938">
        <f>'Participant reporting'!I1165</f>
        <v>0</v>
      </c>
      <c r="J938">
        <f>'Participant reporting'!J1165</f>
        <v>0</v>
      </c>
      <c r="K938">
        <f>'Participant reporting'!K1165</f>
        <v>0</v>
      </c>
      <c r="L938">
        <f>'Participant reporting'!L1165</f>
        <v>0</v>
      </c>
      <c r="M938">
        <f>'Participant reporting'!M1165</f>
        <v>0</v>
      </c>
      <c r="N938">
        <f>'Participant reporting'!N1165</f>
        <v>0</v>
      </c>
      <c r="O938">
        <f>'Participant reporting'!O1165</f>
        <v>0</v>
      </c>
    </row>
    <row r="939" spans="1:15" x14ac:dyDescent="0.25">
      <c r="A939">
        <f>'Participant reporting'!A1166</f>
        <v>0</v>
      </c>
      <c r="B939">
        <f>'Participant reporting'!B1166</f>
        <v>0</v>
      </c>
      <c r="C939">
        <f>'Participant reporting'!C1166</f>
        <v>0</v>
      </c>
      <c r="D939">
        <f>'Participant reporting'!D1166</f>
        <v>0</v>
      </c>
      <c r="E939" s="15">
        <f>'Participant reporting'!E1166</f>
        <v>0</v>
      </c>
      <c r="F939">
        <f>'Participant reporting'!F1166</f>
        <v>0</v>
      </c>
      <c r="G939">
        <f>'Participant reporting'!G1166</f>
        <v>0</v>
      </c>
      <c r="H939">
        <f>'Participant reporting'!H1166</f>
        <v>0</v>
      </c>
      <c r="I939">
        <f>'Participant reporting'!I1166</f>
        <v>0</v>
      </c>
      <c r="J939">
        <f>'Participant reporting'!J1166</f>
        <v>0</v>
      </c>
      <c r="K939">
        <f>'Participant reporting'!K1166</f>
        <v>0</v>
      </c>
      <c r="L939">
        <f>'Participant reporting'!L1166</f>
        <v>0</v>
      </c>
      <c r="M939">
        <f>'Participant reporting'!M1166</f>
        <v>0</v>
      </c>
      <c r="N939">
        <f>'Participant reporting'!N1166</f>
        <v>0</v>
      </c>
      <c r="O939">
        <f>'Participant reporting'!O1166</f>
        <v>0</v>
      </c>
    </row>
    <row r="940" spans="1:15" x14ac:dyDescent="0.25">
      <c r="A940">
        <f>'Participant reporting'!A1167</f>
        <v>0</v>
      </c>
      <c r="B940">
        <f>'Participant reporting'!B1167</f>
        <v>0</v>
      </c>
      <c r="C940">
        <f>'Participant reporting'!C1167</f>
        <v>0</v>
      </c>
      <c r="D940">
        <f>'Participant reporting'!D1167</f>
        <v>0</v>
      </c>
      <c r="E940" s="15">
        <f>'Participant reporting'!E1167</f>
        <v>0</v>
      </c>
      <c r="F940">
        <f>'Participant reporting'!F1167</f>
        <v>0</v>
      </c>
      <c r="G940">
        <f>'Participant reporting'!G1167</f>
        <v>0</v>
      </c>
      <c r="H940">
        <f>'Participant reporting'!H1167</f>
        <v>0</v>
      </c>
      <c r="I940">
        <f>'Participant reporting'!I1167</f>
        <v>0</v>
      </c>
      <c r="J940">
        <f>'Participant reporting'!J1167</f>
        <v>0</v>
      </c>
      <c r="K940">
        <f>'Participant reporting'!K1167</f>
        <v>0</v>
      </c>
      <c r="L940">
        <f>'Participant reporting'!L1167</f>
        <v>0</v>
      </c>
      <c r="M940">
        <f>'Participant reporting'!M1167</f>
        <v>0</v>
      </c>
      <c r="N940">
        <f>'Participant reporting'!N1167</f>
        <v>0</v>
      </c>
      <c r="O940">
        <f>'Participant reporting'!O1167</f>
        <v>0</v>
      </c>
    </row>
    <row r="941" spans="1:15" x14ac:dyDescent="0.25">
      <c r="A941">
        <f>'Participant reporting'!A1168</f>
        <v>0</v>
      </c>
      <c r="B941">
        <f>'Participant reporting'!B1168</f>
        <v>0</v>
      </c>
      <c r="C941">
        <f>'Participant reporting'!C1168</f>
        <v>0</v>
      </c>
      <c r="D941">
        <f>'Participant reporting'!D1168</f>
        <v>0</v>
      </c>
      <c r="E941" s="15">
        <f>'Participant reporting'!E1168</f>
        <v>0</v>
      </c>
      <c r="F941">
        <f>'Participant reporting'!F1168</f>
        <v>0</v>
      </c>
      <c r="G941">
        <f>'Participant reporting'!G1168</f>
        <v>0</v>
      </c>
      <c r="H941">
        <f>'Participant reporting'!H1168</f>
        <v>0</v>
      </c>
      <c r="I941">
        <f>'Participant reporting'!I1168</f>
        <v>0</v>
      </c>
      <c r="J941">
        <f>'Participant reporting'!J1168</f>
        <v>0</v>
      </c>
      <c r="K941">
        <f>'Participant reporting'!K1168</f>
        <v>0</v>
      </c>
      <c r="L941">
        <f>'Participant reporting'!L1168</f>
        <v>0</v>
      </c>
      <c r="M941">
        <f>'Participant reporting'!M1168</f>
        <v>0</v>
      </c>
      <c r="N941">
        <f>'Participant reporting'!N1168</f>
        <v>0</v>
      </c>
      <c r="O941">
        <f>'Participant reporting'!O1168</f>
        <v>0</v>
      </c>
    </row>
    <row r="942" spans="1:15" x14ac:dyDescent="0.25">
      <c r="A942">
        <f>'Participant reporting'!A1169</f>
        <v>0</v>
      </c>
      <c r="B942">
        <f>'Participant reporting'!B1169</f>
        <v>0</v>
      </c>
      <c r="C942">
        <f>'Participant reporting'!C1169</f>
        <v>0</v>
      </c>
      <c r="D942">
        <f>'Participant reporting'!D1169</f>
        <v>0</v>
      </c>
      <c r="E942" s="15">
        <f>'Participant reporting'!E1169</f>
        <v>0</v>
      </c>
      <c r="F942">
        <f>'Participant reporting'!F1169</f>
        <v>0</v>
      </c>
      <c r="G942">
        <f>'Participant reporting'!G1169</f>
        <v>0</v>
      </c>
      <c r="H942">
        <f>'Participant reporting'!H1169</f>
        <v>0</v>
      </c>
      <c r="I942">
        <f>'Participant reporting'!I1169</f>
        <v>0</v>
      </c>
      <c r="J942">
        <f>'Participant reporting'!J1169</f>
        <v>0</v>
      </c>
      <c r="K942">
        <f>'Participant reporting'!K1169</f>
        <v>0</v>
      </c>
      <c r="L942">
        <f>'Participant reporting'!L1169</f>
        <v>0</v>
      </c>
      <c r="M942">
        <f>'Participant reporting'!M1169</f>
        <v>0</v>
      </c>
      <c r="N942">
        <f>'Participant reporting'!N1169</f>
        <v>0</v>
      </c>
      <c r="O942">
        <f>'Participant reporting'!O1169</f>
        <v>0</v>
      </c>
    </row>
    <row r="943" spans="1:15" x14ac:dyDescent="0.25">
      <c r="A943">
        <f>'Participant reporting'!A1170</f>
        <v>0</v>
      </c>
      <c r="B943">
        <f>'Participant reporting'!B1170</f>
        <v>0</v>
      </c>
      <c r="C943">
        <f>'Participant reporting'!C1170</f>
        <v>0</v>
      </c>
      <c r="D943">
        <f>'Participant reporting'!D1170</f>
        <v>0</v>
      </c>
      <c r="E943" s="15">
        <f>'Participant reporting'!E1170</f>
        <v>0</v>
      </c>
      <c r="F943">
        <f>'Participant reporting'!F1170</f>
        <v>0</v>
      </c>
      <c r="G943">
        <f>'Participant reporting'!G1170</f>
        <v>0</v>
      </c>
      <c r="H943">
        <f>'Participant reporting'!H1170</f>
        <v>0</v>
      </c>
      <c r="I943">
        <f>'Participant reporting'!I1170</f>
        <v>0</v>
      </c>
      <c r="J943">
        <f>'Participant reporting'!J1170</f>
        <v>0</v>
      </c>
      <c r="K943">
        <f>'Participant reporting'!K1170</f>
        <v>0</v>
      </c>
      <c r="L943">
        <f>'Participant reporting'!L1170</f>
        <v>0</v>
      </c>
      <c r="M943">
        <f>'Participant reporting'!M1170</f>
        <v>0</v>
      </c>
      <c r="N943">
        <f>'Participant reporting'!N1170</f>
        <v>0</v>
      </c>
      <c r="O943">
        <f>'Participant reporting'!O1170</f>
        <v>0</v>
      </c>
    </row>
    <row r="944" spans="1:15" x14ac:dyDescent="0.25">
      <c r="A944">
        <f>'Participant reporting'!A1171</f>
        <v>0</v>
      </c>
      <c r="B944">
        <f>'Participant reporting'!B1171</f>
        <v>0</v>
      </c>
      <c r="C944">
        <f>'Participant reporting'!C1171</f>
        <v>0</v>
      </c>
      <c r="D944">
        <f>'Participant reporting'!D1171</f>
        <v>0</v>
      </c>
      <c r="E944" s="15">
        <f>'Participant reporting'!E1171</f>
        <v>0</v>
      </c>
      <c r="F944">
        <f>'Participant reporting'!F1171</f>
        <v>0</v>
      </c>
      <c r="G944">
        <f>'Participant reporting'!G1171</f>
        <v>0</v>
      </c>
      <c r="H944">
        <f>'Participant reporting'!H1171</f>
        <v>0</v>
      </c>
      <c r="I944">
        <f>'Participant reporting'!I1171</f>
        <v>0</v>
      </c>
      <c r="J944">
        <f>'Participant reporting'!J1171</f>
        <v>0</v>
      </c>
      <c r="K944">
        <f>'Participant reporting'!K1171</f>
        <v>0</v>
      </c>
      <c r="L944">
        <f>'Participant reporting'!L1171</f>
        <v>0</v>
      </c>
      <c r="M944">
        <f>'Participant reporting'!M1171</f>
        <v>0</v>
      </c>
      <c r="N944">
        <f>'Participant reporting'!N1171</f>
        <v>0</v>
      </c>
      <c r="O944">
        <f>'Participant reporting'!O1171</f>
        <v>0</v>
      </c>
    </row>
    <row r="945" spans="1:15" x14ac:dyDescent="0.25">
      <c r="A945">
        <f>'Participant reporting'!A1172</f>
        <v>0</v>
      </c>
      <c r="B945">
        <f>'Participant reporting'!B1172</f>
        <v>0</v>
      </c>
      <c r="C945">
        <f>'Participant reporting'!C1172</f>
        <v>0</v>
      </c>
      <c r="D945">
        <f>'Participant reporting'!D1172</f>
        <v>0</v>
      </c>
      <c r="E945" s="15">
        <f>'Participant reporting'!E1172</f>
        <v>0</v>
      </c>
      <c r="F945">
        <f>'Participant reporting'!F1172</f>
        <v>0</v>
      </c>
      <c r="G945">
        <f>'Participant reporting'!G1172</f>
        <v>0</v>
      </c>
      <c r="H945">
        <f>'Participant reporting'!H1172</f>
        <v>0</v>
      </c>
      <c r="I945">
        <f>'Participant reporting'!I1172</f>
        <v>0</v>
      </c>
      <c r="J945">
        <f>'Participant reporting'!J1172</f>
        <v>0</v>
      </c>
      <c r="K945">
        <f>'Participant reporting'!K1172</f>
        <v>0</v>
      </c>
      <c r="L945">
        <f>'Participant reporting'!L1172</f>
        <v>0</v>
      </c>
      <c r="M945">
        <f>'Participant reporting'!M1172</f>
        <v>0</v>
      </c>
      <c r="N945">
        <f>'Participant reporting'!N1172</f>
        <v>0</v>
      </c>
      <c r="O945">
        <f>'Participant reporting'!O1172</f>
        <v>0</v>
      </c>
    </row>
    <row r="946" spans="1:15" x14ac:dyDescent="0.25">
      <c r="A946">
        <f>'Participant reporting'!A1173</f>
        <v>0</v>
      </c>
      <c r="B946">
        <f>'Participant reporting'!B1173</f>
        <v>0</v>
      </c>
      <c r="C946">
        <f>'Participant reporting'!C1173</f>
        <v>0</v>
      </c>
      <c r="D946">
        <f>'Participant reporting'!D1173</f>
        <v>0</v>
      </c>
      <c r="E946" s="15">
        <f>'Participant reporting'!E1173</f>
        <v>0</v>
      </c>
      <c r="F946">
        <f>'Participant reporting'!F1173</f>
        <v>0</v>
      </c>
      <c r="G946">
        <f>'Participant reporting'!G1173</f>
        <v>0</v>
      </c>
      <c r="H946">
        <f>'Participant reporting'!H1173</f>
        <v>0</v>
      </c>
      <c r="I946">
        <f>'Participant reporting'!I1173</f>
        <v>0</v>
      </c>
      <c r="J946">
        <f>'Participant reporting'!J1173</f>
        <v>0</v>
      </c>
      <c r="K946">
        <f>'Participant reporting'!K1173</f>
        <v>0</v>
      </c>
      <c r="L946">
        <f>'Participant reporting'!L1173</f>
        <v>0</v>
      </c>
      <c r="M946">
        <f>'Participant reporting'!M1173</f>
        <v>0</v>
      </c>
      <c r="N946">
        <f>'Participant reporting'!N1173</f>
        <v>0</v>
      </c>
      <c r="O946">
        <f>'Participant reporting'!O1173</f>
        <v>0</v>
      </c>
    </row>
    <row r="947" spans="1:15" x14ac:dyDescent="0.25">
      <c r="A947">
        <f>'Participant reporting'!A1174</f>
        <v>0</v>
      </c>
      <c r="B947">
        <f>'Participant reporting'!B1174</f>
        <v>0</v>
      </c>
      <c r="C947">
        <f>'Participant reporting'!C1174</f>
        <v>0</v>
      </c>
      <c r="D947">
        <f>'Participant reporting'!D1174</f>
        <v>0</v>
      </c>
      <c r="E947" s="15">
        <f>'Participant reporting'!E1174</f>
        <v>0</v>
      </c>
      <c r="F947">
        <f>'Participant reporting'!F1174</f>
        <v>0</v>
      </c>
      <c r="G947">
        <f>'Participant reporting'!G1174</f>
        <v>0</v>
      </c>
      <c r="H947">
        <f>'Participant reporting'!H1174</f>
        <v>0</v>
      </c>
      <c r="I947">
        <f>'Participant reporting'!I1174</f>
        <v>0</v>
      </c>
      <c r="J947">
        <f>'Participant reporting'!J1174</f>
        <v>0</v>
      </c>
      <c r="K947">
        <f>'Participant reporting'!K1174</f>
        <v>0</v>
      </c>
      <c r="L947">
        <f>'Participant reporting'!L1174</f>
        <v>0</v>
      </c>
      <c r="M947">
        <f>'Participant reporting'!M1174</f>
        <v>0</v>
      </c>
      <c r="N947">
        <f>'Participant reporting'!N1174</f>
        <v>0</v>
      </c>
      <c r="O947">
        <f>'Participant reporting'!O1174</f>
        <v>0</v>
      </c>
    </row>
    <row r="948" spans="1:15" x14ac:dyDescent="0.25">
      <c r="A948">
        <f>'Participant reporting'!A1175</f>
        <v>0</v>
      </c>
      <c r="B948">
        <f>'Participant reporting'!B1175</f>
        <v>0</v>
      </c>
      <c r="C948">
        <f>'Participant reporting'!C1175</f>
        <v>0</v>
      </c>
      <c r="D948">
        <f>'Participant reporting'!D1175</f>
        <v>0</v>
      </c>
      <c r="E948" s="15">
        <f>'Participant reporting'!E1175</f>
        <v>0</v>
      </c>
      <c r="F948">
        <f>'Participant reporting'!F1175</f>
        <v>0</v>
      </c>
      <c r="G948">
        <f>'Participant reporting'!G1175</f>
        <v>0</v>
      </c>
      <c r="H948">
        <f>'Participant reporting'!H1175</f>
        <v>0</v>
      </c>
      <c r="I948">
        <f>'Participant reporting'!I1175</f>
        <v>0</v>
      </c>
      <c r="J948">
        <f>'Participant reporting'!J1175</f>
        <v>0</v>
      </c>
      <c r="K948">
        <f>'Participant reporting'!K1175</f>
        <v>0</v>
      </c>
      <c r="L948">
        <f>'Participant reporting'!L1175</f>
        <v>0</v>
      </c>
      <c r="M948">
        <f>'Participant reporting'!M1175</f>
        <v>0</v>
      </c>
      <c r="N948">
        <f>'Participant reporting'!N1175</f>
        <v>0</v>
      </c>
      <c r="O948">
        <f>'Participant reporting'!O1175</f>
        <v>0</v>
      </c>
    </row>
    <row r="949" spans="1:15" x14ac:dyDescent="0.25">
      <c r="A949">
        <f>'Participant reporting'!A1176</f>
        <v>0</v>
      </c>
      <c r="B949">
        <f>'Participant reporting'!B1176</f>
        <v>0</v>
      </c>
      <c r="C949">
        <f>'Participant reporting'!C1176</f>
        <v>0</v>
      </c>
      <c r="D949">
        <f>'Participant reporting'!D1176</f>
        <v>0</v>
      </c>
      <c r="E949" s="15">
        <f>'Participant reporting'!E1176</f>
        <v>0</v>
      </c>
      <c r="F949">
        <f>'Participant reporting'!F1176</f>
        <v>0</v>
      </c>
      <c r="G949">
        <f>'Participant reporting'!G1176</f>
        <v>0</v>
      </c>
      <c r="H949">
        <f>'Participant reporting'!H1176</f>
        <v>0</v>
      </c>
      <c r="I949">
        <f>'Participant reporting'!I1176</f>
        <v>0</v>
      </c>
      <c r="J949">
        <f>'Participant reporting'!J1176</f>
        <v>0</v>
      </c>
      <c r="K949">
        <f>'Participant reporting'!K1176</f>
        <v>0</v>
      </c>
      <c r="L949">
        <f>'Participant reporting'!L1176</f>
        <v>0</v>
      </c>
      <c r="M949">
        <f>'Participant reporting'!M1176</f>
        <v>0</v>
      </c>
      <c r="N949">
        <f>'Participant reporting'!N1176</f>
        <v>0</v>
      </c>
      <c r="O949">
        <f>'Participant reporting'!O1176</f>
        <v>0</v>
      </c>
    </row>
    <row r="950" spans="1:15" x14ac:dyDescent="0.25">
      <c r="A950">
        <f>'Participant reporting'!A1177</f>
        <v>0</v>
      </c>
      <c r="B950">
        <f>'Participant reporting'!B1177</f>
        <v>0</v>
      </c>
      <c r="C950">
        <f>'Participant reporting'!C1177</f>
        <v>0</v>
      </c>
      <c r="D950">
        <f>'Participant reporting'!D1177</f>
        <v>0</v>
      </c>
      <c r="E950" s="15">
        <f>'Participant reporting'!E1177</f>
        <v>0</v>
      </c>
      <c r="F950">
        <f>'Participant reporting'!F1177</f>
        <v>0</v>
      </c>
      <c r="G950">
        <f>'Participant reporting'!G1177</f>
        <v>0</v>
      </c>
      <c r="H950">
        <f>'Participant reporting'!H1177</f>
        <v>0</v>
      </c>
      <c r="I950">
        <f>'Participant reporting'!I1177</f>
        <v>0</v>
      </c>
      <c r="J950">
        <f>'Participant reporting'!J1177</f>
        <v>0</v>
      </c>
      <c r="K950">
        <f>'Participant reporting'!K1177</f>
        <v>0</v>
      </c>
      <c r="L950">
        <f>'Participant reporting'!L1177</f>
        <v>0</v>
      </c>
      <c r="M950">
        <f>'Participant reporting'!M1177</f>
        <v>0</v>
      </c>
      <c r="N950">
        <f>'Participant reporting'!N1177</f>
        <v>0</v>
      </c>
      <c r="O950">
        <f>'Participant reporting'!O1177</f>
        <v>0</v>
      </c>
    </row>
    <row r="951" spans="1:15" x14ac:dyDescent="0.25">
      <c r="A951">
        <f>'Participant reporting'!A1178</f>
        <v>0</v>
      </c>
      <c r="B951">
        <f>'Participant reporting'!B1178</f>
        <v>0</v>
      </c>
      <c r="C951">
        <f>'Participant reporting'!C1178</f>
        <v>0</v>
      </c>
      <c r="D951">
        <f>'Participant reporting'!D1178</f>
        <v>0</v>
      </c>
      <c r="E951" s="15">
        <f>'Participant reporting'!E1178</f>
        <v>0</v>
      </c>
      <c r="F951">
        <f>'Participant reporting'!F1178</f>
        <v>0</v>
      </c>
      <c r="G951">
        <f>'Participant reporting'!G1178</f>
        <v>0</v>
      </c>
      <c r="H951">
        <f>'Participant reporting'!H1178</f>
        <v>0</v>
      </c>
      <c r="I951">
        <f>'Participant reporting'!I1178</f>
        <v>0</v>
      </c>
      <c r="J951">
        <f>'Participant reporting'!J1178</f>
        <v>0</v>
      </c>
      <c r="K951">
        <f>'Participant reporting'!K1178</f>
        <v>0</v>
      </c>
      <c r="L951">
        <f>'Participant reporting'!L1178</f>
        <v>0</v>
      </c>
      <c r="M951">
        <f>'Participant reporting'!M1178</f>
        <v>0</v>
      </c>
      <c r="N951">
        <f>'Participant reporting'!N1178</f>
        <v>0</v>
      </c>
      <c r="O951">
        <f>'Participant reporting'!O1178</f>
        <v>0</v>
      </c>
    </row>
    <row r="952" spans="1:15" x14ac:dyDescent="0.25">
      <c r="A952">
        <f>'Participant reporting'!A1179</f>
        <v>0</v>
      </c>
      <c r="B952">
        <f>'Participant reporting'!B1179</f>
        <v>0</v>
      </c>
      <c r="C952">
        <f>'Participant reporting'!C1179</f>
        <v>0</v>
      </c>
      <c r="D952">
        <f>'Participant reporting'!D1179</f>
        <v>0</v>
      </c>
      <c r="E952" s="15">
        <f>'Participant reporting'!E1179</f>
        <v>0</v>
      </c>
      <c r="F952">
        <f>'Participant reporting'!F1179</f>
        <v>0</v>
      </c>
      <c r="G952">
        <f>'Participant reporting'!G1179</f>
        <v>0</v>
      </c>
      <c r="H952">
        <f>'Participant reporting'!H1179</f>
        <v>0</v>
      </c>
      <c r="I952">
        <f>'Participant reporting'!I1179</f>
        <v>0</v>
      </c>
      <c r="J952">
        <f>'Participant reporting'!J1179</f>
        <v>0</v>
      </c>
      <c r="K952">
        <f>'Participant reporting'!K1179</f>
        <v>0</v>
      </c>
      <c r="L952">
        <f>'Participant reporting'!L1179</f>
        <v>0</v>
      </c>
      <c r="M952">
        <f>'Participant reporting'!M1179</f>
        <v>0</v>
      </c>
      <c r="N952">
        <f>'Participant reporting'!N1179</f>
        <v>0</v>
      </c>
      <c r="O952">
        <f>'Participant reporting'!O1179</f>
        <v>0</v>
      </c>
    </row>
    <row r="953" spans="1:15" x14ac:dyDescent="0.25">
      <c r="A953">
        <f>'Participant reporting'!A1180</f>
        <v>0</v>
      </c>
      <c r="B953">
        <f>'Participant reporting'!B1180</f>
        <v>0</v>
      </c>
      <c r="C953">
        <f>'Participant reporting'!C1180</f>
        <v>0</v>
      </c>
      <c r="D953">
        <f>'Participant reporting'!D1180</f>
        <v>0</v>
      </c>
      <c r="E953" s="15">
        <f>'Participant reporting'!E1180</f>
        <v>0</v>
      </c>
      <c r="F953">
        <f>'Participant reporting'!F1180</f>
        <v>0</v>
      </c>
      <c r="G953">
        <f>'Participant reporting'!G1180</f>
        <v>0</v>
      </c>
      <c r="H953">
        <f>'Participant reporting'!H1180</f>
        <v>0</v>
      </c>
      <c r="I953">
        <f>'Participant reporting'!I1180</f>
        <v>0</v>
      </c>
      <c r="J953">
        <f>'Participant reporting'!J1180</f>
        <v>0</v>
      </c>
      <c r="K953">
        <f>'Participant reporting'!K1180</f>
        <v>0</v>
      </c>
      <c r="L953">
        <f>'Participant reporting'!L1180</f>
        <v>0</v>
      </c>
      <c r="M953">
        <f>'Participant reporting'!M1180</f>
        <v>0</v>
      </c>
      <c r="N953">
        <f>'Participant reporting'!N1180</f>
        <v>0</v>
      </c>
      <c r="O953">
        <f>'Participant reporting'!O1180</f>
        <v>0</v>
      </c>
    </row>
    <row r="954" spans="1:15" x14ac:dyDescent="0.25">
      <c r="A954">
        <f>'Participant reporting'!A1181</f>
        <v>0</v>
      </c>
      <c r="B954">
        <f>'Participant reporting'!B1181</f>
        <v>0</v>
      </c>
      <c r="C954">
        <f>'Participant reporting'!C1181</f>
        <v>0</v>
      </c>
      <c r="D954">
        <f>'Participant reporting'!D1181</f>
        <v>0</v>
      </c>
      <c r="E954" s="15">
        <f>'Participant reporting'!E1181</f>
        <v>0</v>
      </c>
      <c r="F954">
        <f>'Participant reporting'!F1181</f>
        <v>0</v>
      </c>
      <c r="G954">
        <f>'Participant reporting'!G1181</f>
        <v>0</v>
      </c>
      <c r="H954">
        <f>'Participant reporting'!H1181</f>
        <v>0</v>
      </c>
      <c r="I954">
        <f>'Participant reporting'!I1181</f>
        <v>0</v>
      </c>
      <c r="J954">
        <f>'Participant reporting'!J1181</f>
        <v>0</v>
      </c>
      <c r="K954">
        <f>'Participant reporting'!K1181</f>
        <v>0</v>
      </c>
      <c r="L954">
        <f>'Participant reporting'!L1181</f>
        <v>0</v>
      </c>
      <c r="M954">
        <f>'Participant reporting'!M1181</f>
        <v>0</v>
      </c>
      <c r="N954">
        <f>'Participant reporting'!N1181</f>
        <v>0</v>
      </c>
      <c r="O954">
        <f>'Participant reporting'!O1181</f>
        <v>0</v>
      </c>
    </row>
    <row r="955" spans="1:15" x14ac:dyDescent="0.25">
      <c r="A955">
        <f>'Participant reporting'!A1182</f>
        <v>0</v>
      </c>
      <c r="B955">
        <f>'Participant reporting'!B1182</f>
        <v>0</v>
      </c>
      <c r="C955">
        <f>'Participant reporting'!C1182</f>
        <v>0</v>
      </c>
      <c r="D955">
        <f>'Participant reporting'!D1182</f>
        <v>0</v>
      </c>
      <c r="E955" s="15">
        <f>'Participant reporting'!E1182</f>
        <v>0</v>
      </c>
      <c r="F955">
        <f>'Participant reporting'!F1182</f>
        <v>0</v>
      </c>
      <c r="G955">
        <f>'Participant reporting'!G1182</f>
        <v>0</v>
      </c>
      <c r="H955">
        <f>'Participant reporting'!H1182</f>
        <v>0</v>
      </c>
      <c r="I955">
        <f>'Participant reporting'!I1182</f>
        <v>0</v>
      </c>
      <c r="J955">
        <f>'Participant reporting'!J1182</f>
        <v>0</v>
      </c>
      <c r="K955">
        <f>'Participant reporting'!K1182</f>
        <v>0</v>
      </c>
      <c r="L955">
        <f>'Participant reporting'!L1182</f>
        <v>0</v>
      </c>
      <c r="M955">
        <f>'Participant reporting'!M1182</f>
        <v>0</v>
      </c>
      <c r="N955">
        <f>'Participant reporting'!N1182</f>
        <v>0</v>
      </c>
      <c r="O955">
        <f>'Participant reporting'!O1182</f>
        <v>0</v>
      </c>
    </row>
    <row r="956" spans="1:15" x14ac:dyDescent="0.25">
      <c r="A956">
        <f>'Participant reporting'!A1183</f>
        <v>0</v>
      </c>
      <c r="B956">
        <f>'Participant reporting'!B1183</f>
        <v>0</v>
      </c>
      <c r="C956">
        <f>'Participant reporting'!C1183</f>
        <v>0</v>
      </c>
      <c r="D956">
        <f>'Participant reporting'!D1183</f>
        <v>0</v>
      </c>
      <c r="E956" s="15">
        <f>'Participant reporting'!E1183</f>
        <v>0</v>
      </c>
      <c r="F956">
        <f>'Participant reporting'!F1183</f>
        <v>0</v>
      </c>
      <c r="G956">
        <f>'Participant reporting'!G1183</f>
        <v>0</v>
      </c>
      <c r="H956">
        <f>'Participant reporting'!H1183</f>
        <v>0</v>
      </c>
      <c r="I956">
        <f>'Participant reporting'!I1183</f>
        <v>0</v>
      </c>
      <c r="J956">
        <f>'Participant reporting'!J1183</f>
        <v>0</v>
      </c>
      <c r="K956">
        <f>'Participant reporting'!K1183</f>
        <v>0</v>
      </c>
      <c r="L956">
        <f>'Participant reporting'!L1183</f>
        <v>0</v>
      </c>
      <c r="M956">
        <f>'Participant reporting'!M1183</f>
        <v>0</v>
      </c>
      <c r="N956">
        <f>'Participant reporting'!N1183</f>
        <v>0</v>
      </c>
      <c r="O956">
        <f>'Participant reporting'!O1183</f>
        <v>0</v>
      </c>
    </row>
    <row r="957" spans="1:15" x14ac:dyDescent="0.25">
      <c r="A957">
        <f>'Participant reporting'!A1184</f>
        <v>0</v>
      </c>
      <c r="B957">
        <f>'Participant reporting'!B1184</f>
        <v>0</v>
      </c>
      <c r="C957">
        <f>'Participant reporting'!C1184</f>
        <v>0</v>
      </c>
      <c r="D957">
        <f>'Participant reporting'!D1184</f>
        <v>0</v>
      </c>
      <c r="E957" s="15">
        <f>'Participant reporting'!E1184</f>
        <v>0</v>
      </c>
      <c r="F957">
        <f>'Participant reporting'!F1184</f>
        <v>0</v>
      </c>
      <c r="G957">
        <f>'Participant reporting'!G1184</f>
        <v>0</v>
      </c>
      <c r="H957">
        <f>'Participant reporting'!H1184</f>
        <v>0</v>
      </c>
      <c r="I957">
        <f>'Participant reporting'!I1184</f>
        <v>0</v>
      </c>
      <c r="J957">
        <f>'Participant reporting'!J1184</f>
        <v>0</v>
      </c>
      <c r="K957">
        <f>'Participant reporting'!K1184</f>
        <v>0</v>
      </c>
      <c r="L957">
        <f>'Participant reporting'!L1184</f>
        <v>0</v>
      </c>
      <c r="M957">
        <f>'Participant reporting'!M1184</f>
        <v>0</v>
      </c>
      <c r="N957">
        <f>'Participant reporting'!N1184</f>
        <v>0</v>
      </c>
      <c r="O957">
        <f>'Participant reporting'!O1184</f>
        <v>0</v>
      </c>
    </row>
    <row r="958" spans="1:15" x14ac:dyDescent="0.25">
      <c r="A958">
        <f>'Participant reporting'!A1185</f>
        <v>0</v>
      </c>
      <c r="B958">
        <f>'Participant reporting'!B1185</f>
        <v>0</v>
      </c>
      <c r="C958">
        <f>'Participant reporting'!C1185</f>
        <v>0</v>
      </c>
      <c r="D958">
        <f>'Participant reporting'!D1185</f>
        <v>0</v>
      </c>
      <c r="E958" s="15">
        <f>'Participant reporting'!E1185</f>
        <v>0</v>
      </c>
      <c r="F958">
        <f>'Participant reporting'!F1185</f>
        <v>0</v>
      </c>
      <c r="G958">
        <f>'Participant reporting'!G1185</f>
        <v>0</v>
      </c>
      <c r="H958">
        <f>'Participant reporting'!H1185</f>
        <v>0</v>
      </c>
      <c r="I958">
        <f>'Participant reporting'!I1185</f>
        <v>0</v>
      </c>
      <c r="J958">
        <f>'Participant reporting'!J1185</f>
        <v>0</v>
      </c>
      <c r="K958">
        <f>'Participant reporting'!K1185</f>
        <v>0</v>
      </c>
      <c r="L958">
        <f>'Participant reporting'!L1185</f>
        <v>0</v>
      </c>
      <c r="M958">
        <f>'Participant reporting'!M1185</f>
        <v>0</v>
      </c>
      <c r="N958">
        <f>'Participant reporting'!N1185</f>
        <v>0</v>
      </c>
      <c r="O958">
        <f>'Participant reporting'!O1185</f>
        <v>0</v>
      </c>
    </row>
    <row r="959" spans="1:15" x14ac:dyDescent="0.25">
      <c r="A959">
        <f>'Participant reporting'!A1186</f>
        <v>0</v>
      </c>
      <c r="B959">
        <f>'Participant reporting'!B1186</f>
        <v>0</v>
      </c>
      <c r="C959">
        <f>'Participant reporting'!C1186</f>
        <v>0</v>
      </c>
      <c r="D959">
        <f>'Participant reporting'!D1186</f>
        <v>0</v>
      </c>
      <c r="E959" s="15">
        <f>'Participant reporting'!E1186</f>
        <v>0</v>
      </c>
      <c r="F959">
        <f>'Participant reporting'!F1186</f>
        <v>0</v>
      </c>
      <c r="G959">
        <f>'Participant reporting'!G1186</f>
        <v>0</v>
      </c>
      <c r="H959">
        <f>'Participant reporting'!H1186</f>
        <v>0</v>
      </c>
      <c r="I959">
        <f>'Participant reporting'!I1186</f>
        <v>0</v>
      </c>
      <c r="J959">
        <f>'Participant reporting'!J1186</f>
        <v>0</v>
      </c>
      <c r="K959">
        <f>'Participant reporting'!K1186</f>
        <v>0</v>
      </c>
      <c r="L959">
        <f>'Participant reporting'!L1186</f>
        <v>0</v>
      </c>
      <c r="M959">
        <f>'Participant reporting'!M1186</f>
        <v>0</v>
      </c>
      <c r="N959">
        <f>'Participant reporting'!N1186</f>
        <v>0</v>
      </c>
      <c r="O959">
        <f>'Participant reporting'!O1186</f>
        <v>0</v>
      </c>
    </row>
    <row r="960" spans="1:15" x14ac:dyDescent="0.25">
      <c r="A960">
        <f>'Participant reporting'!A1187</f>
        <v>0</v>
      </c>
      <c r="B960">
        <f>'Participant reporting'!B1187</f>
        <v>0</v>
      </c>
      <c r="C960">
        <f>'Participant reporting'!C1187</f>
        <v>0</v>
      </c>
      <c r="D960">
        <f>'Participant reporting'!D1187</f>
        <v>0</v>
      </c>
      <c r="E960" s="15">
        <f>'Participant reporting'!E1187</f>
        <v>0</v>
      </c>
      <c r="F960">
        <f>'Participant reporting'!F1187</f>
        <v>0</v>
      </c>
      <c r="G960">
        <f>'Participant reporting'!G1187</f>
        <v>0</v>
      </c>
      <c r="H960">
        <f>'Participant reporting'!H1187</f>
        <v>0</v>
      </c>
      <c r="I960">
        <f>'Participant reporting'!I1187</f>
        <v>0</v>
      </c>
      <c r="J960">
        <f>'Participant reporting'!J1187</f>
        <v>0</v>
      </c>
      <c r="K960">
        <f>'Participant reporting'!K1187</f>
        <v>0</v>
      </c>
      <c r="L960">
        <f>'Participant reporting'!L1187</f>
        <v>0</v>
      </c>
      <c r="M960">
        <f>'Participant reporting'!M1187</f>
        <v>0</v>
      </c>
      <c r="N960">
        <f>'Participant reporting'!N1187</f>
        <v>0</v>
      </c>
      <c r="O960">
        <f>'Participant reporting'!O1187</f>
        <v>0</v>
      </c>
    </row>
    <row r="961" spans="1:15" x14ac:dyDescent="0.25">
      <c r="A961">
        <f>'Participant reporting'!A1188</f>
        <v>0</v>
      </c>
      <c r="B961">
        <f>'Participant reporting'!B1188</f>
        <v>0</v>
      </c>
      <c r="C961">
        <f>'Participant reporting'!C1188</f>
        <v>0</v>
      </c>
      <c r="D961">
        <f>'Participant reporting'!D1188</f>
        <v>0</v>
      </c>
      <c r="E961" s="15">
        <f>'Participant reporting'!E1188</f>
        <v>0</v>
      </c>
      <c r="F961">
        <f>'Participant reporting'!F1188</f>
        <v>0</v>
      </c>
      <c r="G961">
        <f>'Participant reporting'!G1188</f>
        <v>0</v>
      </c>
      <c r="H961">
        <f>'Participant reporting'!H1188</f>
        <v>0</v>
      </c>
      <c r="I961">
        <f>'Participant reporting'!I1188</f>
        <v>0</v>
      </c>
      <c r="J961">
        <f>'Participant reporting'!J1188</f>
        <v>0</v>
      </c>
      <c r="K961">
        <f>'Participant reporting'!K1188</f>
        <v>0</v>
      </c>
      <c r="L961">
        <f>'Participant reporting'!L1188</f>
        <v>0</v>
      </c>
      <c r="M961">
        <f>'Participant reporting'!M1188</f>
        <v>0</v>
      </c>
      <c r="N961">
        <f>'Participant reporting'!N1188</f>
        <v>0</v>
      </c>
      <c r="O961">
        <f>'Participant reporting'!O1188</f>
        <v>0</v>
      </c>
    </row>
    <row r="962" spans="1:15" x14ac:dyDescent="0.25">
      <c r="A962">
        <f>'Participant reporting'!A1189</f>
        <v>0</v>
      </c>
      <c r="B962">
        <f>'Participant reporting'!B1189</f>
        <v>0</v>
      </c>
      <c r="C962">
        <f>'Participant reporting'!C1189</f>
        <v>0</v>
      </c>
      <c r="D962">
        <f>'Participant reporting'!D1189</f>
        <v>0</v>
      </c>
      <c r="E962" s="15">
        <f>'Participant reporting'!E1189</f>
        <v>0</v>
      </c>
      <c r="F962">
        <f>'Participant reporting'!F1189</f>
        <v>0</v>
      </c>
      <c r="G962">
        <f>'Participant reporting'!G1189</f>
        <v>0</v>
      </c>
      <c r="H962">
        <f>'Participant reporting'!H1189</f>
        <v>0</v>
      </c>
      <c r="I962">
        <f>'Participant reporting'!I1189</f>
        <v>0</v>
      </c>
      <c r="J962">
        <f>'Participant reporting'!J1189</f>
        <v>0</v>
      </c>
      <c r="K962">
        <f>'Participant reporting'!K1189</f>
        <v>0</v>
      </c>
      <c r="L962">
        <f>'Participant reporting'!L1189</f>
        <v>0</v>
      </c>
      <c r="M962">
        <f>'Participant reporting'!M1189</f>
        <v>0</v>
      </c>
      <c r="N962">
        <f>'Participant reporting'!N1189</f>
        <v>0</v>
      </c>
      <c r="O962">
        <f>'Participant reporting'!O1189</f>
        <v>0</v>
      </c>
    </row>
    <row r="963" spans="1:15" x14ac:dyDescent="0.25">
      <c r="A963">
        <f>'Participant reporting'!A1190</f>
        <v>0</v>
      </c>
      <c r="B963">
        <f>'Participant reporting'!B1190</f>
        <v>0</v>
      </c>
      <c r="C963">
        <f>'Participant reporting'!C1190</f>
        <v>0</v>
      </c>
      <c r="D963">
        <f>'Participant reporting'!D1190</f>
        <v>0</v>
      </c>
      <c r="E963" s="15">
        <f>'Participant reporting'!E1190</f>
        <v>0</v>
      </c>
      <c r="F963">
        <f>'Participant reporting'!F1190</f>
        <v>0</v>
      </c>
      <c r="G963">
        <f>'Participant reporting'!G1190</f>
        <v>0</v>
      </c>
      <c r="H963">
        <f>'Participant reporting'!H1190</f>
        <v>0</v>
      </c>
      <c r="I963">
        <f>'Participant reporting'!I1190</f>
        <v>0</v>
      </c>
      <c r="J963">
        <f>'Participant reporting'!J1190</f>
        <v>0</v>
      </c>
      <c r="K963">
        <f>'Participant reporting'!K1190</f>
        <v>0</v>
      </c>
      <c r="L963">
        <f>'Participant reporting'!L1190</f>
        <v>0</v>
      </c>
      <c r="M963">
        <f>'Participant reporting'!M1190</f>
        <v>0</v>
      </c>
      <c r="N963">
        <f>'Participant reporting'!N1190</f>
        <v>0</v>
      </c>
      <c r="O963">
        <f>'Participant reporting'!O1190</f>
        <v>0</v>
      </c>
    </row>
    <row r="964" spans="1:15" x14ac:dyDescent="0.25">
      <c r="A964">
        <f>'Participant reporting'!A1191</f>
        <v>0</v>
      </c>
      <c r="B964">
        <f>'Participant reporting'!B1191</f>
        <v>0</v>
      </c>
      <c r="C964">
        <f>'Participant reporting'!C1191</f>
        <v>0</v>
      </c>
      <c r="D964">
        <f>'Participant reporting'!D1191</f>
        <v>0</v>
      </c>
      <c r="E964" s="15">
        <f>'Participant reporting'!E1191</f>
        <v>0</v>
      </c>
      <c r="F964">
        <f>'Participant reporting'!F1191</f>
        <v>0</v>
      </c>
      <c r="G964">
        <f>'Participant reporting'!G1191</f>
        <v>0</v>
      </c>
      <c r="H964">
        <f>'Participant reporting'!H1191</f>
        <v>0</v>
      </c>
      <c r="I964">
        <f>'Participant reporting'!I1191</f>
        <v>0</v>
      </c>
      <c r="J964">
        <f>'Participant reporting'!J1191</f>
        <v>0</v>
      </c>
      <c r="K964">
        <f>'Participant reporting'!K1191</f>
        <v>0</v>
      </c>
      <c r="L964">
        <f>'Participant reporting'!L1191</f>
        <v>0</v>
      </c>
      <c r="M964">
        <f>'Participant reporting'!M1191</f>
        <v>0</v>
      </c>
      <c r="N964">
        <f>'Participant reporting'!N1191</f>
        <v>0</v>
      </c>
      <c r="O964">
        <f>'Participant reporting'!O1191</f>
        <v>0</v>
      </c>
    </row>
    <row r="965" spans="1:15" x14ac:dyDescent="0.25">
      <c r="A965">
        <f>'Participant reporting'!A1192</f>
        <v>0</v>
      </c>
      <c r="B965">
        <f>'Participant reporting'!B1192</f>
        <v>0</v>
      </c>
      <c r="C965">
        <f>'Participant reporting'!C1192</f>
        <v>0</v>
      </c>
      <c r="D965">
        <f>'Participant reporting'!D1192</f>
        <v>0</v>
      </c>
      <c r="E965" s="15">
        <f>'Participant reporting'!E1192</f>
        <v>0</v>
      </c>
      <c r="F965">
        <f>'Participant reporting'!F1192</f>
        <v>0</v>
      </c>
      <c r="G965">
        <f>'Participant reporting'!G1192</f>
        <v>0</v>
      </c>
      <c r="H965">
        <f>'Participant reporting'!H1192</f>
        <v>0</v>
      </c>
      <c r="I965">
        <f>'Participant reporting'!I1192</f>
        <v>0</v>
      </c>
      <c r="J965">
        <f>'Participant reporting'!J1192</f>
        <v>0</v>
      </c>
      <c r="K965">
        <f>'Participant reporting'!K1192</f>
        <v>0</v>
      </c>
      <c r="L965">
        <f>'Participant reporting'!L1192</f>
        <v>0</v>
      </c>
      <c r="M965">
        <f>'Participant reporting'!M1192</f>
        <v>0</v>
      </c>
      <c r="N965">
        <f>'Participant reporting'!N1192</f>
        <v>0</v>
      </c>
      <c r="O965">
        <f>'Participant reporting'!O1192</f>
        <v>0</v>
      </c>
    </row>
    <row r="966" spans="1:15" x14ac:dyDescent="0.25">
      <c r="A966">
        <f>'Participant reporting'!A1193</f>
        <v>0</v>
      </c>
      <c r="B966">
        <f>'Participant reporting'!B1193</f>
        <v>0</v>
      </c>
      <c r="C966">
        <f>'Participant reporting'!C1193</f>
        <v>0</v>
      </c>
      <c r="D966">
        <f>'Participant reporting'!D1193</f>
        <v>0</v>
      </c>
      <c r="E966" s="15">
        <f>'Participant reporting'!E1193</f>
        <v>0</v>
      </c>
      <c r="F966">
        <f>'Participant reporting'!F1193</f>
        <v>0</v>
      </c>
      <c r="G966">
        <f>'Participant reporting'!G1193</f>
        <v>0</v>
      </c>
      <c r="H966">
        <f>'Participant reporting'!H1193</f>
        <v>0</v>
      </c>
      <c r="I966">
        <f>'Participant reporting'!I1193</f>
        <v>0</v>
      </c>
      <c r="J966">
        <f>'Participant reporting'!J1193</f>
        <v>0</v>
      </c>
      <c r="K966">
        <f>'Participant reporting'!K1193</f>
        <v>0</v>
      </c>
      <c r="L966">
        <f>'Participant reporting'!L1193</f>
        <v>0</v>
      </c>
      <c r="M966">
        <f>'Participant reporting'!M1193</f>
        <v>0</v>
      </c>
      <c r="N966">
        <f>'Participant reporting'!N1193</f>
        <v>0</v>
      </c>
      <c r="O966">
        <f>'Participant reporting'!O1193</f>
        <v>0</v>
      </c>
    </row>
    <row r="967" spans="1:15" x14ac:dyDescent="0.25">
      <c r="A967">
        <f>'Participant reporting'!A1194</f>
        <v>0</v>
      </c>
      <c r="B967">
        <f>'Participant reporting'!B1194</f>
        <v>0</v>
      </c>
      <c r="C967">
        <f>'Participant reporting'!C1194</f>
        <v>0</v>
      </c>
      <c r="D967">
        <f>'Participant reporting'!D1194</f>
        <v>0</v>
      </c>
      <c r="E967" s="15">
        <f>'Participant reporting'!E1194</f>
        <v>0</v>
      </c>
      <c r="F967">
        <f>'Participant reporting'!F1194</f>
        <v>0</v>
      </c>
      <c r="G967">
        <f>'Participant reporting'!G1194</f>
        <v>0</v>
      </c>
      <c r="H967">
        <f>'Participant reporting'!H1194</f>
        <v>0</v>
      </c>
      <c r="I967">
        <f>'Participant reporting'!I1194</f>
        <v>0</v>
      </c>
      <c r="J967">
        <f>'Participant reporting'!J1194</f>
        <v>0</v>
      </c>
      <c r="K967">
        <f>'Participant reporting'!K1194</f>
        <v>0</v>
      </c>
      <c r="L967">
        <f>'Participant reporting'!L1194</f>
        <v>0</v>
      </c>
      <c r="M967">
        <f>'Participant reporting'!M1194</f>
        <v>0</v>
      </c>
      <c r="N967">
        <f>'Participant reporting'!N1194</f>
        <v>0</v>
      </c>
      <c r="O967">
        <f>'Participant reporting'!O1194</f>
        <v>0</v>
      </c>
    </row>
    <row r="968" spans="1:15" x14ac:dyDescent="0.25">
      <c r="A968">
        <f>'Participant reporting'!A1195</f>
        <v>0</v>
      </c>
      <c r="B968">
        <f>'Participant reporting'!B1195</f>
        <v>0</v>
      </c>
      <c r="C968">
        <f>'Participant reporting'!C1195</f>
        <v>0</v>
      </c>
      <c r="D968">
        <f>'Participant reporting'!D1195</f>
        <v>0</v>
      </c>
      <c r="E968" s="15">
        <f>'Participant reporting'!E1195</f>
        <v>0</v>
      </c>
      <c r="F968">
        <f>'Participant reporting'!F1195</f>
        <v>0</v>
      </c>
      <c r="G968">
        <f>'Participant reporting'!G1195</f>
        <v>0</v>
      </c>
      <c r="H968">
        <f>'Participant reporting'!H1195</f>
        <v>0</v>
      </c>
      <c r="I968">
        <f>'Participant reporting'!I1195</f>
        <v>0</v>
      </c>
      <c r="J968">
        <f>'Participant reporting'!J1195</f>
        <v>0</v>
      </c>
      <c r="K968">
        <f>'Participant reporting'!K1195</f>
        <v>0</v>
      </c>
      <c r="L968">
        <f>'Participant reporting'!L1195</f>
        <v>0</v>
      </c>
      <c r="M968">
        <f>'Participant reporting'!M1195</f>
        <v>0</v>
      </c>
      <c r="N968">
        <f>'Participant reporting'!N1195</f>
        <v>0</v>
      </c>
      <c r="O968">
        <f>'Participant reporting'!O1195</f>
        <v>0</v>
      </c>
    </row>
    <row r="969" spans="1:15" x14ac:dyDescent="0.25">
      <c r="A969">
        <f>'Participant reporting'!A1196</f>
        <v>0</v>
      </c>
      <c r="B969">
        <f>'Participant reporting'!B1196</f>
        <v>0</v>
      </c>
      <c r="C969">
        <f>'Participant reporting'!C1196</f>
        <v>0</v>
      </c>
      <c r="D969">
        <f>'Participant reporting'!D1196</f>
        <v>0</v>
      </c>
      <c r="E969" s="15">
        <f>'Participant reporting'!E1196</f>
        <v>0</v>
      </c>
      <c r="F969">
        <f>'Participant reporting'!F1196</f>
        <v>0</v>
      </c>
      <c r="G969">
        <f>'Participant reporting'!G1196</f>
        <v>0</v>
      </c>
      <c r="H969">
        <f>'Participant reporting'!H1196</f>
        <v>0</v>
      </c>
      <c r="I969">
        <f>'Participant reporting'!I1196</f>
        <v>0</v>
      </c>
      <c r="J969">
        <f>'Participant reporting'!J1196</f>
        <v>0</v>
      </c>
      <c r="K969">
        <f>'Participant reporting'!K1196</f>
        <v>0</v>
      </c>
      <c r="L969">
        <f>'Participant reporting'!L1196</f>
        <v>0</v>
      </c>
      <c r="M969">
        <f>'Participant reporting'!M1196</f>
        <v>0</v>
      </c>
      <c r="N969">
        <f>'Participant reporting'!N1196</f>
        <v>0</v>
      </c>
      <c r="O969">
        <f>'Participant reporting'!O1196</f>
        <v>0</v>
      </c>
    </row>
    <row r="970" spans="1:15" x14ac:dyDescent="0.25">
      <c r="A970">
        <f>'Participant reporting'!A1197</f>
        <v>0</v>
      </c>
      <c r="B970">
        <f>'Participant reporting'!B1197</f>
        <v>0</v>
      </c>
      <c r="C970">
        <f>'Participant reporting'!C1197</f>
        <v>0</v>
      </c>
      <c r="D970">
        <f>'Participant reporting'!D1197</f>
        <v>0</v>
      </c>
      <c r="E970" s="15">
        <f>'Participant reporting'!E1197</f>
        <v>0</v>
      </c>
      <c r="F970">
        <f>'Participant reporting'!F1197</f>
        <v>0</v>
      </c>
      <c r="G970">
        <f>'Participant reporting'!G1197</f>
        <v>0</v>
      </c>
      <c r="H970">
        <f>'Participant reporting'!H1197</f>
        <v>0</v>
      </c>
      <c r="I970">
        <f>'Participant reporting'!I1197</f>
        <v>0</v>
      </c>
      <c r="J970">
        <f>'Participant reporting'!J1197</f>
        <v>0</v>
      </c>
      <c r="K970">
        <f>'Participant reporting'!K1197</f>
        <v>0</v>
      </c>
      <c r="L970">
        <f>'Participant reporting'!L1197</f>
        <v>0</v>
      </c>
      <c r="M970">
        <f>'Participant reporting'!M1197</f>
        <v>0</v>
      </c>
      <c r="N970">
        <f>'Participant reporting'!N1197</f>
        <v>0</v>
      </c>
      <c r="O970">
        <f>'Participant reporting'!O1197</f>
        <v>0</v>
      </c>
    </row>
    <row r="971" spans="1:15" x14ac:dyDescent="0.25">
      <c r="A971">
        <f>'Participant reporting'!A1198</f>
        <v>0</v>
      </c>
      <c r="B971">
        <f>'Participant reporting'!B1198</f>
        <v>0</v>
      </c>
      <c r="C971">
        <f>'Participant reporting'!C1198</f>
        <v>0</v>
      </c>
      <c r="D971">
        <f>'Participant reporting'!D1198</f>
        <v>0</v>
      </c>
      <c r="E971" s="15">
        <f>'Participant reporting'!E1198</f>
        <v>0</v>
      </c>
      <c r="F971">
        <f>'Participant reporting'!F1198</f>
        <v>0</v>
      </c>
      <c r="G971">
        <f>'Participant reporting'!G1198</f>
        <v>0</v>
      </c>
      <c r="H971">
        <f>'Participant reporting'!H1198</f>
        <v>0</v>
      </c>
      <c r="I971">
        <f>'Participant reporting'!I1198</f>
        <v>0</v>
      </c>
      <c r="J971">
        <f>'Participant reporting'!J1198</f>
        <v>0</v>
      </c>
      <c r="K971">
        <f>'Participant reporting'!K1198</f>
        <v>0</v>
      </c>
      <c r="L971">
        <f>'Participant reporting'!L1198</f>
        <v>0</v>
      </c>
      <c r="M971">
        <f>'Participant reporting'!M1198</f>
        <v>0</v>
      </c>
      <c r="N971">
        <f>'Participant reporting'!N1198</f>
        <v>0</v>
      </c>
      <c r="O971">
        <f>'Participant reporting'!O1198</f>
        <v>0</v>
      </c>
    </row>
    <row r="972" spans="1:15" x14ac:dyDescent="0.25">
      <c r="A972">
        <f>'Participant reporting'!A1199</f>
        <v>0</v>
      </c>
      <c r="B972">
        <f>'Participant reporting'!B1199</f>
        <v>0</v>
      </c>
      <c r="C972">
        <f>'Participant reporting'!C1199</f>
        <v>0</v>
      </c>
      <c r="D972">
        <f>'Participant reporting'!D1199</f>
        <v>0</v>
      </c>
      <c r="E972" s="15">
        <f>'Participant reporting'!E1199</f>
        <v>0</v>
      </c>
      <c r="F972">
        <f>'Participant reporting'!F1199</f>
        <v>0</v>
      </c>
      <c r="G972">
        <f>'Participant reporting'!G1199</f>
        <v>0</v>
      </c>
      <c r="H972">
        <f>'Participant reporting'!H1199</f>
        <v>0</v>
      </c>
      <c r="I972">
        <f>'Participant reporting'!I1199</f>
        <v>0</v>
      </c>
      <c r="J972">
        <f>'Participant reporting'!J1199</f>
        <v>0</v>
      </c>
      <c r="K972">
        <f>'Participant reporting'!K1199</f>
        <v>0</v>
      </c>
      <c r="L972">
        <f>'Participant reporting'!L1199</f>
        <v>0</v>
      </c>
      <c r="M972">
        <f>'Participant reporting'!M1199</f>
        <v>0</v>
      </c>
      <c r="N972">
        <f>'Participant reporting'!N1199</f>
        <v>0</v>
      </c>
      <c r="O972">
        <f>'Participant reporting'!O1199</f>
        <v>0</v>
      </c>
    </row>
    <row r="973" spans="1:15" x14ac:dyDescent="0.25">
      <c r="A973">
        <f>'Participant reporting'!A1200</f>
        <v>0</v>
      </c>
      <c r="B973">
        <f>'Participant reporting'!B1200</f>
        <v>0</v>
      </c>
      <c r="C973">
        <f>'Participant reporting'!C1200</f>
        <v>0</v>
      </c>
      <c r="D973">
        <f>'Participant reporting'!D1200</f>
        <v>0</v>
      </c>
      <c r="E973" s="15">
        <f>'Participant reporting'!E1200</f>
        <v>0</v>
      </c>
      <c r="F973">
        <f>'Participant reporting'!F1200</f>
        <v>0</v>
      </c>
      <c r="G973">
        <f>'Participant reporting'!G1200</f>
        <v>0</v>
      </c>
      <c r="H973">
        <f>'Participant reporting'!H1200</f>
        <v>0</v>
      </c>
      <c r="I973">
        <f>'Participant reporting'!I1200</f>
        <v>0</v>
      </c>
      <c r="J973">
        <f>'Participant reporting'!J1200</f>
        <v>0</v>
      </c>
      <c r="K973">
        <f>'Participant reporting'!K1200</f>
        <v>0</v>
      </c>
      <c r="L973">
        <f>'Participant reporting'!L1200</f>
        <v>0</v>
      </c>
      <c r="M973">
        <f>'Participant reporting'!M1200</f>
        <v>0</v>
      </c>
      <c r="N973">
        <f>'Participant reporting'!N1200</f>
        <v>0</v>
      </c>
      <c r="O973">
        <f>'Participant reporting'!O1200</f>
        <v>0</v>
      </c>
    </row>
    <row r="974" spans="1:15" x14ac:dyDescent="0.25">
      <c r="A974">
        <f>'Participant reporting'!A1201</f>
        <v>0</v>
      </c>
      <c r="B974">
        <f>'Participant reporting'!B1201</f>
        <v>0</v>
      </c>
      <c r="C974">
        <f>'Participant reporting'!C1201</f>
        <v>0</v>
      </c>
      <c r="D974">
        <f>'Participant reporting'!D1201</f>
        <v>0</v>
      </c>
      <c r="E974" s="15">
        <f>'Participant reporting'!E1201</f>
        <v>0</v>
      </c>
      <c r="F974">
        <f>'Participant reporting'!F1201</f>
        <v>0</v>
      </c>
      <c r="G974">
        <f>'Participant reporting'!G1201</f>
        <v>0</v>
      </c>
      <c r="H974">
        <f>'Participant reporting'!H1201</f>
        <v>0</v>
      </c>
      <c r="I974">
        <f>'Participant reporting'!I1201</f>
        <v>0</v>
      </c>
      <c r="J974">
        <f>'Participant reporting'!J1201</f>
        <v>0</v>
      </c>
      <c r="K974">
        <f>'Participant reporting'!K1201</f>
        <v>0</v>
      </c>
      <c r="L974">
        <f>'Participant reporting'!L1201</f>
        <v>0</v>
      </c>
      <c r="M974">
        <f>'Participant reporting'!M1201</f>
        <v>0</v>
      </c>
      <c r="N974">
        <f>'Participant reporting'!N1201</f>
        <v>0</v>
      </c>
      <c r="O974">
        <f>'Participant reporting'!O1201</f>
        <v>0</v>
      </c>
    </row>
    <row r="975" spans="1:15" x14ac:dyDescent="0.25">
      <c r="A975">
        <f>'Participant reporting'!A1202</f>
        <v>0</v>
      </c>
      <c r="B975">
        <f>'Participant reporting'!B1202</f>
        <v>0</v>
      </c>
      <c r="C975">
        <f>'Participant reporting'!C1202</f>
        <v>0</v>
      </c>
      <c r="D975">
        <f>'Participant reporting'!D1202</f>
        <v>0</v>
      </c>
      <c r="E975" s="15">
        <f>'Participant reporting'!E1202</f>
        <v>0</v>
      </c>
      <c r="F975">
        <f>'Participant reporting'!F1202</f>
        <v>0</v>
      </c>
      <c r="G975">
        <f>'Participant reporting'!G1202</f>
        <v>0</v>
      </c>
      <c r="H975">
        <f>'Participant reporting'!H1202</f>
        <v>0</v>
      </c>
      <c r="I975">
        <f>'Participant reporting'!I1202</f>
        <v>0</v>
      </c>
      <c r="J975">
        <f>'Participant reporting'!J1202</f>
        <v>0</v>
      </c>
      <c r="K975">
        <f>'Participant reporting'!K1202</f>
        <v>0</v>
      </c>
      <c r="L975">
        <f>'Participant reporting'!L1202</f>
        <v>0</v>
      </c>
      <c r="M975">
        <f>'Participant reporting'!M1202</f>
        <v>0</v>
      </c>
      <c r="N975">
        <f>'Participant reporting'!N1202</f>
        <v>0</v>
      </c>
      <c r="O975">
        <f>'Participant reporting'!O1202</f>
        <v>0</v>
      </c>
    </row>
    <row r="976" spans="1:15" x14ac:dyDescent="0.25">
      <c r="A976">
        <f>'Participant reporting'!A1203</f>
        <v>0</v>
      </c>
      <c r="B976">
        <f>'Participant reporting'!B1203</f>
        <v>0</v>
      </c>
      <c r="C976">
        <f>'Participant reporting'!C1203</f>
        <v>0</v>
      </c>
      <c r="D976">
        <f>'Participant reporting'!D1203</f>
        <v>0</v>
      </c>
      <c r="E976" s="15">
        <f>'Participant reporting'!E1203</f>
        <v>0</v>
      </c>
      <c r="F976">
        <f>'Participant reporting'!F1203</f>
        <v>0</v>
      </c>
      <c r="G976">
        <f>'Participant reporting'!G1203</f>
        <v>0</v>
      </c>
      <c r="H976">
        <f>'Participant reporting'!H1203</f>
        <v>0</v>
      </c>
      <c r="I976">
        <f>'Participant reporting'!I1203</f>
        <v>0</v>
      </c>
      <c r="J976">
        <f>'Participant reporting'!J1203</f>
        <v>0</v>
      </c>
      <c r="K976">
        <f>'Participant reporting'!K1203</f>
        <v>0</v>
      </c>
      <c r="L976">
        <f>'Participant reporting'!L1203</f>
        <v>0</v>
      </c>
      <c r="M976">
        <f>'Participant reporting'!M1203</f>
        <v>0</v>
      </c>
      <c r="N976">
        <f>'Participant reporting'!N1203</f>
        <v>0</v>
      </c>
      <c r="O976">
        <f>'Participant reporting'!O1203</f>
        <v>0</v>
      </c>
    </row>
    <row r="977" spans="1:15" x14ac:dyDescent="0.25">
      <c r="A977">
        <f>'Participant reporting'!A1204</f>
        <v>0</v>
      </c>
      <c r="B977">
        <f>'Participant reporting'!B1204</f>
        <v>0</v>
      </c>
      <c r="C977">
        <f>'Participant reporting'!C1204</f>
        <v>0</v>
      </c>
      <c r="D977">
        <f>'Participant reporting'!D1204</f>
        <v>0</v>
      </c>
      <c r="E977" s="15">
        <f>'Participant reporting'!E1204</f>
        <v>0</v>
      </c>
      <c r="F977">
        <f>'Participant reporting'!F1204</f>
        <v>0</v>
      </c>
      <c r="G977">
        <f>'Participant reporting'!G1204</f>
        <v>0</v>
      </c>
      <c r="H977">
        <f>'Participant reporting'!H1204</f>
        <v>0</v>
      </c>
      <c r="I977">
        <f>'Participant reporting'!I1204</f>
        <v>0</v>
      </c>
      <c r="J977">
        <f>'Participant reporting'!J1204</f>
        <v>0</v>
      </c>
      <c r="K977">
        <f>'Participant reporting'!K1204</f>
        <v>0</v>
      </c>
      <c r="L977">
        <f>'Participant reporting'!L1204</f>
        <v>0</v>
      </c>
      <c r="M977">
        <f>'Participant reporting'!M1204</f>
        <v>0</v>
      </c>
      <c r="N977">
        <f>'Participant reporting'!N1204</f>
        <v>0</v>
      </c>
      <c r="O977">
        <f>'Participant reporting'!O1204</f>
        <v>0</v>
      </c>
    </row>
    <row r="978" spans="1:15" x14ac:dyDescent="0.25">
      <c r="A978">
        <f>'Participant reporting'!A1205</f>
        <v>0</v>
      </c>
      <c r="B978">
        <f>'Participant reporting'!B1205</f>
        <v>0</v>
      </c>
      <c r="C978">
        <f>'Participant reporting'!C1205</f>
        <v>0</v>
      </c>
      <c r="D978">
        <f>'Participant reporting'!D1205</f>
        <v>0</v>
      </c>
      <c r="E978" s="15">
        <f>'Participant reporting'!E1205</f>
        <v>0</v>
      </c>
      <c r="F978">
        <f>'Participant reporting'!F1205</f>
        <v>0</v>
      </c>
      <c r="G978">
        <f>'Participant reporting'!G1205</f>
        <v>0</v>
      </c>
      <c r="H978">
        <f>'Participant reporting'!H1205</f>
        <v>0</v>
      </c>
      <c r="I978">
        <f>'Participant reporting'!I1205</f>
        <v>0</v>
      </c>
      <c r="J978">
        <f>'Participant reporting'!J1205</f>
        <v>0</v>
      </c>
      <c r="K978">
        <f>'Participant reporting'!K1205</f>
        <v>0</v>
      </c>
      <c r="L978">
        <f>'Participant reporting'!L1205</f>
        <v>0</v>
      </c>
      <c r="M978">
        <f>'Participant reporting'!M1205</f>
        <v>0</v>
      </c>
      <c r="N978">
        <f>'Participant reporting'!N1205</f>
        <v>0</v>
      </c>
      <c r="O978">
        <f>'Participant reporting'!O1205</f>
        <v>0</v>
      </c>
    </row>
    <row r="979" spans="1:15" x14ac:dyDescent="0.25">
      <c r="A979">
        <f>'Participant reporting'!A1206</f>
        <v>0</v>
      </c>
      <c r="B979">
        <f>'Participant reporting'!B1206</f>
        <v>0</v>
      </c>
      <c r="C979">
        <f>'Participant reporting'!C1206</f>
        <v>0</v>
      </c>
      <c r="D979">
        <f>'Participant reporting'!D1206</f>
        <v>0</v>
      </c>
      <c r="E979" s="15">
        <f>'Participant reporting'!E1206</f>
        <v>0</v>
      </c>
      <c r="F979">
        <f>'Participant reporting'!F1206</f>
        <v>0</v>
      </c>
      <c r="G979">
        <f>'Participant reporting'!G1206</f>
        <v>0</v>
      </c>
      <c r="H979">
        <f>'Participant reporting'!H1206</f>
        <v>0</v>
      </c>
      <c r="I979">
        <f>'Participant reporting'!I1206</f>
        <v>0</v>
      </c>
      <c r="J979">
        <f>'Participant reporting'!J1206</f>
        <v>0</v>
      </c>
      <c r="K979">
        <f>'Participant reporting'!K1206</f>
        <v>0</v>
      </c>
      <c r="L979">
        <f>'Participant reporting'!L1206</f>
        <v>0</v>
      </c>
      <c r="M979">
        <f>'Participant reporting'!M1206</f>
        <v>0</v>
      </c>
      <c r="N979">
        <f>'Participant reporting'!N1206</f>
        <v>0</v>
      </c>
      <c r="O979">
        <f>'Participant reporting'!O1206</f>
        <v>0</v>
      </c>
    </row>
    <row r="980" spans="1:15" x14ac:dyDescent="0.25">
      <c r="A980">
        <f>'Participant reporting'!A1207</f>
        <v>0</v>
      </c>
      <c r="B980">
        <f>'Participant reporting'!B1207</f>
        <v>0</v>
      </c>
      <c r="C980">
        <f>'Participant reporting'!C1207</f>
        <v>0</v>
      </c>
      <c r="D980">
        <f>'Participant reporting'!D1207</f>
        <v>0</v>
      </c>
      <c r="E980" s="15">
        <f>'Participant reporting'!E1207</f>
        <v>0</v>
      </c>
      <c r="F980">
        <f>'Participant reporting'!F1207</f>
        <v>0</v>
      </c>
      <c r="G980">
        <f>'Participant reporting'!G1207</f>
        <v>0</v>
      </c>
      <c r="H980">
        <f>'Participant reporting'!H1207</f>
        <v>0</v>
      </c>
      <c r="I980">
        <f>'Participant reporting'!I1207</f>
        <v>0</v>
      </c>
      <c r="J980">
        <f>'Participant reporting'!J1207</f>
        <v>0</v>
      </c>
      <c r="K980">
        <f>'Participant reporting'!K1207</f>
        <v>0</v>
      </c>
      <c r="L980">
        <f>'Participant reporting'!L1207</f>
        <v>0</v>
      </c>
      <c r="M980">
        <f>'Participant reporting'!M1207</f>
        <v>0</v>
      </c>
      <c r="N980">
        <f>'Participant reporting'!N1207</f>
        <v>0</v>
      </c>
      <c r="O980">
        <f>'Participant reporting'!O1207</f>
        <v>0</v>
      </c>
    </row>
    <row r="981" spans="1:15" x14ac:dyDescent="0.25">
      <c r="A981">
        <f>'Participant reporting'!A1208</f>
        <v>0</v>
      </c>
      <c r="B981">
        <f>'Participant reporting'!B1208</f>
        <v>0</v>
      </c>
      <c r="C981">
        <f>'Participant reporting'!C1208</f>
        <v>0</v>
      </c>
      <c r="D981">
        <f>'Participant reporting'!D1208</f>
        <v>0</v>
      </c>
      <c r="E981" s="15">
        <f>'Participant reporting'!E1208</f>
        <v>0</v>
      </c>
      <c r="F981">
        <f>'Participant reporting'!F1208</f>
        <v>0</v>
      </c>
      <c r="G981">
        <f>'Participant reporting'!G1208</f>
        <v>0</v>
      </c>
      <c r="H981">
        <f>'Participant reporting'!H1208</f>
        <v>0</v>
      </c>
      <c r="I981">
        <f>'Participant reporting'!I1208</f>
        <v>0</v>
      </c>
      <c r="J981">
        <f>'Participant reporting'!J1208</f>
        <v>0</v>
      </c>
      <c r="K981">
        <f>'Participant reporting'!K1208</f>
        <v>0</v>
      </c>
      <c r="L981">
        <f>'Participant reporting'!L1208</f>
        <v>0</v>
      </c>
      <c r="M981">
        <f>'Participant reporting'!M1208</f>
        <v>0</v>
      </c>
      <c r="N981">
        <f>'Participant reporting'!N1208</f>
        <v>0</v>
      </c>
      <c r="O981">
        <f>'Participant reporting'!O1208</f>
        <v>0</v>
      </c>
    </row>
    <row r="982" spans="1:15" x14ac:dyDescent="0.25">
      <c r="A982">
        <f>'Participant reporting'!A1209</f>
        <v>0</v>
      </c>
      <c r="B982">
        <f>'Participant reporting'!B1209</f>
        <v>0</v>
      </c>
      <c r="C982">
        <f>'Participant reporting'!C1209</f>
        <v>0</v>
      </c>
      <c r="D982">
        <f>'Participant reporting'!D1209</f>
        <v>0</v>
      </c>
      <c r="E982" s="15">
        <f>'Participant reporting'!E1209</f>
        <v>0</v>
      </c>
      <c r="F982">
        <f>'Participant reporting'!F1209</f>
        <v>0</v>
      </c>
      <c r="G982">
        <f>'Participant reporting'!G1209</f>
        <v>0</v>
      </c>
      <c r="H982">
        <f>'Participant reporting'!H1209</f>
        <v>0</v>
      </c>
      <c r="I982">
        <f>'Participant reporting'!I1209</f>
        <v>0</v>
      </c>
      <c r="J982">
        <f>'Participant reporting'!J1209</f>
        <v>0</v>
      </c>
      <c r="K982">
        <f>'Participant reporting'!K1209</f>
        <v>0</v>
      </c>
      <c r="L982">
        <f>'Participant reporting'!L1209</f>
        <v>0</v>
      </c>
      <c r="M982">
        <f>'Participant reporting'!M1209</f>
        <v>0</v>
      </c>
      <c r="N982">
        <f>'Participant reporting'!N1209</f>
        <v>0</v>
      </c>
      <c r="O982">
        <f>'Participant reporting'!O1209</f>
        <v>0</v>
      </c>
    </row>
    <row r="983" spans="1:15" x14ac:dyDescent="0.25">
      <c r="A983">
        <f>'Participant reporting'!A1210</f>
        <v>0</v>
      </c>
      <c r="B983">
        <f>'Participant reporting'!B1210</f>
        <v>0</v>
      </c>
      <c r="C983">
        <f>'Participant reporting'!C1210</f>
        <v>0</v>
      </c>
      <c r="D983">
        <f>'Participant reporting'!D1210</f>
        <v>0</v>
      </c>
      <c r="E983" s="15">
        <f>'Participant reporting'!E1210</f>
        <v>0</v>
      </c>
      <c r="F983">
        <f>'Participant reporting'!F1210</f>
        <v>0</v>
      </c>
      <c r="G983">
        <f>'Participant reporting'!G1210</f>
        <v>0</v>
      </c>
      <c r="H983">
        <f>'Participant reporting'!H1210</f>
        <v>0</v>
      </c>
      <c r="I983">
        <f>'Participant reporting'!I1210</f>
        <v>0</v>
      </c>
      <c r="J983">
        <f>'Participant reporting'!J1210</f>
        <v>0</v>
      </c>
      <c r="K983">
        <f>'Participant reporting'!K1210</f>
        <v>0</v>
      </c>
      <c r="L983">
        <f>'Participant reporting'!L1210</f>
        <v>0</v>
      </c>
      <c r="M983">
        <f>'Participant reporting'!M1210</f>
        <v>0</v>
      </c>
      <c r="N983">
        <f>'Participant reporting'!N1210</f>
        <v>0</v>
      </c>
      <c r="O983">
        <f>'Participant reporting'!O1210</f>
        <v>0</v>
      </c>
    </row>
    <row r="984" spans="1:15" x14ac:dyDescent="0.25">
      <c r="A984">
        <f>'Participant reporting'!A1211</f>
        <v>0</v>
      </c>
      <c r="B984">
        <f>'Participant reporting'!B1211</f>
        <v>0</v>
      </c>
      <c r="C984">
        <f>'Participant reporting'!C1211</f>
        <v>0</v>
      </c>
      <c r="D984">
        <f>'Participant reporting'!D1211</f>
        <v>0</v>
      </c>
      <c r="E984" s="15">
        <f>'Participant reporting'!E1211</f>
        <v>0</v>
      </c>
      <c r="F984">
        <f>'Participant reporting'!F1211</f>
        <v>0</v>
      </c>
      <c r="G984">
        <f>'Participant reporting'!G1211</f>
        <v>0</v>
      </c>
      <c r="H984">
        <f>'Participant reporting'!H1211</f>
        <v>0</v>
      </c>
      <c r="I984">
        <f>'Participant reporting'!I1211</f>
        <v>0</v>
      </c>
      <c r="J984">
        <f>'Participant reporting'!J1211</f>
        <v>0</v>
      </c>
      <c r="K984">
        <f>'Participant reporting'!K1211</f>
        <v>0</v>
      </c>
      <c r="L984">
        <f>'Participant reporting'!L1211</f>
        <v>0</v>
      </c>
      <c r="M984">
        <f>'Participant reporting'!M1211</f>
        <v>0</v>
      </c>
      <c r="N984">
        <f>'Participant reporting'!N1211</f>
        <v>0</v>
      </c>
      <c r="O984">
        <f>'Participant reporting'!O1211</f>
        <v>0</v>
      </c>
    </row>
    <row r="985" spans="1:15" x14ac:dyDescent="0.25">
      <c r="A985">
        <f>'Participant reporting'!A1212</f>
        <v>0</v>
      </c>
      <c r="B985">
        <f>'Participant reporting'!B1212</f>
        <v>0</v>
      </c>
      <c r="C985">
        <f>'Participant reporting'!C1212</f>
        <v>0</v>
      </c>
      <c r="D985">
        <f>'Participant reporting'!D1212</f>
        <v>0</v>
      </c>
      <c r="E985" s="15">
        <f>'Participant reporting'!E1212</f>
        <v>0</v>
      </c>
      <c r="F985">
        <f>'Participant reporting'!F1212</f>
        <v>0</v>
      </c>
      <c r="G985">
        <f>'Participant reporting'!G1212</f>
        <v>0</v>
      </c>
      <c r="H985">
        <f>'Participant reporting'!H1212</f>
        <v>0</v>
      </c>
      <c r="I985">
        <f>'Participant reporting'!I1212</f>
        <v>0</v>
      </c>
      <c r="J985">
        <f>'Participant reporting'!J1212</f>
        <v>0</v>
      </c>
      <c r="K985">
        <f>'Participant reporting'!K1212</f>
        <v>0</v>
      </c>
      <c r="L985">
        <f>'Participant reporting'!L1212</f>
        <v>0</v>
      </c>
      <c r="M985">
        <f>'Participant reporting'!M1212</f>
        <v>0</v>
      </c>
      <c r="N985">
        <f>'Participant reporting'!N1212</f>
        <v>0</v>
      </c>
      <c r="O985">
        <f>'Participant reporting'!O1212</f>
        <v>0</v>
      </c>
    </row>
    <row r="986" spans="1:15" x14ac:dyDescent="0.25">
      <c r="A986">
        <f>'Participant reporting'!A1213</f>
        <v>0</v>
      </c>
      <c r="B986">
        <f>'Participant reporting'!B1213</f>
        <v>0</v>
      </c>
      <c r="C986">
        <f>'Participant reporting'!C1213</f>
        <v>0</v>
      </c>
      <c r="D986">
        <f>'Participant reporting'!D1213</f>
        <v>0</v>
      </c>
      <c r="E986" s="15">
        <f>'Participant reporting'!E1213</f>
        <v>0</v>
      </c>
      <c r="F986">
        <f>'Participant reporting'!F1213</f>
        <v>0</v>
      </c>
      <c r="G986">
        <f>'Participant reporting'!G1213</f>
        <v>0</v>
      </c>
      <c r="H986">
        <f>'Participant reporting'!H1213</f>
        <v>0</v>
      </c>
      <c r="I986">
        <f>'Participant reporting'!I1213</f>
        <v>0</v>
      </c>
      <c r="J986">
        <f>'Participant reporting'!J1213</f>
        <v>0</v>
      </c>
      <c r="K986">
        <f>'Participant reporting'!K1213</f>
        <v>0</v>
      </c>
      <c r="L986">
        <f>'Participant reporting'!L1213</f>
        <v>0</v>
      </c>
      <c r="M986">
        <f>'Participant reporting'!M1213</f>
        <v>0</v>
      </c>
      <c r="N986">
        <f>'Participant reporting'!N1213</f>
        <v>0</v>
      </c>
      <c r="O986">
        <f>'Participant reporting'!O1213</f>
        <v>0</v>
      </c>
    </row>
    <row r="987" spans="1:15" x14ac:dyDescent="0.25">
      <c r="A987">
        <f>'Participant reporting'!A1214</f>
        <v>0</v>
      </c>
      <c r="B987">
        <f>'Participant reporting'!B1214</f>
        <v>0</v>
      </c>
      <c r="C987">
        <f>'Participant reporting'!C1214</f>
        <v>0</v>
      </c>
      <c r="D987">
        <f>'Participant reporting'!D1214</f>
        <v>0</v>
      </c>
      <c r="E987" s="15">
        <f>'Participant reporting'!E1214</f>
        <v>0</v>
      </c>
      <c r="F987">
        <f>'Participant reporting'!F1214</f>
        <v>0</v>
      </c>
      <c r="G987">
        <f>'Participant reporting'!G1214</f>
        <v>0</v>
      </c>
      <c r="H987">
        <f>'Participant reporting'!H1214</f>
        <v>0</v>
      </c>
      <c r="I987">
        <f>'Participant reporting'!I1214</f>
        <v>0</v>
      </c>
      <c r="J987">
        <f>'Participant reporting'!J1214</f>
        <v>0</v>
      </c>
      <c r="K987">
        <f>'Participant reporting'!K1214</f>
        <v>0</v>
      </c>
      <c r="L987">
        <f>'Participant reporting'!L1214</f>
        <v>0</v>
      </c>
      <c r="M987">
        <f>'Participant reporting'!M1214</f>
        <v>0</v>
      </c>
      <c r="N987">
        <f>'Participant reporting'!N1214</f>
        <v>0</v>
      </c>
      <c r="O987">
        <f>'Participant reporting'!O1214</f>
        <v>0</v>
      </c>
    </row>
    <row r="988" spans="1:15" x14ac:dyDescent="0.25">
      <c r="A988">
        <f>'Participant reporting'!A1215</f>
        <v>0</v>
      </c>
      <c r="B988">
        <f>'Participant reporting'!B1215</f>
        <v>0</v>
      </c>
      <c r="C988">
        <f>'Participant reporting'!C1215</f>
        <v>0</v>
      </c>
      <c r="D988">
        <f>'Participant reporting'!D1215</f>
        <v>0</v>
      </c>
      <c r="E988" s="15">
        <f>'Participant reporting'!E1215</f>
        <v>0</v>
      </c>
      <c r="F988">
        <f>'Participant reporting'!F1215</f>
        <v>0</v>
      </c>
      <c r="G988">
        <f>'Participant reporting'!G1215</f>
        <v>0</v>
      </c>
      <c r="H988">
        <f>'Participant reporting'!H1215</f>
        <v>0</v>
      </c>
      <c r="I988">
        <f>'Participant reporting'!I1215</f>
        <v>0</v>
      </c>
      <c r="J988">
        <f>'Participant reporting'!J1215</f>
        <v>0</v>
      </c>
      <c r="K988">
        <f>'Participant reporting'!K1215</f>
        <v>0</v>
      </c>
      <c r="L988">
        <f>'Participant reporting'!L1215</f>
        <v>0</v>
      </c>
      <c r="M988">
        <f>'Participant reporting'!M1215</f>
        <v>0</v>
      </c>
      <c r="N988">
        <f>'Participant reporting'!N1215</f>
        <v>0</v>
      </c>
      <c r="O988">
        <f>'Participant reporting'!O1215</f>
        <v>0</v>
      </c>
    </row>
    <row r="989" spans="1:15" x14ac:dyDescent="0.25">
      <c r="A989">
        <f>'Participant reporting'!A1216</f>
        <v>0</v>
      </c>
      <c r="B989">
        <f>'Participant reporting'!B1216</f>
        <v>0</v>
      </c>
      <c r="C989">
        <f>'Participant reporting'!C1216</f>
        <v>0</v>
      </c>
      <c r="D989">
        <f>'Participant reporting'!D1216</f>
        <v>0</v>
      </c>
      <c r="E989" s="15">
        <f>'Participant reporting'!E1216</f>
        <v>0</v>
      </c>
      <c r="F989">
        <f>'Participant reporting'!F1216</f>
        <v>0</v>
      </c>
      <c r="G989">
        <f>'Participant reporting'!G1216</f>
        <v>0</v>
      </c>
      <c r="H989">
        <f>'Participant reporting'!H1216</f>
        <v>0</v>
      </c>
      <c r="I989">
        <f>'Participant reporting'!I1216</f>
        <v>0</v>
      </c>
      <c r="J989">
        <f>'Participant reporting'!J1216</f>
        <v>0</v>
      </c>
      <c r="K989">
        <f>'Participant reporting'!K1216</f>
        <v>0</v>
      </c>
      <c r="L989">
        <f>'Participant reporting'!L1216</f>
        <v>0</v>
      </c>
      <c r="M989">
        <f>'Participant reporting'!M1216</f>
        <v>0</v>
      </c>
      <c r="N989">
        <f>'Participant reporting'!N1216</f>
        <v>0</v>
      </c>
      <c r="O989">
        <f>'Participant reporting'!O1216</f>
        <v>0</v>
      </c>
    </row>
    <row r="990" spans="1:15" x14ac:dyDescent="0.25">
      <c r="A990">
        <f>'Participant reporting'!A1217</f>
        <v>0</v>
      </c>
      <c r="B990">
        <f>'Participant reporting'!B1217</f>
        <v>0</v>
      </c>
      <c r="C990">
        <f>'Participant reporting'!C1217</f>
        <v>0</v>
      </c>
      <c r="D990">
        <f>'Participant reporting'!D1217</f>
        <v>0</v>
      </c>
      <c r="E990" s="15">
        <f>'Participant reporting'!E1217</f>
        <v>0</v>
      </c>
      <c r="F990">
        <f>'Participant reporting'!F1217</f>
        <v>0</v>
      </c>
      <c r="G990">
        <f>'Participant reporting'!G1217</f>
        <v>0</v>
      </c>
      <c r="H990">
        <f>'Participant reporting'!H1217</f>
        <v>0</v>
      </c>
      <c r="I990">
        <f>'Participant reporting'!I1217</f>
        <v>0</v>
      </c>
      <c r="J990">
        <f>'Participant reporting'!J1217</f>
        <v>0</v>
      </c>
      <c r="K990">
        <f>'Participant reporting'!K1217</f>
        <v>0</v>
      </c>
      <c r="L990">
        <f>'Participant reporting'!L1217</f>
        <v>0</v>
      </c>
      <c r="M990">
        <f>'Participant reporting'!M1217</f>
        <v>0</v>
      </c>
      <c r="N990">
        <f>'Participant reporting'!N1217</f>
        <v>0</v>
      </c>
      <c r="O990">
        <f>'Participant reporting'!O1217</f>
        <v>0</v>
      </c>
    </row>
    <row r="991" spans="1:15" x14ac:dyDescent="0.25">
      <c r="A991">
        <f>'Participant reporting'!A1218</f>
        <v>0</v>
      </c>
      <c r="B991">
        <f>'Participant reporting'!B1218</f>
        <v>0</v>
      </c>
      <c r="C991">
        <f>'Participant reporting'!C1218</f>
        <v>0</v>
      </c>
      <c r="D991">
        <f>'Participant reporting'!D1218</f>
        <v>0</v>
      </c>
      <c r="E991" s="15">
        <f>'Participant reporting'!E1218</f>
        <v>0</v>
      </c>
      <c r="F991">
        <f>'Participant reporting'!F1218</f>
        <v>0</v>
      </c>
      <c r="G991">
        <f>'Participant reporting'!G1218</f>
        <v>0</v>
      </c>
      <c r="H991">
        <f>'Participant reporting'!H1218</f>
        <v>0</v>
      </c>
      <c r="I991">
        <f>'Participant reporting'!I1218</f>
        <v>0</v>
      </c>
      <c r="J991">
        <f>'Participant reporting'!J1218</f>
        <v>0</v>
      </c>
      <c r="K991">
        <f>'Participant reporting'!K1218</f>
        <v>0</v>
      </c>
      <c r="L991">
        <f>'Participant reporting'!L1218</f>
        <v>0</v>
      </c>
      <c r="M991">
        <f>'Participant reporting'!M1218</f>
        <v>0</v>
      </c>
      <c r="N991">
        <f>'Participant reporting'!N1218</f>
        <v>0</v>
      </c>
      <c r="O991">
        <f>'Participant reporting'!O1218</f>
        <v>0</v>
      </c>
    </row>
    <row r="992" spans="1:15" x14ac:dyDescent="0.25">
      <c r="A992">
        <f>'Participant reporting'!A1219</f>
        <v>0</v>
      </c>
      <c r="B992">
        <f>'Participant reporting'!B1219</f>
        <v>0</v>
      </c>
      <c r="C992">
        <f>'Participant reporting'!C1219</f>
        <v>0</v>
      </c>
      <c r="D992">
        <f>'Participant reporting'!D1219</f>
        <v>0</v>
      </c>
      <c r="E992" s="15">
        <f>'Participant reporting'!E1219</f>
        <v>0</v>
      </c>
      <c r="F992">
        <f>'Participant reporting'!F1219</f>
        <v>0</v>
      </c>
      <c r="G992">
        <f>'Participant reporting'!G1219</f>
        <v>0</v>
      </c>
      <c r="H992">
        <f>'Participant reporting'!H1219</f>
        <v>0</v>
      </c>
      <c r="I992">
        <f>'Participant reporting'!I1219</f>
        <v>0</v>
      </c>
      <c r="J992">
        <f>'Participant reporting'!J1219</f>
        <v>0</v>
      </c>
      <c r="K992">
        <f>'Participant reporting'!K1219</f>
        <v>0</v>
      </c>
      <c r="L992">
        <f>'Participant reporting'!L1219</f>
        <v>0</v>
      </c>
      <c r="M992">
        <f>'Participant reporting'!M1219</f>
        <v>0</v>
      </c>
      <c r="N992">
        <f>'Participant reporting'!N1219</f>
        <v>0</v>
      </c>
      <c r="O992">
        <f>'Participant reporting'!O1219</f>
        <v>0</v>
      </c>
    </row>
    <row r="993" spans="1:15" x14ac:dyDescent="0.25">
      <c r="A993">
        <f>'Participant reporting'!A1220</f>
        <v>0</v>
      </c>
      <c r="B993">
        <f>'Participant reporting'!B1220</f>
        <v>0</v>
      </c>
      <c r="C993">
        <f>'Participant reporting'!C1220</f>
        <v>0</v>
      </c>
      <c r="D993">
        <f>'Participant reporting'!D1220</f>
        <v>0</v>
      </c>
      <c r="E993" s="15">
        <f>'Participant reporting'!E1220</f>
        <v>0</v>
      </c>
      <c r="F993">
        <f>'Participant reporting'!F1220</f>
        <v>0</v>
      </c>
      <c r="G993">
        <f>'Participant reporting'!G1220</f>
        <v>0</v>
      </c>
      <c r="H993">
        <f>'Participant reporting'!H1220</f>
        <v>0</v>
      </c>
      <c r="I993">
        <f>'Participant reporting'!I1220</f>
        <v>0</v>
      </c>
      <c r="J993">
        <f>'Participant reporting'!J1220</f>
        <v>0</v>
      </c>
      <c r="K993">
        <f>'Participant reporting'!K1220</f>
        <v>0</v>
      </c>
      <c r="L993">
        <f>'Participant reporting'!L1220</f>
        <v>0</v>
      </c>
      <c r="M993">
        <f>'Participant reporting'!M1220</f>
        <v>0</v>
      </c>
      <c r="N993">
        <f>'Participant reporting'!N1220</f>
        <v>0</v>
      </c>
      <c r="O993">
        <f>'Participant reporting'!O1220</f>
        <v>0</v>
      </c>
    </row>
    <row r="994" spans="1:15" x14ac:dyDescent="0.25">
      <c r="A994">
        <f>'Participant reporting'!A1221</f>
        <v>0</v>
      </c>
      <c r="B994">
        <f>'Participant reporting'!B1221</f>
        <v>0</v>
      </c>
      <c r="C994">
        <f>'Participant reporting'!C1221</f>
        <v>0</v>
      </c>
      <c r="D994">
        <f>'Participant reporting'!D1221</f>
        <v>0</v>
      </c>
      <c r="E994" s="15">
        <f>'Participant reporting'!E1221</f>
        <v>0</v>
      </c>
      <c r="F994">
        <f>'Participant reporting'!F1221</f>
        <v>0</v>
      </c>
      <c r="G994">
        <f>'Participant reporting'!G1221</f>
        <v>0</v>
      </c>
      <c r="H994">
        <f>'Participant reporting'!H1221</f>
        <v>0</v>
      </c>
      <c r="I994">
        <f>'Participant reporting'!I1221</f>
        <v>0</v>
      </c>
      <c r="J994">
        <f>'Participant reporting'!J1221</f>
        <v>0</v>
      </c>
      <c r="K994">
        <f>'Participant reporting'!K1221</f>
        <v>0</v>
      </c>
      <c r="L994">
        <f>'Participant reporting'!L1221</f>
        <v>0</v>
      </c>
      <c r="M994">
        <f>'Participant reporting'!M1221</f>
        <v>0</v>
      </c>
      <c r="N994">
        <f>'Participant reporting'!N1221</f>
        <v>0</v>
      </c>
      <c r="O994">
        <f>'Participant reporting'!O1221</f>
        <v>0</v>
      </c>
    </row>
    <row r="995" spans="1:15" x14ac:dyDescent="0.25">
      <c r="A995">
        <f>'Participant reporting'!A1222</f>
        <v>0</v>
      </c>
      <c r="B995">
        <f>'Participant reporting'!B1222</f>
        <v>0</v>
      </c>
      <c r="C995">
        <f>'Participant reporting'!C1222</f>
        <v>0</v>
      </c>
      <c r="D995">
        <f>'Participant reporting'!D1222</f>
        <v>0</v>
      </c>
      <c r="E995" s="15">
        <f>'Participant reporting'!E1222</f>
        <v>0</v>
      </c>
      <c r="F995">
        <f>'Participant reporting'!F1222</f>
        <v>0</v>
      </c>
      <c r="G995">
        <f>'Participant reporting'!G1222</f>
        <v>0</v>
      </c>
      <c r="H995">
        <f>'Participant reporting'!H1222</f>
        <v>0</v>
      </c>
      <c r="I995">
        <f>'Participant reporting'!I1222</f>
        <v>0</v>
      </c>
      <c r="J995">
        <f>'Participant reporting'!J1222</f>
        <v>0</v>
      </c>
      <c r="K995">
        <f>'Participant reporting'!K1222</f>
        <v>0</v>
      </c>
      <c r="L995">
        <f>'Participant reporting'!L1222</f>
        <v>0</v>
      </c>
      <c r="M995">
        <f>'Participant reporting'!M1222</f>
        <v>0</v>
      </c>
      <c r="N995">
        <f>'Participant reporting'!N1222</f>
        <v>0</v>
      </c>
      <c r="O995">
        <f>'Participant reporting'!O1222</f>
        <v>0</v>
      </c>
    </row>
    <row r="996" spans="1:15" x14ac:dyDescent="0.25">
      <c r="A996">
        <f>'Participant reporting'!A1223</f>
        <v>0</v>
      </c>
      <c r="B996">
        <f>'Participant reporting'!B1223</f>
        <v>0</v>
      </c>
      <c r="C996">
        <f>'Participant reporting'!C1223</f>
        <v>0</v>
      </c>
      <c r="D996">
        <f>'Participant reporting'!D1223</f>
        <v>0</v>
      </c>
      <c r="E996" s="15">
        <f>'Participant reporting'!E1223</f>
        <v>0</v>
      </c>
      <c r="F996">
        <f>'Participant reporting'!F1223</f>
        <v>0</v>
      </c>
      <c r="G996">
        <f>'Participant reporting'!G1223</f>
        <v>0</v>
      </c>
      <c r="H996">
        <f>'Participant reporting'!H1223</f>
        <v>0</v>
      </c>
      <c r="I996">
        <f>'Participant reporting'!I1223</f>
        <v>0</v>
      </c>
      <c r="J996">
        <f>'Participant reporting'!J1223</f>
        <v>0</v>
      </c>
      <c r="K996">
        <f>'Participant reporting'!K1223</f>
        <v>0</v>
      </c>
      <c r="L996">
        <f>'Participant reporting'!L1223</f>
        <v>0</v>
      </c>
      <c r="M996">
        <f>'Participant reporting'!M1223</f>
        <v>0</v>
      </c>
      <c r="N996">
        <f>'Participant reporting'!N1223</f>
        <v>0</v>
      </c>
      <c r="O996">
        <f>'Participant reporting'!O1223</f>
        <v>0</v>
      </c>
    </row>
    <row r="997" spans="1:15" x14ac:dyDescent="0.25">
      <c r="A997">
        <f>'Participant reporting'!A1224</f>
        <v>0</v>
      </c>
      <c r="B997">
        <f>'Participant reporting'!B1224</f>
        <v>0</v>
      </c>
      <c r="C997">
        <f>'Participant reporting'!C1224</f>
        <v>0</v>
      </c>
      <c r="D997">
        <f>'Participant reporting'!D1224</f>
        <v>0</v>
      </c>
      <c r="E997" s="15">
        <f>'Participant reporting'!E1224</f>
        <v>0</v>
      </c>
      <c r="F997">
        <f>'Participant reporting'!F1224</f>
        <v>0</v>
      </c>
      <c r="G997">
        <f>'Participant reporting'!G1224</f>
        <v>0</v>
      </c>
      <c r="H997">
        <f>'Participant reporting'!H1224</f>
        <v>0</v>
      </c>
      <c r="I997">
        <f>'Participant reporting'!I1224</f>
        <v>0</v>
      </c>
      <c r="J997">
        <f>'Participant reporting'!J1224</f>
        <v>0</v>
      </c>
      <c r="K997">
        <f>'Participant reporting'!K1224</f>
        <v>0</v>
      </c>
      <c r="L997">
        <f>'Participant reporting'!L1224</f>
        <v>0</v>
      </c>
      <c r="M997">
        <f>'Participant reporting'!M1224</f>
        <v>0</v>
      </c>
      <c r="N997">
        <f>'Participant reporting'!N1224</f>
        <v>0</v>
      </c>
      <c r="O997">
        <f>'Participant reporting'!O1224</f>
        <v>0</v>
      </c>
    </row>
    <row r="998" spans="1:15" x14ac:dyDescent="0.25">
      <c r="A998">
        <f>'Participant reporting'!A1225</f>
        <v>0</v>
      </c>
      <c r="B998">
        <f>'Participant reporting'!B1225</f>
        <v>0</v>
      </c>
      <c r="C998">
        <f>'Participant reporting'!C1225</f>
        <v>0</v>
      </c>
      <c r="D998">
        <f>'Participant reporting'!D1225</f>
        <v>0</v>
      </c>
      <c r="E998" s="15">
        <f>'Participant reporting'!E1225</f>
        <v>0</v>
      </c>
      <c r="F998">
        <f>'Participant reporting'!F1225</f>
        <v>0</v>
      </c>
      <c r="G998">
        <f>'Participant reporting'!G1225</f>
        <v>0</v>
      </c>
      <c r="H998">
        <f>'Participant reporting'!H1225</f>
        <v>0</v>
      </c>
      <c r="I998">
        <f>'Participant reporting'!I1225</f>
        <v>0</v>
      </c>
      <c r="J998">
        <f>'Participant reporting'!J1225</f>
        <v>0</v>
      </c>
      <c r="K998">
        <f>'Participant reporting'!K1225</f>
        <v>0</v>
      </c>
      <c r="L998">
        <f>'Participant reporting'!L1225</f>
        <v>0</v>
      </c>
      <c r="M998">
        <f>'Participant reporting'!M1225</f>
        <v>0</v>
      </c>
      <c r="N998">
        <f>'Participant reporting'!N1225</f>
        <v>0</v>
      </c>
      <c r="O998">
        <f>'Participant reporting'!O1225</f>
        <v>0</v>
      </c>
    </row>
    <row r="999" spans="1:15" x14ac:dyDescent="0.25">
      <c r="A999">
        <f>'Participant reporting'!A1226</f>
        <v>0</v>
      </c>
      <c r="B999">
        <f>'Participant reporting'!B1226</f>
        <v>0</v>
      </c>
      <c r="C999">
        <f>'Participant reporting'!C1226</f>
        <v>0</v>
      </c>
      <c r="D999">
        <f>'Participant reporting'!D1226</f>
        <v>0</v>
      </c>
      <c r="E999" s="15">
        <f>'Participant reporting'!E1226</f>
        <v>0</v>
      </c>
      <c r="F999">
        <f>'Participant reporting'!F1226</f>
        <v>0</v>
      </c>
      <c r="G999">
        <f>'Participant reporting'!G1226</f>
        <v>0</v>
      </c>
      <c r="H999">
        <f>'Participant reporting'!H1226</f>
        <v>0</v>
      </c>
      <c r="I999">
        <f>'Participant reporting'!I1226</f>
        <v>0</v>
      </c>
      <c r="J999">
        <f>'Participant reporting'!J1226</f>
        <v>0</v>
      </c>
      <c r="K999">
        <f>'Participant reporting'!K1226</f>
        <v>0</v>
      </c>
      <c r="L999">
        <f>'Participant reporting'!L1226</f>
        <v>0</v>
      </c>
      <c r="M999">
        <f>'Participant reporting'!M1226</f>
        <v>0</v>
      </c>
      <c r="N999">
        <f>'Participant reporting'!N1226</f>
        <v>0</v>
      </c>
      <c r="O999">
        <f>'Participant reporting'!O1226</f>
        <v>0</v>
      </c>
    </row>
    <row r="1000" spans="1:15" x14ac:dyDescent="0.25">
      <c r="A1000">
        <f>'Participant reporting'!A1227</f>
        <v>0</v>
      </c>
      <c r="B1000">
        <f>'Participant reporting'!B1227</f>
        <v>0</v>
      </c>
      <c r="C1000">
        <f>'Participant reporting'!C1227</f>
        <v>0</v>
      </c>
      <c r="D1000">
        <f>'Participant reporting'!D1227</f>
        <v>0</v>
      </c>
      <c r="E1000" s="15">
        <f>'Participant reporting'!E1227</f>
        <v>0</v>
      </c>
      <c r="F1000">
        <f>'Participant reporting'!F1227</f>
        <v>0</v>
      </c>
      <c r="G1000">
        <f>'Participant reporting'!G1227</f>
        <v>0</v>
      </c>
      <c r="H1000">
        <f>'Participant reporting'!H1227</f>
        <v>0</v>
      </c>
      <c r="I1000">
        <f>'Participant reporting'!I1227</f>
        <v>0</v>
      </c>
      <c r="J1000">
        <f>'Participant reporting'!J1227</f>
        <v>0</v>
      </c>
      <c r="K1000">
        <f>'Participant reporting'!K1227</f>
        <v>0</v>
      </c>
      <c r="L1000">
        <f>'Participant reporting'!L1227</f>
        <v>0</v>
      </c>
      <c r="M1000">
        <f>'Participant reporting'!M1227</f>
        <v>0</v>
      </c>
      <c r="N1000">
        <f>'Participant reporting'!N1227</f>
        <v>0</v>
      </c>
      <c r="O1000">
        <f>'Participant reporting'!O1227</f>
        <v>0</v>
      </c>
    </row>
    <row r="1001" spans="1:15" x14ac:dyDescent="0.25">
      <c r="A1001">
        <f>'Participant reporting'!A1228</f>
        <v>0</v>
      </c>
      <c r="B1001">
        <f>'Participant reporting'!B1228</f>
        <v>0</v>
      </c>
      <c r="C1001">
        <f>'Participant reporting'!C1228</f>
        <v>0</v>
      </c>
      <c r="D1001">
        <f>'Participant reporting'!D1228</f>
        <v>0</v>
      </c>
      <c r="E1001" s="15">
        <f>'Participant reporting'!E1228</f>
        <v>0</v>
      </c>
      <c r="F1001">
        <f>'Participant reporting'!F1228</f>
        <v>0</v>
      </c>
      <c r="G1001">
        <f>'Participant reporting'!G1228</f>
        <v>0</v>
      </c>
      <c r="H1001">
        <f>'Participant reporting'!H1228</f>
        <v>0</v>
      </c>
      <c r="I1001">
        <f>'Participant reporting'!I1228</f>
        <v>0</v>
      </c>
      <c r="J1001">
        <f>'Participant reporting'!J1228</f>
        <v>0</v>
      </c>
      <c r="K1001">
        <f>'Participant reporting'!K1228</f>
        <v>0</v>
      </c>
      <c r="L1001">
        <f>'Participant reporting'!L1228</f>
        <v>0</v>
      </c>
      <c r="M1001">
        <f>'Participant reporting'!M1228</f>
        <v>0</v>
      </c>
      <c r="N1001">
        <f>'Participant reporting'!N1228</f>
        <v>0</v>
      </c>
      <c r="O1001">
        <f>'Participant reporting'!O1228</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EAE39-8F75-48C4-84E6-71748F08CE2D}">
  <sheetPr>
    <tabColor theme="7"/>
  </sheetPr>
  <dimension ref="A1:I69"/>
  <sheetViews>
    <sheetView showGridLines="0" zoomScale="110" zoomScaleNormal="110" zoomScaleSheetLayoutView="100" workbookViewId="0">
      <pane ySplit="5" topLeftCell="A22" activePane="bottomLeft" state="frozen"/>
      <selection pane="bottomLeft" activeCell="C32" sqref="C32"/>
    </sheetView>
  </sheetViews>
  <sheetFormatPr defaultColWidth="0" defaultRowHeight="15" zeroHeight="1" x14ac:dyDescent="0.25"/>
  <cols>
    <col min="1" max="1" width="4.5703125" customWidth="1"/>
    <col min="2" max="2" width="28" customWidth="1"/>
    <col min="3" max="4" width="20.5703125" customWidth="1"/>
    <col min="5" max="5" width="2.42578125" customWidth="1"/>
    <col min="6" max="7" width="20.5703125" customWidth="1"/>
    <col min="8" max="8" width="8.5703125" customWidth="1"/>
    <col min="9" max="9" width="0" hidden="1" customWidth="1"/>
    <col min="10" max="16384" width="9.140625" hidden="1"/>
  </cols>
  <sheetData>
    <row r="1" spans="1:8" x14ac:dyDescent="0.25"/>
    <row r="2" spans="1:8" ht="26.25" x14ac:dyDescent="0.25">
      <c r="A2" s="7"/>
      <c r="B2" s="5" t="s">
        <v>0</v>
      </c>
      <c r="C2" s="8"/>
      <c r="D2" s="8"/>
      <c r="E2" s="8"/>
      <c r="F2" s="8"/>
      <c r="G2" s="8"/>
      <c r="H2" s="8"/>
    </row>
    <row r="3" spans="1:8" ht="21" x14ac:dyDescent="0.25">
      <c r="A3" s="9"/>
      <c r="B3" s="6" t="s">
        <v>158</v>
      </c>
      <c r="C3" s="10"/>
      <c r="D3" s="10"/>
      <c r="E3" s="10"/>
      <c r="F3" s="10"/>
      <c r="G3" s="10"/>
      <c r="H3" s="10"/>
    </row>
    <row r="4" spans="1:8" ht="15.75" x14ac:dyDescent="0.25">
      <c r="A4" s="11"/>
      <c r="B4" s="12" t="s">
        <v>159</v>
      </c>
      <c r="C4" s="11"/>
      <c r="D4" s="11"/>
      <c r="E4" s="11"/>
      <c r="F4" s="11"/>
      <c r="G4" s="11"/>
      <c r="H4" s="11"/>
    </row>
    <row r="5" spans="1:8" ht="15.75" x14ac:dyDescent="0.25">
      <c r="A5" s="11"/>
      <c r="B5" s="12" t="s">
        <v>160</v>
      </c>
      <c r="C5" s="11"/>
      <c r="D5" s="11"/>
      <c r="E5" s="11"/>
      <c r="F5" s="11"/>
      <c r="G5" s="11"/>
      <c r="H5" s="11"/>
    </row>
    <row r="6" spans="1:8" x14ac:dyDescent="0.25">
      <c r="A6" s="13"/>
      <c r="B6" s="13"/>
      <c r="C6" s="13"/>
      <c r="D6" s="13"/>
      <c r="E6" s="13"/>
      <c r="F6" s="13"/>
    </row>
    <row r="7" spans="1:8" x14ac:dyDescent="0.25">
      <c r="A7" s="13"/>
      <c r="B7" s="13" t="s">
        <v>161</v>
      </c>
      <c r="C7" s="32">
        <f>'Project details'!C7</f>
        <v>0</v>
      </c>
      <c r="D7" s="13"/>
      <c r="E7" s="13"/>
      <c r="F7" s="13"/>
    </row>
    <row r="8" spans="1:8" x14ac:dyDescent="0.25">
      <c r="A8" s="13"/>
      <c r="B8" s="13" t="s">
        <v>56</v>
      </c>
      <c r="C8" s="32">
        <f>'Project details'!C8</f>
        <v>0</v>
      </c>
      <c r="D8" s="13"/>
      <c r="E8" s="13"/>
      <c r="F8" s="13"/>
    </row>
    <row r="9" spans="1:8" x14ac:dyDescent="0.25">
      <c r="A9" s="13"/>
      <c r="B9" s="13" t="s">
        <v>162</v>
      </c>
      <c r="C9" s="29">
        <v>2025</v>
      </c>
      <c r="D9" s="13"/>
      <c r="E9" s="13"/>
      <c r="F9" s="13"/>
    </row>
    <row r="10" spans="1:8" x14ac:dyDescent="0.25">
      <c r="A10" s="13"/>
      <c r="B10" s="13" t="s">
        <v>142</v>
      </c>
      <c r="C10" s="37">
        <v>1</v>
      </c>
      <c r="D10" s="13"/>
      <c r="E10" s="13"/>
      <c r="F10" s="13"/>
    </row>
    <row r="11" spans="1:8" x14ac:dyDescent="0.25">
      <c r="A11" s="13"/>
      <c r="B11" s="13"/>
      <c r="C11" s="13"/>
      <c r="D11" s="13"/>
      <c r="E11" s="13"/>
      <c r="F11" s="13"/>
    </row>
    <row r="12" spans="1:8" ht="15.75" x14ac:dyDescent="0.25">
      <c r="A12" s="13"/>
      <c r="B12" s="14" t="s">
        <v>163</v>
      </c>
      <c r="D12" s="13"/>
      <c r="E12" s="13"/>
      <c r="F12" s="13"/>
    </row>
    <row r="13" spans="1:8" ht="15.75" x14ac:dyDescent="0.25">
      <c r="A13" s="13"/>
      <c r="B13" s="14"/>
      <c r="C13" s="28" t="s">
        <v>164</v>
      </c>
      <c r="D13" s="28" t="s">
        <v>165</v>
      </c>
      <c r="E13" s="28"/>
      <c r="F13" s="28" t="s">
        <v>166</v>
      </c>
      <c r="G13" s="28" t="s">
        <v>167</v>
      </c>
    </row>
    <row r="14" spans="1:8" x14ac:dyDescent="0.25">
      <c r="A14" s="13"/>
      <c r="B14" s="13" t="s">
        <v>168</v>
      </c>
      <c r="C14" s="77">
        <f>SUMIFS('Participant reporting'!K:K,'Participant reporting'!A:A,'Quarter 1 report'!$C$9,'Participant reporting'!B:B,'Quarter 1 report'!$C$10)+SUMIFS('Participant reporting'!L:L,'Participant reporting'!A:A,'Quarter 1 report'!$C$9,'Participant reporting'!B:B,'Quarter 1 report'!$C$10)</f>
        <v>0</v>
      </c>
      <c r="D14" s="77">
        <f>IFERROR(VLOOKUP(_xlfn.CONCAT(C9," ",B10," ",C10),Estimates!$D$9:$H$48,5,FALSE),)</f>
        <v>0</v>
      </c>
      <c r="F14" s="41" t="str">
        <f>IFERROR(C14/D14,"Input data")</f>
        <v>Input data</v>
      </c>
      <c r="G14" s="36">
        <f>IFERROR(VLOOKUP($C$9,'Project details'!$E$16:$J$25,4,FALSE),"Select Year")</f>
        <v>0.1</v>
      </c>
    </row>
    <row r="15" spans="1:8" x14ac:dyDescent="0.25">
      <c r="A15" s="13"/>
      <c r="B15" s="13" t="s">
        <v>169</v>
      </c>
      <c r="C15" s="77">
        <f>SUMIFS('Participant reporting'!K:K,'Participant reporting'!A:A,'Quarter 1 report'!$C$9,'Participant reporting'!B:B,'Quarter 1 report'!$C$10,'Participant reporting'!I:I,"Female")+SUMIFS('Participant reporting'!L:L,'Participant reporting'!A:A,'Quarter 1 report'!$C$9,'Participant reporting'!B:B,'Quarter 1 report'!$C$10,'Participant reporting'!I:I,"Female")</f>
        <v>0</v>
      </c>
      <c r="D15" s="77">
        <f>C14</f>
        <v>0</v>
      </c>
      <c r="F15" s="41" t="str">
        <f t="shared" ref="F15" si="0">IFERROR(C15/D15,"Input data")</f>
        <v>Input data</v>
      </c>
      <c r="G15" s="36">
        <f>IFERROR(VLOOKUP($C$9,'Project details'!$E$16:$J$25,5,FALSE),"Select Year")</f>
        <v>0.06</v>
      </c>
    </row>
    <row r="16" spans="1:8" x14ac:dyDescent="0.25">
      <c r="A16" s="13"/>
      <c r="B16" s="13" t="s">
        <v>69</v>
      </c>
      <c r="C16" s="77">
        <f>IF(C8='List values'!B3,"-",SUMIFS('Participant reporting'!K:K,'Participant reporting'!A:A,'Quarter 1 report'!$C$9,'Participant reporting'!B:B,'Quarter 1 report'!$C$10,'Participant reporting'!I:I,"Female",'Participant reporting'!J:J,"Yes")+SUMIFS('Participant reporting'!L:L,'Participant reporting'!A:A,'Quarter 1 report'!$C$9,'Participant reporting'!B:B,'Quarter 1 report'!$C$10,'Participant reporting'!I:I,"Female",'Participant reporting'!J:J,"Yes"))</f>
        <v>0</v>
      </c>
      <c r="D16" s="77">
        <f>IF(C8='List values'!B3,"-",SUMIFS('Participant reporting'!K:K,'Participant reporting'!A:A,$C$9,'Participant reporting'!B:B,$C$10,'Participant reporting'!J:J,"Yes")+SUMIFS('Participant reporting'!L:L,'Participant reporting'!A:A,$C$9,'Participant reporting'!B:B,$C$10,'Participant reporting'!J:J,"Yes"))</f>
        <v>0</v>
      </c>
      <c r="F16" s="41" t="str">
        <f>IF(C8='List values'!B3,"-",IFERROR(C16/D16,"Input data"))</f>
        <v>Input data</v>
      </c>
      <c r="G16" s="36">
        <f>IFERROR(IF(C8='List values'!B3,"-",VLOOKUP($C$9,'Project details'!$E$16:$J$25,6,FALSE)),"Select Year")</f>
        <v>0.04</v>
      </c>
    </row>
    <row r="17" spans="1:7" x14ac:dyDescent="0.25">
      <c r="A17" s="13"/>
      <c r="B17" s="13"/>
      <c r="C17" s="13"/>
      <c r="D17" s="13"/>
      <c r="E17" s="13"/>
      <c r="F17" s="13"/>
    </row>
    <row r="18" spans="1:7" ht="15.75" x14ac:dyDescent="0.25">
      <c r="A18" s="13"/>
      <c r="B18" s="14" t="s">
        <v>170</v>
      </c>
      <c r="D18" s="13"/>
      <c r="E18" s="13"/>
      <c r="F18" s="13"/>
    </row>
    <row r="19" spans="1:7" ht="15.75" x14ac:dyDescent="0.25">
      <c r="A19" s="13"/>
      <c r="B19" s="14"/>
      <c r="C19" s="28" t="s">
        <v>164</v>
      </c>
      <c r="D19" s="28" t="s">
        <v>165</v>
      </c>
      <c r="E19" s="28"/>
      <c r="F19" s="28" t="s">
        <v>166</v>
      </c>
    </row>
    <row r="20" spans="1:7" x14ac:dyDescent="0.25">
      <c r="A20" s="13"/>
      <c r="B20" s="13" t="s">
        <v>171</v>
      </c>
      <c r="C20" s="77">
        <f>SUMIFS('Participant reporting'!K:K,'Participant reporting'!A:A,"&lt;="&amp;'Quarter 1 report'!$C$9,'Participant reporting'!B:B,"&lt;="&amp;'Quarter 1 report'!$C$10)+SUMIFS('Participant reporting'!L:L,'Participant reporting'!A:A,"&lt;="&amp;'Quarter 1 report'!$C$9,'Participant reporting'!B:B,"&lt;="&amp;'Quarter 1 report'!$C$10)</f>
        <v>0</v>
      </c>
      <c r="D20" s="77">
        <f>SUMIFS(Estimates!$H$9:$H$49,Estimates!$B$9:$B$49,"&lt;="&amp;$C$9,Estimates!$C$9:$C$49,"&lt;="&amp;$C$10)</f>
        <v>0</v>
      </c>
      <c r="F20" s="41" t="str">
        <f>IFERROR(C20/D20,"Input data")</f>
        <v>Input data</v>
      </c>
    </row>
    <row r="21" spans="1:7" x14ac:dyDescent="0.25">
      <c r="A21" s="13"/>
      <c r="B21" s="13" t="s">
        <v>169</v>
      </c>
      <c r="C21" s="77">
        <f>SUMIFS('Participant reporting'!K:K,'Participant reporting'!A:A,"&lt;="&amp;'Quarter 1 report'!$C$9,'Participant reporting'!B:B,"&lt;="&amp;'Quarter 1 report'!$C$10,'Participant reporting'!I:I,"Female")+SUMIFS('Participant reporting'!L:L,'Participant reporting'!A:A,"&lt;="&amp;'Quarter 1 report'!$C$9,'Participant reporting'!B:B,"&lt;="&amp;'Quarter 1 report'!$C$10,'Participant reporting'!I:I,"Female")</f>
        <v>0</v>
      </c>
      <c r="D21" s="77">
        <f>C20</f>
        <v>0</v>
      </c>
      <c r="F21" s="41" t="str">
        <f t="shared" ref="F21" si="1">IFERROR(C21/D21,"Input data")</f>
        <v>Input data</v>
      </c>
    </row>
    <row r="22" spans="1:7" x14ac:dyDescent="0.25">
      <c r="A22" s="13"/>
      <c r="B22" s="13" t="s">
        <v>69</v>
      </c>
      <c r="C22" s="77">
        <f>IF(C8='List values'!B3,"-",SUMIFS('Participant reporting'!K:K,'Participant reporting'!A:A,"&lt;="&amp;'Quarter 1 report'!$C$9,'Participant reporting'!B:B,"&lt;="&amp;'Quarter 1 report'!$C$10,'Participant reporting'!I:I,"Female",'Participant reporting'!J:J,"Yes")+SUMIFS('Participant reporting'!L:L,'Participant reporting'!A:A,"&lt;="&amp;'Quarter 1 report'!$C$9,'Participant reporting'!B:B,"&lt;="&amp;'Quarter 1 report'!$C$10,'Participant reporting'!I:I,"Female",'Participant reporting'!J:J,"Yes"))</f>
        <v>0</v>
      </c>
      <c r="D22" s="77">
        <f>IF(C8='List values'!B3,"-",SUMIFS('Participant reporting'!K:K,'Participant reporting'!A:A,"&lt;="&amp;'Quarter 1 report'!$C$9,'Participant reporting'!B:B,"&lt;="&amp;'Quarter 1 report'!$C$10,'Participant reporting'!J:J,"Yes")+SUMIFS('Participant reporting'!L:L,'Participant reporting'!A:A,"&lt;="&amp;'Quarter 1 report'!$C$9,'Participant reporting'!B:B,"&lt;="&amp;'Quarter 1 report'!$C$10,'Participant reporting'!J:J,"Yes"))</f>
        <v>0</v>
      </c>
      <c r="F22" s="41" t="str">
        <f>IF(C8='List values'!B3,"-",IFERROR(C22/D22,"Input data"))</f>
        <v>Input data</v>
      </c>
    </row>
    <row r="23" spans="1:7" ht="15.75" thickBot="1" x14ac:dyDescent="0.3">
      <c r="A23" s="13"/>
      <c r="B23" s="13"/>
      <c r="C23" s="101"/>
      <c r="D23" s="101"/>
      <c r="F23" s="102"/>
    </row>
    <row r="24" spans="1:7" ht="15.75" x14ac:dyDescent="0.25">
      <c r="A24" s="13"/>
      <c r="B24" s="103" t="s">
        <v>172</v>
      </c>
      <c r="C24" s="104"/>
      <c r="D24" s="104"/>
      <c r="E24" s="105"/>
      <c r="F24" s="106"/>
      <c r="G24" s="107"/>
    </row>
    <row r="25" spans="1:7" ht="36.950000000000003" customHeight="1" x14ac:dyDescent="0.25">
      <c r="A25" s="13"/>
      <c r="B25" s="122" t="s">
        <v>173</v>
      </c>
      <c r="C25" s="123"/>
      <c r="D25" s="123"/>
      <c r="E25" s="123"/>
      <c r="F25" s="123"/>
      <c r="G25" s="124"/>
    </row>
    <row r="26" spans="1:7" ht="15.75" thickBot="1" x14ac:dyDescent="0.3">
      <c r="A26" s="13"/>
      <c r="B26" s="110"/>
      <c r="C26" s="108"/>
      <c r="D26" s="108"/>
      <c r="E26" s="108"/>
      <c r="F26" s="108"/>
      <c r="G26" s="109"/>
    </row>
    <row r="27" spans="1:7" x14ac:dyDescent="0.25">
      <c r="A27" s="13"/>
      <c r="B27" s="100"/>
      <c r="C27" s="100"/>
      <c r="D27" s="100"/>
      <c r="E27" s="100"/>
      <c r="F27" s="100"/>
    </row>
    <row r="28" spans="1:7" ht="15.75" x14ac:dyDescent="0.25">
      <c r="A28" s="13"/>
      <c r="B28" s="14" t="s">
        <v>174</v>
      </c>
      <c r="C28" s="13"/>
      <c r="D28" s="13"/>
      <c r="E28" s="13"/>
      <c r="F28" s="13"/>
    </row>
    <row r="29" spans="1:7" x14ac:dyDescent="0.25">
      <c r="A29" s="13"/>
      <c r="B29" s="38" t="s">
        <v>175</v>
      </c>
      <c r="C29" s="13"/>
      <c r="D29" s="13"/>
      <c r="E29" s="13"/>
      <c r="F29" s="13"/>
    </row>
    <row r="30" spans="1:7" ht="8.4499999999999993" customHeight="1" x14ac:dyDescent="0.25">
      <c r="A30" s="13"/>
      <c r="B30" s="38"/>
      <c r="C30" s="13"/>
      <c r="D30" s="13"/>
      <c r="E30" s="13"/>
      <c r="F30" s="13"/>
    </row>
    <row r="31" spans="1:7" x14ac:dyDescent="0.25">
      <c r="A31" s="13"/>
      <c r="B31" t="s">
        <v>176</v>
      </c>
      <c r="C31" s="27" t="str">
        <f>IF(AND(ISNUMBER(F14),ISNUMBER(F15),ISNUMBER(F16)),IF(AND(F14&gt;=G14,F15&gt;=G15,F16&gt;=G16),"Yes","No"),"Input data")</f>
        <v>Input data</v>
      </c>
      <c r="D31" s="13"/>
      <c r="E31" s="13"/>
      <c r="F31" s="13"/>
    </row>
    <row r="32" spans="1:7" x14ac:dyDescent="0.25">
      <c r="A32" s="13"/>
      <c r="B32" s="13" t="s">
        <v>177</v>
      </c>
      <c r="C32" s="30"/>
      <c r="D32" s="38"/>
      <c r="E32" s="13"/>
      <c r="F32" s="26" t="s">
        <v>95</v>
      </c>
      <c r="G32" s="79"/>
    </row>
    <row r="33" spans="1:7" ht="30" x14ac:dyDescent="0.25">
      <c r="A33" s="13"/>
      <c r="B33" s="19" t="s">
        <v>178</v>
      </c>
      <c r="C33" s="80"/>
      <c r="D33" s="38"/>
      <c r="E33" s="13"/>
      <c r="F33" s="13"/>
    </row>
    <row r="34" spans="1:7" ht="65.099999999999994" customHeight="1" x14ac:dyDescent="0.25">
      <c r="A34" s="13"/>
      <c r="B34" s="19" t="s">
        <v>179</v>
      </c>
      <c r="C34" s="125"/>
      <c r="D34" s="126"/>
      <c r="E34" s="126"/>
      <c r="F34" s="126"/>
      <c r="G34" s="127"/>
    </row>
    <row r="35" spans="1:7" ht="8.4499999999999993" customHeight="1" x14ac:dyDescent="0.25"/>
    <row r="36" spans="1:7" ht="65.099999999999994" customHeight="1" x14ac:dyDescent="0.25">
      <c r="A36" s="13"/>
      <c r="B36" s="13" t="s">
        <v>180</v>
      </c>
      <c r="C36" s="130"/>
      <c r="D36" s="129"/>
      <c r="E36" s="129"/>
      <c r="F36" s="129"/>
      <c r="G36" s="129"/>
    </row>
    <row r="37" spans="1:7" x14ac:dyDescent="0.25">
      <c r="A37" s="13"/>
      <c r="B37" s="13"/>
      <c r="C37" s="13"/>
      <c r="D37" s="13"/>
      <c r="E37" s="13"/>
      <c r="F37" s="13"/>
    </row>
    <row r="38" spans="1:7" ht="15.75" x14ac:dyDescent="0.25">
      <c r="B38" s="14" t="s">
        <v>181</v>
      </c>
    </row>
    <row r="39" spans="1:7" x14ac:dyDescent="0.25">
      <c r="B39" s="38" t="s">
        <v>175</v>
      </c>
    </row>
    <row r="40" spans="1:7" ht="8.4499999999999993" customHeight="1" x14ac:dyDescent="0.25">
      <c r="B40" s="38"/>
    </row>
    <row r="41" spans="1:7" x14ac:dyDescent="0.25">
      <c r="B41" s="19" t="s">
        <v>182</v>
      </c>
      <c r="C41" s="81"/>
      <c r="D41" s="49"/>
    </row>
    <row r="42" spans="1:7" ht="65.099999999999994" customHeight="1" x14ac:dyDescent="0.25">
      <c r="B42" s="19" t="s">
        <v>183</v>
      </c>
      <c r="C42" s="128"/>
      <c r="D42" s="128"/>
      <c r="E42" s="128"/>
      <c r="F42" s="128"/>
      <c r="G42" s="128"/>
    </row>
    <row r="43" spans="1:7" ht="8.4499999999999993" customHeight="1" x14ac:dyDescent="0.25">
      <c r="B43" s="19"/>
    </row>
    <row r="44" spans="1:7" x14ac:dyDescent="0.25">
      <c r="B44" s="19" t="s">
        <v>184</v>
      </c>
      <c r="C44" s="33"/>
      <c r="D44" s="49"/>
    </row>
    <row r="45" spans="1:7" ht="65.099999999999994" customHeight="1" x14ac:dyDescent="0.25">
      <c r="B45" s="19" t="s">
        <v>185</v>
      </c>
      <c r="C45" s="128"/>
      <c r="D45" s="128"/>
      <c r="E45" s="128"/>
      <c r="F45" s="128"/>
      <c r="G45" s="128"/>
    </row>
    <row r="46" spans="1:7" ht="8.4499999999999993" customHeight="1" x14ac:dyDescent="0.25">
      <c r="B46" s="19"/>
    </row>
    <row r="47" spans="1:7" x14ac:dyDescent="0.25">
      <c r="B47" s="19" t="s">
        <v>186</v>
      </c>
      <c r="C47" s="33"/>
      <c r="D47" s="49"/>
    </row>
    <row r="48" spans="1:7" ht="65.099999999999994" customHeight="1" x14ac:dyDescent="0.25">
      <c r="B48" s="19" t="s">
        <v>187</v>
      </c>
      <c r="C48" s="128"/>
      <c r="D48" s="128"/>
      <c r="E48" s="128"/>
      <c r="F48" s="128"/>
      <c r="G48" s="128"/>
    </row>
    <row r="49" spans="1:7" x14ac:dyDescent="0.25">
      <c r="A49" s="13"/>
      <c r="B49" s="13"/>
      <c r="C49" s="13"/>
      <c r="D49" s="13"/>
      <c r="E49" s="13"/>
      <c r="F49" s="13"/>
    </row>
    <row r="50" spans="1:7" ht="15.75" x14ac:dyDescent="0.25">
      <c r="A50" s="13"/>
      <c r="B50" s="14" t="s">
        <v>188</v>
      </c>
      <c r="C50" s="13"/>
      <c r="D50" s="13"/>
      <c r="E50" s="13"/>
      <c r="F50" s="13"/>
    </row>
    <row r="51" spans="1:7" x14ac:dyDescent="0.25">
      <c r="A51" s="13"/>
      <c r="B51" s="38" t="s">
        <v>189</v>
      </c>
      <c r="C51" s="13"/>
      <c r="D51" s="13"/>
      <c r="E51" s="13"/>
      <c r="F51" s="13"/>
    </row>
    <row r="52" spans="1:7" ht="8.4499999999999993" customHeight="1" x14ac:dyDescent="0.25">
      <c r="A52" s="13"/>
      <c r="B52" s="38"/>
      <c r="C52" s="13"/>
      <c r="D52" s="13"/>
      <c r="E52" s="13"/>
      <c r="F52" s="13"/>
    </row>
    <row r="53" spans="1:7" x14ac:dyDescent="0.25">
      <c r="A53" s="13"/>
      <c r="B53" s="19" t="s">
        <v>190</v>
      </c>
      <c r="C53" s="30"/>
      <c r="D53" s="50"/>
      <c r="F53" s="26" t="s">
        <v>95</v>
      </c>
      <c r="G53" s="79"/>
    </row>
    <row r="54" spans="1:7" ht="65.099999999999994" customHeight="1" x14ac:dyDescent="0.25">
      <c r="A54" s="13"/>
      <c r="B54" s="19" t="s">
        <v>191</v>
      </c>
      <c r="C54" s="129"/>
      <c r="D54" s="129"/>
      <c r="E54" s="129"/>
      <c r="F54" s="129"/>
      <c r="G54" s="129"/>
    </row>
    <row r="55" spans="1:7" ht="8.4499999999999993" customHeight="1" x14ac:dyDescent="0.25"/>
    <row r="56" spans="1:7" ht="45" x14ac:dyDescent="0.25">
      <c r="A56" s="13"/>
      <c r="B56" s="19" t="s">
        <v>192</v>
      </c>
      <c r="C56" s="80"/>
      <c r="D56" s="49"/>
    </row>
    <row r="57" spans="1:7" ht="65.099999999999994" customHeight="1" x14ac:dyDescent="0.25">
      <c r="A57" s="13"/>
      <c r="B57" s="19" t="s">
        <v>193</v>
      </c>
      <c r="C57" s="125"/>
      <c r="D57" s="126"/>
      <c r="E57" s="126"/>
      <c r="F57" s="126"/>
      <c r="G57" s="127"/>
    </row>
    <row r="58" spans="1:7" x14ac:dyDescent="0.25"/>
    <row r="59" spans="1:7" ht="15.75" x14ac:dyDescent="0.25">
      <c r="B59" s="14" t="s">
        <v>194</v>
      </c>
      <c r="C59" s="13"/>
    </row>
    <row r="60" spans="1:7" x14ac:dyDescent="0.25">
      <c r="B60" s="38" t="s">
        <v>189</v>
      </c>
      <c r="C60" s="13"/>
    </row>
    <row r="61" spans="1:7" ht="8.4499999999999993" customHeight="1" x14ac:dyDescent="0.25">
      <c r="B61" s="38"/>
      <c r="C61" s="13"/>
    </row>
    <row r="62" spans="1:7" ht="45" x14ac:dyDescent="0.25">
      <c r="B62" s="19" t="s">
        <v>195</v>
      </c>
      <c r="C62" s="33"/>
    </row>
    <row r="63" spans="1:7" ht="30" x14ac:dyDescent="0.25">
      <c r="B63" s="19" t="s">
        <v>196</v>
      </c>
      <c r="C63" s="33"/>
      <c r="D63" s="49"/>
    </row>
    <row r="64" spans="1:7" x14ac:dyDescent="0.25">
      <c r="B64" s="19" t="s">
        <v>197</v>
      </c>
      <c r="C64" s="33"/>
      <c r="D64" s="49"/>
      <c r="F64" s="13" t="s">
        <v>95</v>
      </c>
      <c r="G64" s="52"/>
    </row>
    <row r="65" spans="1:7" ht="65.099999999999994" customHeight="1" x14ac:dyDescent="0.25">
      <c r="A65" s="13"/>
      <c r="B65" s="19" t="s">
        <v>198</v>
      </c>
      <c r="C65" s="128"/>
      <c r="D65" s="128"/>
      <c r="E65" s="128"/>
      <c r="F65" s="128"/>
      <c r="G65" s="128"/>
    </row>
    <row r="66" spans="1:7" ht="45" x14ac:dyDescent="0.25">
      <c r="B66" s="19" t="s">
        <v>199</v>
      </c>
      <c r="C66" s="33"/>
    </row>
    <row r="67" spans="1:7" ht="65.099999999999994" customHeight="1" x14ac:dyDescent="0.25">
      <c r="B67" s="19" t="s">
        <v>200</v>
      </c>
      <c r="C67" s="125"/>
      <c r="D67" s="126"/>
      <c r="E67" s="126"/>
      <c r="F67" s="126"/>
      <c r="G67" s="127"/>
    </row>
    <row r="68" spans="1:7" x14ac:dyDescent="0.25">
      <c r="B68" s="19"/>
    </row>
    <row r="69" spans="1:7" x14ac:dyDescent="0.25"/>
  </sheetData>
  <sheetProtection algorithmName="SHA-256" hashValue="6SKewSzYHgVLlI0xkf1ydNa7r+bT1GnSVSCLxiMlJQU=" saltValue="wV6B04KTqyjPoVQmmTd0Cw==" spinCount="100000" sheet="1" selectLockedCells="1"/>
  <mergeCells count="10">
    <mergeCell ref="B25:G25"/>
    <mergeCell ref="C67:G67"/>
    <mergeCell ref="C42:G42"/>
    <mergeCell ref="C45:G45"/>
    <mergeCell ref="C48:G48"/>
    <mergeCell ref="C34:G34"/>
    <mergeCell ref="C54:G54"/>
    <mergeCell ref="C57:G57"/>
    <mergeCell ref="C36:G36"/>
    <mergeCell ref="C65:G65"/>
  </mergeCells>
  <conditionalFormatting sqref="C31">
    <cfRule type="containsText" dxfId="83" priority="12" operator="containsText" text="Yes">
      <formula>NOT(ISERROR(SEARCH("Yes",C31)))</formula>
    </cfRule>
    <cfRule type="containsText" dxfId="82" priority="13" operator="containsText" text="No">
      <formula>NOT(ISERROR(SEARCH("No",C31)))</formula>
    </cfRule>
  </conditionalFormatting>
  <conditionalFormatting sqref="C32:C34">
    <cfRule type="expression" dxfId="81" priority="8">
      <formula>$C$31="Yes"</formula>
    </cfRule>
  </conditionalFormatting>
  <conditionalFormatting sqref="C34">
    <cfRule type="expression" dxfId="80" priority="9">
      <formula>$C$33="No"</formula>
    </cfRule>
  </conditionalFormatting>
  <conditionalFormatting sqref="C57">
    <cfRule type="expression" dxfId="79" priority="5">
      <formula>$C56="Yes"</formula>
    </cfRule>
  </conditionalFormatting>
  <conditionalFormatting sqref="C63:C65">
    <cfRule type="expression" dxfId="78" priority="4">
      <formula>$C$62="No"</formula>
    </cfRule>
  </conditionalFormatting>
  <conditionalFormatting sqref="C67">
    <cfRule type="expression" dxfId="77" priority="7">
      <formula>$C66="No"</formula>
    </cfRule>
  </conditionalFormatting>
  <conditionalFormatting sqref="F14:F16 F20:F22">
    <cfRule type="cellIs" dxfId="75" priority="17" stopIfTrue="1" operator="greaterThan">
      <formula>1</formula>
    </cfRule>
    <cfRule type="cellIs" dxfId="74" priority="18" operator="lessThan">
      <formula>$G14</formula>
    </cfRule>
    <cfRule type="cellIs" dxfId="73" priority="19" operator="greaterThanOrEqual">
      <formula>$G14</formula>
    </cfRule>
  </conditionalFormatting>
  <conditionalFormatting sqref="F20:F22 F14:F16">
    <cfRule type="containsText" dxfId="72" priority="16" stopIfTrue="1" operator="containsText" text="Input data">
      <formula>NOT(ISERROR(SEARCH("Input data",F14)))</formula>
    </cfRule>
  </conditionalFormatting>
  <conditionalFormatting sqref="F32:G32">
    <cfRule type="expression" dxfId="69" priority="11">
      <formula>$C32&lt;&gt;"Other (please specify)"</formula>
    </cfRule>
  </conditionalFormatting>
  <conditionalFormatting sqref="F53:G53">
    <cfRule type="expression" dxfId="68" priority="10">
      <formula>$C53&lt;&gt;"Other (please specify)"</formula>
    </cfRule>
  </conditionalFormatting>
  <conditionalFormatting sqref="F64:G64">
    <cfRule type="expression" dxfId="67" priority="3">
      <formula>$C64&lt;&gt;"Other (please specify)"</formula>
    </cfRule>
  </conditionalFormatting>
  <dataValidations count="11">
    <dataValidation type="list" allowBlank="1" showInputMessage="1" showErrorMessage="1" sqref="C9" xr:uid="{37FAC213-AE05-4293-AE42-A52F1A291BB8}">
      <formula1>Years</formula1>
    </dataValidation>
    <dataValidation type="whole" allowBlank="1" showInputMessage="1" showErrorMessage="1" sqref="C10" xr:uid="{128DBC7D-0812-45C3-824C-8030DEBF79BA}">
      <formula1>1</formula1>
      <formula2>4</formula2>
    </dataValidation>
    <dataValidation type="list" allowBlank="1" showInputMessage="1" showErrorMessage="1" sqref="C33 C56 C66 C62 B26" xr:uid="{CC168A1D-9F56-459F-98DE-2236045BB8C9}">
      <formula1>Boolean</formula1>
    </dataValidation>
    <dataValidation type="list" allowBlank="1" showInputMessage="1" showErrorMessage="1" sqref="C32" xr:uid="{D18D848F-4D85-450B-A50B-453E8481CEDD}">
      <formula1>Targets</formula1>
    </dataValidation>
    <dataValidation type="list" allowBlank="1" showInputMessage="1" showErrorMessage="1" sqref="C53" xr:uid="{1E9DE7AF-16B4-4531-85F3-7D682FE267ED}">
      <formula1>Outcome</formula1>
    </dataValidation>
    <dataValidation type="list" allowBlank="1" showInputMessage="1" showErrorMessage="1" sqref="C41 C44 C47" xr:uid="{7256D6EB-D73A-4C43-92D2-892986CA263D}">
      <formula1>Assessment</formula1>
    </dataValidation>
    <dataValidation type="list" allowBlank="1" showInputMessage="1" showErrorMessage="1" sqref="C63" xr:uid="{60889AA3-A660-4E75-926C-4065E87FC976}">
      <formula1>Stream</formula1>
    </dataValidation>
    <dataValidation allowBlank="1" showInputMessage="1" showErrorMessage="1" promptTitle="Guidance" prompt="Include both actions and planned timeframes._x000a__x000a_Answers can be simple dot points." sqref="C34:G34 C67:G67 C57:G57" xr:uid="{68EA980D-22A2-4475-B9E2-DE9EACAF1AA4}"/>
    <dataValidation allowBlank="1" showInputMessage="1" showErrorMessage="1" promptTitle="Guidance" prompt="Include any additional details relevant to this quarterly report._x000a__x000a_Answers can be simple dot points." sqref="C36:G36" xr:uid="{77BC03FF-F009-4C4D-AC5F-169D4A8B6664}"/>
    <dataValidation allowBlank="1" showInputMessage="1" showErrorMessage="1" promptTitle="Guidance" prompt="Notes to support your assessment of the Supplier's performance for this quarter with regards to the Gurantee." sqref="C54:G54" xr:uid="{5867826F-F65D-4A3F-A3E5-8146679E933E}"/>
    <dataValidation type="list" allowBlank="1" showInputMessage="1" showErrorMessage="1" sqref="C64" xr:uid="{B71A599E-DFE0-40C3-8FDA-CD1F88C6B777}">
      <formula1>Actions</formula1>
    </dataValidation>
  </dataValidations>
  <pageMargins left="0.7" right="0.7" top="0.75" bottom="0.75" header="0.3" footer="0.3"/>
  <pageSetup paperSize="9" scale="69" orientation="portrait" r:id="rId1"/>
  <extLst>
    <ext xmlns:x14="http://schemas.microsoft.com/office/spreadsheetml/2009/9/main" uri="{78C0D931-6437-407d-A8EE-F0AAD7539E65}">
      <x14:conditionalFormattings>
        <x14:conditionalFormatting xmlns:xm="http://schemas.microsoft.com/office/excel/2006/main">
          <x14:cfRule type="expression" priority="1" stopIfTrue="1" id="{221F1061-1151-4503-BF3F-1A66488F592E}">
            <xm:f>$C$8='List values'!$B$3</xm:f>
            <x14:dxf>
              <fill>
                <patternFill patternType="lightUp">
                  <fgColor theme="0"/>
                  <bgColor theme="0" tint="-0.14993743705557422"/>
                </patternFill>
              </fill>
            </x14:dxf>
          </x14:cfRule>
          <xm:sqref>C16:D16</xm:sqref>
        </x14:conditionalFormatting>
        <x14:conditionalFormatting xmlns:xm="http://schemas.microsoft.com/office/excel/2006/main">
          <x14:cfRule type="expression" priority="15" stopIfTrue="1" id="{B5B5734D-2B38-4F50-BBA5-CBC76026B34B}">
            <xm:f>$C$8='List values'!$B$3</xm:f>
            <x14:dxf>
              <fill>
                <patternFill patternType="lightUp">
                  <fgColor theme="0"/>
                  <bgColor theme="0" tint="-0.14993743705557422"/>
                </patternFill>
              </fill>
            </x14:dxf>
          </x14:cfRule>
          <xm:sqref>F22 C22:D24</xm:sqref>
        </x14:conditionalFormatting>
        <x14:conditionalFormatting xmlns:xm="http://schemas.microsoft.com/office/excel/2006/main">
          <x14:cfRule type="expression" priority="2" stopIfTrue="1" id="{A1FB8C11-34BA-4CA9-9122-1F3C55578EFA}">
            <xm:f>$C$8='List values'!$B$3</xm:f>
            <x14:dxf>
              <fill>
                <patternFill patternType="lightUp">
                  <fgColor theme="0"/>
                  <bgColor theme="0" tint="-0.14993743705557422"/>
                </patternFill>
              </fill>
            </x14:dxf>
          </x14:cfRule>
          <xm:sqref>F16:G16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3B05E-0F6F-4A83-85B9-F1B6B161C7B7}">
  <sheetPr>
    <tabColor theme="7"/>
  </sheetPr>
  <dimension ref="A1:I70"/>
  <sheetViews>
    <sheetView showGridLines="0" zoomScale="110" zoomScaleNormal="110" workbookViewId="0">
      <pane ySplit="5" topLeftCell="A25" activePane="bottomLeft" state="frozen"/>
      <selection pane="bottomLeft" activeCell="C36" sqref="C36:G36"/>
    </sheetView>
  </sheetViews>
  <sheetFormatPr defaultColWidth="0" defaultRowHeight="15" zeroHeight="1" x14ac:dyDescent="0.25"/>
  <cols>
    <col min="1" max="1" width="4.5703125" customWidth="1"/>
    <col min="2" max="2" width="28" customWidth="1"/>
    <col min="3" max="4" width="20.5703125" customWidth="1"/>
    <col min="5" max="5" width="2.42578125" customWidth="1"/>
    <col min="6" max="7" width="20.5703125" customWidth="1"/>
    <col min="8" max="8" width="8.5703125" customWidth="1"/>
    <col min="9" max="9" width="0" hidden="1" customWidth="1"/>
    <col min="10" max="16384" width="9.140625" hidden="1"/>
  </cols>
  <sheetData>
    <row r="1" spans="1:8" x14ac:dyDescent="0.25"/>
    <row r="2" spans="1:8" ht="26.25" x14ac:dyDescent="0.25">
      <c r="A2" s="7"/>
      <c r="B2" s="5" t="s">
        <v>0</v>
      </c>
      <c r="C2" s="8"/>
      <c r="D2" s="8"/>
      <c r="E2" s="8"/>
      <c r="F2" s="8"/>
      <c r="G2" s="8"/>
      <c r="H2" s="8"/>
    </row>
    <row r="3" spans="1:8" ht="21" x14ac:dyDescent="0.25">
      <c r="A3" s="9"/>
      <c r="B3" s="6" t="s">
        <v>158</v>
      </c>
      <c r="C3" s="10"/>
      <c r="D3" s="10"/>
      <c r="E3" s="10"/>
      <c r="F3" s="10"/>
      <c r="G3" s="10"/>
      <c r="H3" s="10"/>
    </row>
    <row r="4" spans="1:8" ht="15.75" x14ac:dyDescent="0.25">
      <c r="A4" s="11"/>
      <c r="B4" s="12" t="s">
        <v>159</v>
      </c>
      <c r="C4" s="11"/>
      <c r="D4" s="11"/>
      <c r="E4" s="11"/>
      <c r="F4" s="11"/>
      <c r="G4" s="11"/>
      <c r="H4" s="11"/>
    </row>
    <row r="5" spans="1:8" ht="15.75" x14ac:dyDescent="0.25">
      <c r="A5" s="11"/>
      <c r="B5" s="12" t="s">
        <v>160</v>
      </c>
      <c r="C5" s="11"/>
      <c r="D5" s="11"/>
      <c r="E5" s="11"/>
      <c r="F5" s="11"/>
      <c r="G5" s="11"/>
      <c r="H5" s="11"/>
    </row>
    <row r="6" spans="1:8" x14ac:dyDescent="0.25">
      <c r="A6" s="13"/>
      <c r="B6" s="13"/>
      <c r="C6" s="13"/>
      <c r="D6" s="13"/>
      <c r="E6" s="13"/>
      <c r="F6" s="13"/>
    </row>
    <row r="7" spans="1:8" x14ac:dyDescent="0.25">
      <c r="A7" s="13"/>
      <c r="B7" s="13" t="s">
        <v>161</v>
      </c>
      <c r="C7" s="32">
        <f>'Project details'!C7</f>
        <v>0</v>
      </c>
      <c r="D7" s="13"/>
      <c r="E7" s="13"/>
      <c r="F7" s="13"/>
    </row>
    <row r="8" spans="1:8" x14ac:dyDescent="0.25">
      <c r="A8" s="13"/>
      <c r="B8" s="13" t="s">
        <v>56</v>
      </c>
      <c r="C8" s="32">
        <f>'Project details'!C8</f>
        <v>0</v>
      </c>
      <c r="D8" s="13"/>
      <c r="E8" s="13"/>
      <c r="F8" s="13"/>
    </row>
    <row r="9" spans="1:8" x14ac:dyDescent="0.25">
      <c r="A9" s="13"/>
      <c r="B9" s="13" t="s">
        <v>162</v>
      </c>
      <c r="C9" s="29">
        <v>2025</v>
      </c>
      <c r="D9" s="13"/>
      <c r="E9" s="13"/>
      <c r="F9" s="13"/>
    </row>
    <row r="10" spans="1:8" x14ac:dyDescent="0.25">
      <c r="A10" s="13"/>
      <c r="B10" s="13" t="s">
        <v>142</v>
      </c>
      <c r="C10" s="37">
        <v>2</v>
      </c>
      <c r="D10" s="13"/>
      <c r="E10" s="13"/>
      <c r="F10" s="13"/>
    </row>
    <row r="11" spans="1:8" x14ac:dyDescent="0.25">
      <c r="A11" s="13"/>
      <c r="B11" s="13"/>
      <c r="C11" s="13"/>
      <c r="D11" s="13"/>
      <c r="E11" s="13"/>
      <c r="F11" s="13"/>
    </row>
    <row r="12" spans="1:8" ht="15.75" x14ac:dyDescent="0.25">
      <c r="A12" s="13"/>
      <c r="B12" s="14" t="s">
        <v>163</v>
      </c>
      <c r="D12" s="13"/>
      <c r="E12" s="13"/>
      <c r="F12" s="13"/>
    </row>
    <row r="13" spans="1:8" ht="15.75" x14ac:dyDescent="0.25">
      <c r="A13" s="13"/>
      <c r="B13" s="14"/>
      <c r="C13" s="28" t="s">
        <v>164</v>
      </c>
      <c r="D13" s="28" t="s">
        <v>165</v>
      </c>
      <c r="E13" s="28"/>
      <c r="F13" s="28" t="s">
        <v>166</v>
      </c>
      <c r="G13" s="28" t="s">
        <v>167</v>
      </c>
    </row>
    <row r="14" spans="1:8" x14ac:dyDescent="0.25">
      <c r="A14" s="13"/>
      <c r="B14" s="13" t="s">
        <v>168</v>
      </c>
      <c r="C14" s="77">
        <f>SUMIFS('Participant reporting'!K:K,'Participant reporting'!A:A,'Quarter 2 report'!$C$9,'Participant reporting'!B:B,'Quarter 2 report'!$C$10)+SUMIFS('Participant reporting'!L:L,'Participant reporting'!A:A,'Quarter 2 report'!$C$9,'Participant reporting'!B:B,'Quarter 2 report'!$C$10)</f>
        <v>0</v>
      </c>
      <c r="D14" s="77">
        <f>IFERROR(VLOOKUP(_xlfn.CONCAT(C9," ",B10," ",C10),Estimates!$D$9:$H$48,5,FALSE),)</f>
        <v>0</v>
      </c>
      <c r="F14" s="41" t="str">
        <f>IFERROR(C14/D14,"Input data")</f>
        <v>Input data</v>
      </c>
      <c r="G14" s="36">
        <f>IFERROR(VLOOKUP($C$9,'Project details'!$E$16:$J$25,4,FALSE),"Select Year")</f>
        <v>0.1</v>
      </c>
    </row>
    <row r="15" spans="1:8" x14ac:dyDescent="0.25">
      <c r="A15" s="13"/>
      <c r="B15" s="13" t="s">
        <v>169</v>
      </c>
      <c r="C15" s="77">
        <f>SUMIFS('Participant reporting'!K:K,'Participant reporting'!A:A,'Quarter 2 report'!$C$9,'Participant reporting'!B:B,'Quarter 2 report'!$C$10,'Participant reporting'!I:I,"Female")+SUMIFS('Participant reporting'!L:L,'Participant reporting'!A:A,'Quarter 2 report'!$C$9,'Participant reporting'!B:B,'Quarter 2 report'!$C$10,'Participant reporting'!I:I,"Female")</f>
        <v>0</v>
      </c>
      <c r="D15" s="77">
        <f>C14</f>
        <v>0</v>
      </c>
      <c r="F15" s="41" t="str">
        <f t="shared" ref="F15" si="0">IFERROR(C15/D15,"Input data")</f>
        <v>Input data</v>
      </c>
      <c r="G15" s="36">
        <f>IFERROR(VLOOKUP($C$9,'Project details'!$E$16:$J$25,5,FALSE),"Select Year")</f>
        <v>0.06</v>
      </c>
    </row>
    <row r="16" spans="1:8" x14ac:dyDescent="0.25">
      <c r="A16" s="13"/>
      <c r="B16" s="13" t="s">
        <v>69</v>
      </c>
      <c r="C16" s="77">
        <f>IF(C8='List values'!B3,"-",SUMIFS('Participant reporting'!K:K,'Participant reporting'!A:A,'Quarter 2 report'!$C$9,'Participant reporting'!B:B,'Quarter 2 report'!$C$10,'Participant reporting'!I:I,"Female",'Participant reporting'!J:J,"Yes")+SUMIFS('Participant reporting'!L:L,'Participant reporting'!A:A,'Quarter 2 report'!$C$9,'Participant reporting'!B:B,'Quarter 2 report'!$C$10,'Participant reporting'!I:I,"Female",'Participant reporting'!J:J,"Yes"))</f>
        <v>0</v>
      </c>
      <c r="D16" s="77">
        <f>IF(C8='List values'!B3,"-",SUMIFS('Participant reporting'!K:K,'Participant reporting'!A:A,$C$9,'Participant reporting'!B:B,$C$10,'Participant reporting'!J:J,"Yes")+SUMIFS('Participant reporting'!L:L,'Participant reporting'!A:A,$C$9,'Participant reporting'!B:B,$C$10,'Participant reporting'!J:J,"Yes"))</f>
        <v>0</v>
      </c>
      <c r="F16" s="41" t="str">
        <f>IF(C8='List values'!B3,"-",IFERROR(C16/D16,"Input data"))</f>
        <v>Input data</v>
      </c>
      <c r="G16" s="36">
        <f>IFERROR(IF(C8='List values'!B3,"-",VLOOKUP($C$9,'Project details'!$E$16:$J$25,6,FALSE)),"Select Year")</f>
        <v>0.04</v>
      </c>
    </row>
    <row r="17" spans="1:7" x14ac:dyDescent="0.25">
      <c r="A17" s="13"/>
      <c r="B17" s="13"/>
      <c r="C17" s="13"/>
      <c r="D17" s="13"/>
      <c r="E17" s="13"/>
      <c r="F17" s="13"/>
    </row>
    <row r="18" spans="1:7" ht="15.75" x14ac:dyDescent="0.25">
      <c r="A18" s="13"/>
      <c r="B18" s="14" t="s">
        <v>170</v>
      </c>
      <c r="D18" s="13"/>
      <c r="E18" s="13"/>
      <c r="F18" s="13"/>
    </row>
    <row r="19" spans="1:7" ht="15.75" x14ac:dyDescent="0.25">
      <c r="A19" s="13"/>
      <c r="B19" s="14"/>
      <c r="C19" s="28" t="s">
        <v>164</v>
      </c>
      <c r="D19" s="28" t="s">
        <v>165</v>
      </c>
      <c r="E19" s="28"/>
      <c r="F19" s="28" t="s">
        <v>166</v>
      </c>
    </row>
    <row r="20" spans="1:7" x14ac:dyDescent="0.25">
      <c r="A20" s="13"/>
      <c r="B20" s="13" t="s">
        <v>171</v>
      </c>
      <c r="C20" s="77">
        <f>SUMIFS('Participant reporting'!K:K,'Participant reporting'!A:A,"&lt;="&amp;'Quarter 2 report'!$C$9,'Participant reporting'!B:B,"&lt;="&amp;'Quarter 2 report'!$C$10)+SUMIFS('Participant reporting'!L:L,'Participant reporting'!A:A,"&lt;="&amp;'Quarter 2 report'!$C$9,'Participant reporting'!B:B,"&lt;="&amp;'Quarter 2 report'!$C$10)</f>
        <v>0</v>
      </c>
      <c r="D20" s="77">
        <f>SUMIFS(Estimates!$H$9:$H$49,Estimates!$B$9:$B$49,"&lt;="&amp;$C$9,Estimates!$C$9:$C$49,"&lt;="&amp;$C$10)</f>
        <v>0</v>
      </c>
      <c r="F20" s="41" t="str">
        <f>IFERROR(C20/D20,"Input data")</f>
        <v>Input data</v>
      </c>
    </row>
    <row r="21" spans="1:7" x14ac:dyDescent="0.25">
      <c r="A21" s="13"/>
      <c r="B21" s="13" t="s">
        <v>169</v>
      </c>
      <c r="C21" s="77">
        <f>SUMIFS('Participant reporting'!K:K,'Participant reporting'!A:A,"&lt;="&amp;'Quarter 2 report'!$C$9,'Participant reporting'!B:B,"&lt;="&amp;'Quarter 2 report'!$C$10,'Participant reporting'!I:I,"Female")+SUMIFS('Participant reporting'!L:L,'Participant reporting'!A:A,"&lt;="&amp;'Quarter 2 report'!$C$9,'Participant reporting'!B:B,"&lt;="&amp;'Quarter 2 report'!$C$10,'Participant reporting'!I:I,"Female")</f>
        <v>0</v>
      </c>
      <c r="D21" s="77">
        <f>C20</f>
        <v>0</v>
      </c>
      <c r="F21" s="41" t="str">
        <f t="shared" ref="F21" si="1">IFERROR(C21/D21,"Input data")</f>
        <v>Input data</v>
      </c>
    </row>
    <row r="22" spans="1:7" x14ac:dyDescent="0.25">
      <c r="A22" s="13"/>
      <c r="B22" s="13" t="s">
        <v>69</v>
      </c>
      <c r="C22" s="77">
        <f>IF(C8='List values'!B3,"-",SUMIFS('Participant reporting'!K:K,'Participant reporting'!A:A,"&lt;="&amp;'Quarter 2 report'!$C$9,'Participant reporting'!B:B,"&lt;="&amp;'Quarter 2 report'!$C$10,'Participant reporting'!I:I,"Female",'Participant reporting'!J:J,"Yes")+SUMIFS('Participant reporting'!L:L,'Participant reporting'!A:A,"&lt;="&amp;'Quarter 2 report'!$C$9,'Participant reporting'!B:B,"&lt;="&amp;'Quarter 2 report'!$C$10,'Participant reporting'!I:I,"Female",'Participant reporting'!J:J,"Yes"))</f>
        <v>0</v>
      </c>
      <c r="D22" s="77">
        <f>IF(C8='List values'!B3,"-",SUMIFS('Participant reporting'!K:K,'Participant reporting'!A:A,"&lt;="&amp;'Quarter 2 report'!$C$9,'Participant reporting'!B:B,"&lt;="&amp;'Quarter 2 report'!$C$10,'Participant reporting'!J:J,"Yes")+SUMIFS('Participant reporting'!L:L,'Participant reporting'!A:A,"&lt;="&amp;'Quarter 2 report'!$C$9,'Participant reporting'!B:B,"&lt;="&amp;'Quarter 2 report'!$C$10,'Participant reporting'!J:J,"Yes"))</f>
        <v>0</v>
      </c>
      <c r="F22" s="41" t="str">
        <f>IF(C8='List values'!B3,"-",IFERROR(C22/D22,"Input data"))</f>
        <v>Input data</v>
      </c>
    </row>
    <row r="23" spans="1:7" ht="15.75" thickBot="1" x14ac:dyDescent="0.3">
      <c r="A23" s="13"/>
      <c r="B23" s="13"/>
      <c r="D23" s="13"/>
      <c r="E23" s="13"/>
      <c r="F23" s="13"/>
    </row>
    <row r="24" spans="1:7" ht="15.75" x14ac:dyDescent="0.25">
      <c r="A24" s="13"/>
      <c r="B24" s="103" t="s">
        <v>172</v>
      </c>
      <c r="C24" s="104"/>
      <c r="D24" s="104"/>
      <c r="E24" s="105"/>
      <c r="F24" s="106"/>
      <c r="G24" s="107"/>
    </row>
    <row r="25" spans="1:7" ht="36.950000000000003" customHeight="1" x14ac:dyDescent="0.25">
      <c r="A25" s="13"/>
      <c r="B25" s="122" t="s">
        <v>173</v>
      </c>
      <c r="C25" s="123"/>
      <c r="D25" s="123"/>
      <c r="E25" s="123"/>
      <c r="F25" s="123"/>
      <c r="G25" s="124"/>
    </row>
    <row r="26" spans="1:7" ht="15.75" thickBot="1" x14ac:dyDescent="0.3">
      <c r="A26" s="13"/>
      <c r="B26" s="110"/>
      <c r="C26" s="108"/>
      <c r="D26" s="108"/>
      <c r="E26" s="108"/>
      <c r="F26" s="108"/>
      <c r="G26" s="109"/>
    </row>
    <row r="27" spans="1:7" x14ac:dyDescent="0.25">
      <c r="A27" s="13"/>
      <c r="B27" s="13"/>
      <c r="D27" s="13"/>
      <c r="E27" s="13"/>
      <c r="F27" s="13"/>
    </row>
    <row r="28" spans="1:7" ht="15.75" x14ac:dyDescent="0.25">
      <c r="A28" s="13"/>
      <c r="B28" s="14" t="s">
        <v>174</v>
      </c>
      <c r="C28" s="13"/>
      <c r="D28" s="13"/>
      <c r="E28" s="13"/>
      <c r="F28" s="13"/>
    </row>
    <row r="29" spans="1:7" x14ac:dyDescent="0.25">
      <c r="A29" s="13"/>
      <c r="B29" s="38" t="s">
        <v>175</v>
      </c>
      <c r="C29" s="13"/>
      <c r="D29" s="13"/>
      <c r="E29" s="13"/>
      <c r="F29" s="13"/>
    </row>
    <row r="30" spans="1:7" ht="8.4499999999999993" customHeight="1" x14ac:dyDescent="0.25">
      <c r="A30" s="13"/>
      <c r="B30" s="38"/>
      <c r="C30" s="13"/>
      <c r="D30" s="13"/>
      <c r="E30" s="13"/>
      <c r="F30" s="13"/>
    </row>
    <row r="31" spans="1:7" x14ac:dyDescent="0.25">
      <c r="A31" s="13"/>
      <c r="B31" t="s">
        <v>176</v>
      </c>
      <c r="C31" s="27" t="str">
        <f>IF(AND(ISNUMBER(F14),ISNUMBER(F15),ISNUMBER(F16)),IF(AND(F14&gt;=G14,F15&gt;=G15,F16&gt;=G16),"Yes","No"),"Input data")</f>
        <v>Input data</v>
      </c>
      <c r="D31" s="13"/>
      <c r="E31" s="13"/>
      <c r="F31" s="13"/>
    </row>
    <row r="32" spans="1:7" x14ac:dyDescent="0.25">
      <c r="A32" s="13"/>
      <c r="B32" s="13" t="s">
        <v>177</v>
      </c>
      <c r="C32" s="30"/>
      <c r="D32" s="38"/>
      <c r="E32" s="13"/>
      <c r="F32" s="26" t="s">
        <v>95</v>
      </c>
      <c r="G32" s="79"/>
    </row>
    <row r="33" spans="1:7" ht="30" x14ac:dyDescent="0.25">
      <c r="A33" s="13"/>
      <c r="B33" s="19" t="s">
        <v>178</v>
      </c>
      <c r="C33" s="80"/>
      <c r="D33" s="38"/>
      <c r="E33" s="13"/>
      <c r="F33" s="13"/>
    </row>
    <row r="34" spans="1:7" ht="65.099999999999994" customHeight="1" x14ac:dyDescent="0.25">
      <c r="A34" s="13"/>
      <c r="B34" s="19" t="s">
        <v>179</v>
      </c>
      <c r="C34" s="125"/>
      <c r="D34" s="126"/>
      <c r="E34" s="126"/>
      <c r="F34" s="126"/>
      <c r="G34" s="127"/>
    </row>
    <row r="35" spans="1:7" ht="8.4499999999999993" customHeight="1" x14ac:dyDescent="0.25"/>
    <row r="36" spans="1:7" ht="65.099999999999994" customHeight="1" x14ac:dyDescent="0.25">
      <c r="A36" s="13"/>
      <c r="B36" s="13" t="s">
        <v>180</v>
      </c>
      <c r="C36" s="130"/>
      <c r="D36" s="129"/>
      <c r="E36" s="129"/>
      <c r="F36" s="129"/>
      <c r="G36" s="129"/>
    </row>
    <row r="37" spans="1:7" x14ac:dyDescent="0.25">
      <c r="A37" s="13"/>
      <c r="B37" s="13"/>
      <c r="C37" s="13"/>
      <c r="D37" s="13"/>
      <c r="E37" s="13"/>
      <c r="F37" s="13"/>
    </row>
    <row r="38" spans="1:7" ht="15.75" x14ac:dyDescent="0.25">
      <c r="B38" s="14" t="s">
        <v>181</v>
      </c>
    </row>
    <row r="39" spans="1:7" x14ac:dyDescent="0.25">
      <c r="B39" s="38" t="s">
        <v>175</v>
      </c>
    </row>
    <row r="40" spans="1:7" ht="8.4499999999999993" customHeight="1" x14ac:dyDescent="0.25">
      <c r="B40" s="38"/>
    </row>
    <row r="41" spans="1:7" x14ac:dyDescent="0.25">
      <c r="B41" s="19" t="s">
        <v>182</v>
      </c>
      <c r="C41" s="81"/>
      <c r="D41" s="49"/>
    </row>
    <row r="42" spans="1:7" ht="65.099999999999994" customHeight="1" x14ac:dyDescent="0.25">
      <c r="B42" s="19" t="s">
        <v>183</v>
      </c>
      <c r="C42" s="128"/>
      <c r="D42" s="128"/>
      <c r="E42" s="128"/>
      <c r="F42" s="128"/>
      <c r="G42" s="128"/>
    </row>
    <row r="43" spans="1:7" ht="8.4499999999999993" customHeight="1" x14ac:dyDescent="0.25">
      <c r="B43" s="19"/>
    </row>
    <row r="44" spans="1:7" x14ac:dyDescent="0.25">
      <c r="B44" s="19" t="s">
        <v>184</v>
      </c>
      <c r="C44" s="33"/>
      <c r="D44" s="49"/>
    </row>
    <row r="45" spans="1:7" ht="65.099999999999994" customHeight="1" x14ac:dyDescent="0.25">
      <c r="B45" s="19" t="s">
        <v>185</v>
      </c>
      <c r="C45" s="128"/>
      <c r="D45" s="128"/>
      <c r="E45" s="128"/>
      <c r="F45" s="128"/>
      <c r="G45" s="128"/>
    </row>
    <row r="46" spans="1:7" ht="8.4499999999999993" customHeight="1" x14ac:dyDescent="0.25">
      <c r="B46" s="19"/>
    </row>
    <row r="47" spans="1:7" x14ac:dyDescent="0.25">
      <c r="B47" s="19" t="s">
        <v>186</v>
      </c>
      <c r="C47" s="33"/>
      <c r="D47" s="49"/>
    </row>
    <row r="48" spans="1:7" ht="65.099999999999994" customHeight="1" x14ac:dyDescent="0.25">
      <c r="B48" s="19" t="s">
        <v>187</v>
      </c>
      <c r="C48" s="128"/>
      <c r="D48" s="128"/>
      <c r="E48" s="128"/>
      <c r="F48" s="128"/>
      <c r="G48" s="128"/>
    </row>
    <row r="49" spans="1:7" x14ac:dyDescent="0.25">
      <c r="A49" s="13"/>
      <c r="B49" s="13"/>
      <c r="C49" s="13"/>
      <c r="D49" s="13"/>
      <c r="E49" s="13"/>
      <c r="F49" s="13"/>
    </row>
    <row r="50" spans="1:7" ht="15.75" x14ac:dyDescent="0.25">
      <c r="A50" s="13"/>
      <c r="B50" s="14" t="s">
        <v>188</v>
      </c>
      <c r="C50" s="13"/>
      <c r="D50" s="13"/>
      <c r="E50" s="13"/>
      <c r="F50" s="13"/>
    </row>
    <row r="51" spans="1:7" x14ac:dyDescent="0.25">
      <c r="A51" s="13"/>
      <c r="B51" s="38" t="s">
        <v>189</v>
      </c>
      <c r="C51" s="13"/>
      <c r="D51" s="13"/>
      <c r="E51" s="13"/>
      <c r="F51" s="13"/>
    </row>
    <row r="52" spans="1:7" ht="8.4499999999999993" customHeight="1" x14ac:dyDescent="0.25">
      <c r="A52" s="13"/>
      <c r="B52" s="38"/>
      <c r="C52" s="13"/>
      <c r="D52" s="13"/>
      <c r="E52" s="13"/>
      <c r="F52" s="13"/>
    </row>
    <row r="53" spans="1:7" x14ac:dyDescent="0.25">
      <c r="A53" s="13"/>
      <c r="B53" s="19" t="s">
        <v>190</v>
      </c>
      <c r="C53" s="30"/>
      <c r="D53" s="50"/>
      <c r="F53" s="26" t="s">
        <v>95</v>
      </c>
      <c r="G53" s="79"/>
    </row>
    <row r="54" spans="1:7" ht="65.099999999999994" customHeight="1" x14ac:dyDescent="0.25">
      <c r="A54" s="13"/>
      <c r="B54" s="19" t="s">
        <v>191</v>
      </c>
      <c r="C54" s="129"/>
      <c r="D54" s="129"/>
      <c r="E54" s="129"/>
      <c r="F54" s="129"/>
      <c r="G54" s="129"/>
    </row>
    <row r="55" spans="1:7" ht="8.4499999999999993" customHeight="1" x14ac:dyDescent="0.25"/>
    <row r="56" spans="1:7" ht="45" x14ac:dyDescent="0.25">
      <c r="A56" s="13"/>
      <c r="B56" s="19" t="s">
        <v>192</v>
      </c>
      <c r="C56" s="80"/>
      <c r="D56" s="49"/>
    </row>
    <row r="57" spans="1:7" ht="65.099999999999994" customHeight="1" x14ac:dyDescent="0.25">
      <c r="A57" s="13"/>
      <c r="B57" s="19" t="s">
        <v>193</v>
      </c>
      <c r="C57" s="125"/>
      <c r="D57" s="126"/>
      <c r="E57" s="126"/>
      <c r="F57" s="126"/>
      <c r="G57" s="127"/>
    </row>
    <row r="58" spans="1:7" x14ac:dyDescent="0.25"/>
    <row r="59" spans="1:7" ht="15.75" x14ac:dyDescent="0.25">
      <c r="B59" s="14" t="s">
        <v>194</v>
      </c>
      <c r="C59" s="13"/>
    </row>
    <row r="60" spans="1:7" x14ac:dyDescent="0.25">
      <c r="B60" s="38" t="s">
        <v>189</v>
      </c>
      <c r="C60" s="13"/>
    </row>
    <row r="61" spans="1:7" ht="8.4499999999999993" customHeight="1" x14ac:dyDescent="0.25">
      <c r="B61" s="38"/>
      <c r="C61" s="13"/>
    </row>
    <row r="62" spans="1:7" ht="45" x14ac:dyDescent="0.25">
      <c r="B62" s="19" t="s">
        <v>195</v>
      </c>
      <c r="C62" s="33"/>
    </row>
    <row r="63" spans="1:7" ht="30" x14ac:dyDescent="0.25">
      <c r="B63" s="19" t="s">
        <v>196</v>
      </c>
      <c r="C63" s="33"/>
      <c r="D63" s="49"/>
    </row>
    <row r="64" spans="1:7" x14ac:dyDescent="0.25">
      <c r="B64" s="19" t="s">
        <v>197</v>
      </c>
      <c r="C64" s="33"/>
      <c r="D64" s="49"/>
      <c r="F64" s="13" t="s">
        <v>95</v>
      </c>
      <c r="G64" s="52"/>
    </row>
    <row r="65" spans="1:7" ht="65.099999999999994" customHeight="1" x14ac:dyDescent="0.25">
      <c r="A65" s="13"/>
      <c r="B65" s="19" t="s">
        <v>198</v>
      </c>
      <c r="C65" s="128"/>
      <c r="D65" s="128"/>
      <c r="E65" s="128"/>
      <c r="F65" s="128"/>
      <c r="G65" s="128"/>
    </row>
    <row r="66" spans="1:7" ht="45" x14ac:dyDescent="0.25">
      <c r="B66" s="19" t="s">
        <v>199</v>
      </c>
      <c r="C66" s="33"/>
    </row>
    <row r="67" spans="1:7" ht="65.099999999999994" customHeight="1" x14ac:dyDescent="0.25">
      <c r="B67" s="19" t="s">
        <v>200</v>
      </c>
      <c r="C67" s="125"/>
      <c r="D67" s="126"/>
      <c r="E67" s="126"/>
      <c r="F67" s="126"/>
      <c r="G67" s="127"/>
    </row>
    <row r="68" spans="1:7" x14ac:dyDescent="0.25">
      <c r="B68" s="19"/>
    </row>
    <row r="69" spans="1:7" x14ac:dyDescent="0.25"/>
    <row r="70" spans="1:7" x14ac:dyDescent="0.25"/>
  </sheetData>
  <sheetProtection algorithmName="SHA-256" hashValue="A9yswkmpgRvetwpWlOTxDGxBeGWkwPrplNjLHBF5q7A=" saltValue="zp5YJQl/xq6vfRh/1Knf3Q==" spinCount="100000" sheet="1" selectLockedCells="1"/>
  <mergeCells count="10">
    <mergeCell ref="B25:G25"/>
    <mergeCell ref="C57:G57"/>
    <mergeCell ref="C65:G65"/>
    <mergeCell ref="C67:G67"/>
    <mergeCell ref="C34:G34"/>
    <mergeCell ref="C36:G36"/>
    <mergeCell ref="C42:G42"/>
    <mergeCell ref="C45:G45"/>
    <mergeCell ref="C48:G48"/>
    <mergeCell ref="C54:G54"/>
  </mergeCells>
  <conditionalFormatting sqref="C31">
    <cfRule type="containsText" dxfId="66" priority="13" operator="containsText" text="Yes">
      <formula>NOT(ISERROR(SEARCH("Yes",C31)))</formula>
    </cfRule>
    <cfRule type="containsText" dxfId="65" priority="14" operator="containsText" text="No">
      <formula>NOT(ISERROR(SEARCH("No",C31)))</formula>
    </cfRule>
  </conditionalFormatting>
  <conditionalFormatting sqref="C32:C34">
    <cfRule type="expression" dxfId="64" priority="9">
      <formula>$C$31="Yes"</formula>
    </cfRule>
  </conditionalFormatting>
  <conditionalFormatting sqref="C34">
    <cfRule type="expression" dxfId="63" priority="10">
      <formula>$C$33="No"</formula>
    </cfRule>
  </conditionalFormatting>
  <conditionalFormatting sqref="C57">
    <cfRule type="expression" dxfId="62" priority="7">
      <formula>$C56="Yes"</formula>
    </cfRule>
  </conditionalFormatting>
  <conditionalFormatting sqref="C63:C65">
    <cfRule type="expression" dxfId="61" priority="6">
      <formula>$C$62="No"</formula>
    </cfRule>
  </conditionalFormatting>
  <conditionalFormatting sqref="C67">
    <cfRule type="expression" dxfId="60" priority="8">
      <formula>$C66="No"</formula>
    </cfRule>
  </conditionalFormatting>
  <conditionalFormatting sqref="F14:F16 F20:F22">
    <cfRule type="cellIs" dxfId="56" priority="17" stopIfTrue="1" operator="greaterThan">
      <formula>1</formula>
    </cfRule>
    <cfRule type="cellIs" dxfId="55" priority="18" operator="lessThan">
      <formula>$G14</formula>
    </cfRule>
    <cfRule type="cellIs" dxfId="54" priority="19" operator="greaterThanOrEqual">
      <formula>$G14</formula>
    </cfRule>
  </conditionalFormatting>
  <conditionalFormatting sqref="F20:F22 F14:F16">
    <cfRule type="containsText" dxfId="53" priority="16" stopIfTrue="1" operator="containsText" text="Input data">
      <formula>NOT(ISERROR(SEARCH("Input data",F14)))</formula>
    </cfRule>
  </conditionalFormatting>
  <conditionalFormatting sqref="F32:G32">
    <cfRule type="expression" dxfId="51" priority="12">
      <formula>$C32&lt;&gt;"Other (please specify)"</formula>
    </cfRule>
  </conditionalFormatting>
  <conditionalFormatting sqref="F53:G53">
    <cfRule type="expression" dxfId="50" priority="11">
      <formula>$C53&lt;&gt;"Other (please specify)"</formula>
    </cfRule>
  </conditionalFormatting>
  <conditionalFormatting sqref="F64:G64">
    <cfRule type="expression" dxfId="49" priority="5">
      <formula>$C64&lt;&gt;"Other (please specify)"</formula>
    </cfRule>
  </conditionalFormatting>
  <dataValidations count="11">
    <dataValidation type="list" allowBlank="1" showInputMessage="1" showErrorMessage="1" sqref="C64" xr:uid="{3E823830-0F58-4126-96D9-355D8BDE6641}">
      <formula1>Actions</formula1>
    </dataValidation>
    <dataValidation allowBlank="1" showInputMessage="1" showErrorMessage="1" promptTitle="Guidance" prompt="Notes to support your assessment of the Supplier's performance for this quarter with regards to the Gurantee." sqref="C54:G54" xr:uid="{EBBC73B1-C355-4FD6-AA20-76918802A6D0}"/>
    <dataValidation allowBlank="1" showInputMessage="1" showErrorMessage="1" promptTitle="Guidance" prompt="Include any additional details relevant to this quarterly report._x000a__x000a_Answers can be simple dot points." sqref="C36:G36" xr:uid="{8CFB4ADD-2750-4E5A-B649-2EC4C2F1231B}"/>
    <dataValidation allowBlank="1" showInputMessage="1" showErrorMessage="1" promptTitle="Guidance" prompt="Include both actions and planned timeframes._x000a__x000a_Answers can be simple dot points." sqref="C34:G34 C67:G67 C57:G57" xr:uid="{188CE156-62D7-4496-98AB-10CE88895515}"/>
    <dataValidation type="list" allowBlank="1" showInputMessage="1" showErrorMessage="1" sqref="C63" xr:uid="{FFECD9D1-B6F6-4156-AFAA-D03704584710}">
      <formula1>Stream</formula1>
    </dataValidation>
    <dataValidation type="list" allowBlank="1" showInputMessage="1" showErrorMessage="1" sqref="C41 C44 C47" xr:uid="{AC45DF3E-2BA9-4C78-9FCE-E6841860C234}">
      <formula1>Assessment</formula1>
    </dataValidation>
    <dataValidation type="list" allowBlank="1" showInputMessage="1" showErrorMessage="1" sqref="C53" xr:uid="{24D96E59-A3B1-42C2-BC27-ABC44F0434E5}">
      <formula1>Outcome</formula1>
    </dataValidation>
    <dataValidation type="list" allowBlank="1" showInputMessage="1" showErrorMessage="1" sqref="C32" xr:uid="{8FB20A92-156A-44F8-8896-145486AC1D1D}">
      <formula1>Targets</formula1>
    </dataValidation>
    <dataValidation type="list" allowBlank="1" showInputMessage="1" showErrorMessage="1" sqref="C33 C56 C66 C62 B26" xr:uid="{1B2256A5-4431-4A74-AC79-4A3C6A832E32}">
      <formula1>Boolean</formula1>
    </dataValidation>
    <dataValidation type="whole" allowBlank="1" showInputMessage="1" showErrorMessage="1" sqref="C10" xr:uid="{71778559-D688-497F-8153-81A167B9AD4A}">
      <formula1>1</formula1>
      <formula2>4</formula2>
    </dataValidation>
    <dataValidation type="list" allowBlank="1" showInputMessage="1" showErrorMessage="1" sqref="C9" xr:uid="{C5538E02-877A-44D9-81A7-E5F4B6EB9E7C}">
      <formula1>Years</formula1>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2" stopIfTrue="1" id="{A6CB6B53-5C73-4F69-8589-DEA3902DA12E}">
            <xm:f>$C$8='List values'!$B$3</xm:f>
            <x14:dxf>
              <fill>
                <patternFill patternType="lightUp">
                  <fgColor theme="0"/>
                  <bgColor theme="0" tint="-0.14993743705557422"/>
                </patternFill>
              </fill>
            </x14:dxf>
          </x14:cfRule>
          <xm:sqref>C16:D16</xm:sqref>
        </x14:conditionalFormatting>
        <x14:conditionalFormatting xmlns:xm="http://schemas.microsoft.com/office/excel/2006/main">
          <x14:cfRule type="expression" priority="15" stopIfTrue="1" id="{BAFCB19C-0974-425E-BE8D-CA4E8D100458}">
            <xm:f>$C$8='List values'!$B$3</xm:f>
            <x14:dxf>
              <fill>
                <patternFill patternType="lightUp">
                  <fgColor theme="0"/>
                  <bgColor theme="0" tint="-0.14993743705557422"/>
                </patternFill>
              </fill>
            </x14:dxf>
          </x14:cfRule>
          <xm:sqref>C22:D22 F22</xm:sqref>
        </x14:conditionalFormatting>
        <x14:conditionalFormatting xmlns:xm="http://schemas.microsoft.com/office/excel/2006/main">
          <x14:cfRule type="expression" priority="1" stopIfTrue="1" id="{505A0483-BBBC-4926-83E4-618B7165DB66}">
            <xm:f>$C$8='List values'!$B$3</xm:f>
            <x14:dxf>
              <fill>
                <patternFill patternType="lightUp">
                  <fgColor theme="0"/>
                  <bgColor theme="0" tint="-0.14993743705557422"/>
                </patternFill>
              </fill>
            </x14:dxf>
          </x14:cfRule>
          <xm:sqref>C24:D24</xm:sqref>
        </x14:conditionalFormatting>
        <x14:conditionalFormatting xmlns:xm="http://schemas.microsoft.com/office/excel/2006/main">
          <x14:cfRule type="expression" priority="4" stopIfTrue="1" id="{F1E77ABE-F991-4C85-A52A-CA217AAC33BE}">
            <xm:f>$C$8='List values'!$B$3</xm:f>
            <x14:dxf>
              <fill>
                <patternFill patternType="lightUp">
                  <fgColor theme="0"/>
                  <bgColor theme="0" tint="-0.14993743705557422"/>
                </patternFill>
              </fill>
            </x14:dxf>
          </x14:cfRule>
          <xm:sqref>F16:G16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2C0DD-E6C8-4644-800A-75D832A4731A}">
  <sheetPr>
    <tabColor theme="7"/>
  </sheetPr>
  <dimension ref="A1:I69"/>
  <sheetViews>
    <sheetView showGridLines="0" zoomScale="110" zoomScaleNormal="110" workbookViewId="0">
      <pane ySplit="5" topLeftCell="A28" activePane="bottomLeft" state="frozen"/>
      <selection pane="bottomLeft" activeCell="C34" sqref="C34:G34"/>
    </sheetView>
  </sheetViews>
  <sheetFormatPr defaultColWidth="0" defaultRowHeight="15" zeroHeight="1" x14ac:dyDescent="0.25"/>
  <cols>
    <col min="1" max="1" width="4.5703125" customWidth="1"/>
    <col min="2" max="2" width="28" customWidth="1"/>
    <col min="3" max="4" width="20.5703125" customWidth="1"/>
    <col min="5" max="5" width="2.42578125" customWidth="1"/>
    <col min="6" max="7" width="20.5703125" customWidth="1"/>
    <col min="8" max="8" width="8.5703125" customWidth="1"/>
    <col min="9" max="9" width="0" hidden="1" customWidth="1"/>
    <col min="10" max="16384" width="9.140625" hidden="1"/>
  </cols>
  <sheetData>
    <row r="1" spans="1:8" x14ac:dyDescent="0.25"/>
    <row r="2" spans="1:8" ht="26.25" x14ac:dyDescent="0.25">
      <c r="A2" s="7"/>
      <c r="B2" s="5" t="s">
        <v>0</v>
      </c>
      <c r="C2" s="8"/>
      <c r="D2" s="8"/>
      <c r="E2" s="8"/>
      <c r="F2" s="8"/>
      <c r="G2" s="8"/>
      <c r="H2" s="8"/>
    </row>
    <row r="3" spans="1:8" ht="21" x14ac:dyDescent="0.25">
      <c r="A3" s="9"/>
      <c r="B3" s="6" t="s">
        <v>158</v>
      </c>
      <c r="C3" s="10"/>
      <c r="D3" s="10"/>
      <c r="E3" s="10"/>
      <c r="F3" s="10"/>
      <c r="G3" s="10"/>
      <c r="H3" s="10"/>
    </row>
    <row r="4" spans="1:8" ht="15.75" x14ac:dyDescent="0.25">
      <c r="A4" s="11"/>
      <c r="B4" s="12" t="s">
        <v>159</v>
      </c>
      <c r="C4" s="11"/>
      <c r="D4" s="11"/>
      <c r="E4" s="11"/>
      <c r="F4" s="11"/>
      <c r="G4" s="11"/>
      <c r="H4" s="11"/>
    </row>
    <row r="5" spans="1:8" ht="15.75" x14ac:dyDescent="0.25">
      <c r="A5" s="11"/>
      <c r="B5" s="12" t="s">
        <v>160</v>
      </c>
      <c r="C5" s="11"/>
      <c r="D5" s="11"/>
      <c r="E5" s="11"/>
      <c r="F5" s="11"/>
      <c r="G5" s="11"/>
      <c r="H5" s="11"/>
    </row>
    <row r="6" spans="1:8" x14ac:dyDescent="0.25">
      <c r="A6" s="13"/>
      <c r="B6" s="13"/>
      <c r="C6" s="13"/>
      <c r="D6" s="13"/>
      <c r="E6" s="13"/>
      <c r="F6" s="13"/>
    </row>
    <row r="7" spans="1:8" x14ac:dyDescent="0.25">
      <c r="A7" s="13"/>
      <c r="B7" s="13" t="s">
        <v>161</v>
      </c>
      <c r="C7" s="32">
        <f>'Project details'!C7</f>
        <v>0</v>
      </c>
      <c r="D7" s="13"/>
      <c r="E7" s="13"/>
      <c r="F7" s="13"/>
    </row>
    <row r="8" spans="1:8" x14ac:dyDescent="0.25">
      <c r="A8" s="13"/>
      <c r="B8" s="13" t="s">
        <v>56</v>
      </c>
      <c r="C8" s="32">
        <f>'Project details'!C8</f>
        <v>0</v>
      </c>
      <c r="D8" s="13"/>
      <c r="E8" s="13"/>
      <c r="F8" s="13"/>
    </row>
    <row r="9" spans="1:8" x14ac:dyDescent="0.25">
      <c r="A9" s="13"/>
      <c r="B9" s="13" t="s">
        <v>162</v>
      </c>
      <c r="C9" s="29">
        <v>2025</v>
      </c>
      <c r="D9" s="13"/>
      <c r="E9" s="13"/>
      <c r="F9" s="13"/>
    </row>
    <row r="10" spans="1:8" x14ac:dyDescent="0.25">
      <c r="A10" s="13"/>
      <c r="B10" s="13" t="s">
        <v>142</v>
      </c>
      <c r="C10" s="37">
        <v>3</v>
      </c>
      <c r="D10" s="13"/>
      <c r="E10" s="13"/>
      <c r="F10" s="13"/>
    </row>
    <row r="11" spans="1:8" x14ac:dyDescent="0.25">
      <c r="A11" s="13"/>
      <c r="B11" s="13"/>
      <c r="C11" s="13"/>
      <c r="D11" s="13"/>
      <c r="E11" s="13"/>
      <c r="F11" s="13"/>
    </row>
    <row r="12" spans="1:8" ht="15.75" x14ac:dyDescent="0.25">
      <c r="A12" s="13"/>
      <c r="B12" s="14" t="s">
        <v>163</v>
      </c>
      <c r="D12" s="13"/>
      <c r="E12" s="13"/>
      <c r="F12" s="13"/>
    </row>
    <row r="13" spans="1:8" ht="15.75" x14ac:dyDescent="0.25">
      <c r="A13" s="13"/>
      <c r="B13" s="14"/>
      <c r="C13" s="28" t="s">
        <v>164</v>
      </c>
      <c r="D13" s="28" t="s">
        <v>165</v>
      </c>
      <c r="E13" s="28"/>
      <c r="F13" s="28" t="s">
        <v>166</v>
      </c>
      <c r="G13" s="28" t="s">
        <v>167</v>
      </c>
    </row>
    <row r="14" spans="1:8" x14ac:dyDescent="0.25">
      <c r="A14" s="13"/>
      <c r="B14" s="13" t="s">
        <v>168</v>
      </c>
      <c r="C14" s="77">
        <f>SUMIFS('Participant reporting'!K:K,'Participant reporting'!A:A,'Quarter 3 report'!$C$9,'Participant reporting'!B:B,'Quarter 3 report'!$C$10)+SUMIFS('Participant reporting'!L:L,'Participant reporting'!A:A,'Quarter 3 report'!$C$9,'Participant reporting'!B:B,'Quarter 3 report'!$C$10)</f>
        <v>0</v>
      </c>
      <c r="D14" s="77">
        <f>IFERROR(VLOOKUP(_xlfn.CONCAT(C9," ",B10," ",C10),Estimates!$D$9:$H$48,5,FALSE),)</f>
        <v>0</v>
      </c>
      <c r="F14" s="41" t="str">
        <f>IFERROR(C14/D14,"Input data")</f>
        <v>Input data</v>
      </c>
      <c r="G14" s="36">
        <f>IFERROR(VLOOKUP($C$9,'Project details'!$E$16:$J$25,4,FALSE),"Select Year")</f>
        <v>0.1</v>
      </c>
    </row>
    <row r="15" spans="1:8" x14ac:dyDescent="0.25">
      <c r="A15" s="13"/>
      <c r="B15" s="13" t="s">
        <v>169</v>
      </c>
      <c r="C15" s="77">
        <f>SUMIFS('Participant reporting'!K:K,'Participant reporting'!A:A,'Quarter 3 report'!$C$9,'Participant reporting'!B:B,'Quarter 3 report'!$C$10,'Participant reporting'!I:I,"Female")+SUMIFS('Participant reporting'!L:L,'Participant reporting'!A:A,'Quarter 3 report'!$C$9,'Participant reporting'!B:B,'Quarter 3 report'!$C$10,'Participant reporting'!I:I,"Female")</f>
        <v>0</v>
      </c>
      <c r="D15" s="77">
        <f>C14</f>
        <v>0</v>
      </c>
      <c r="F15" s="41" t="str">
        <f t="shared" ref="F15" si="0">IFERROR(C15/D15,"Input data")</f>
        <v>Input data</v>
      </c>
      <c r="G15" s="36">
        <f>IFERROR(VLOOKUP($C$9,'Project details'!$E$16:$J$25,5,FALSE),"Select Year")</f>
        <v>0.06</v>
      </c>
    </row>
    <row r="16" spans="1:8" x14ac:dyDescent="0.25">
      <c r="A16" s="13"/>
      <c r="B16" s="13" t="s">
        <v>69</v>
      </c>
      <c r="C16" s="77">
        <f>IF(C8='List values'!B3,"-",SUMIFS('Participant reporting'!K:K,'Participant reporting'!A:A,'Quarter 3 report'!$C$9,'Participant reporting'!B:B,'Quarter 3 report'!$C$10,'Participant reporting'!I:I,"Female",'Participant reporting'!J:J,"Yes")+SUMIFS('Participant reporting'!L:L,'Participant reporting'!A:A,'Quarter 3 report'!$C$9,'Participant reporting'!B:B,'Quarter 3 report'!$C$10,'Participant reporting'!I:I,"Female",'Participant reporting'!J:J,"Yes"))</f>
        <v>0</v>
      </c>
      <c r="D16" s="77">
        <f>IF(C8='List values'!B3,"-",SUMIFS('Participant reporting'!K:K,'Participant reporting'!A:A,$C$9,'Participant reporting'!B:B,$C$10,'Participant reporting'!J:J,"Yes")+SUMIFS('Participant reporting'!L:L,'Participant reporting'!A:A,$C$9,'Participant reporting'!B:B,$C$10,'Participant reporting'!J:J,"Yes"))</f>
        <v>0</v>
      </c>
      <c r="F16" s="41" t="str">
        <f>IF(C8='List values'!B3,"-",IFERROR(C16/D16,"Input data"))</f>
        <v>Input data</v>
      </c>
      <c r="G16" s="36">
        <f>IFERROR(IF(C8='List values'!B3,"-",VLOOKUP($C$9,'Project details'!$E$16:$J$25,6,FALSE)),"Select Year")</f>
        <v>0.04</v>
      </c>
    </row>
    <row r="17" spans="1:7" x14ac:dyDescent="0.25">
      <c r="A17" s="13"/>
      <c r="B17" s="13"/>
      <c r="C17" s="13"/>
      <c r="D17" s="13"/>
      <c r="E17" s="13"/>
      <c r="F17" s="13"/>
    </row>
    <row r="18" spans="1:7" ht="15.75" x14ac:dyDescent="0.25">
      <c r="A18" s="13"/>
      <c r="B18" s="14" t="s">
        <v>170</v>
      </c>
      <c r="D18" s="13"/>
      <c r="E18" s="13"/>
      <c r="F18" s="13"/>
    </row>
    <row r="19" spans="1:7" ht="15.75" x14ac:dyDescent="0.25">
      <c r="A19" s="13"/>
      <c r="B19" s="14"/>
      <c r="C19" s="28" t="s">
        <v>164</v>
      </c>
      <c r="D19" s="28" t="s">
        <v>165</v>
      </c>
      <c r="E19" s="28"/>
      <c r="F19" s="28" t="s">
        <v>166</v>
      </c>
    </row>
    <row r="20" spans="1:7" x14ac:dyDescent="0.25">
      <c r="A20" s="13"/>
      <c r="B20" s="13" t="s">
        <v>171</v>
      </c>
      <c r="C20" s="77">
        <f>SUMIFS('Participant reporting'!K:K,'Participant reporting'!A:A,"&lt;="&amp;'Quarter 3 report'!$C$9,'Participant reporting'!B:B,"&lt;="&amp;'Quarter 3 report'!$C$10)+SUMIFS('Participant reporting'!L:L,'Participant reporting'!A:A,"&lt;="&amp;'Quarter 3 report'!$C$9,'Participant reporting'!B:B,"&lt;="&amp;'Quarter 3 report'!$C$10)</f>
        <v>0</v>
      </c>
      <c r="D20" s="77">
        <f>SUMIFS(Estimates!$H$9:$H$49,Estimates!$B$9:$B$49,"&lt;="&amp;$C$9,Estimates!$C$9:$C$49,"&lt;="&amp;$C$10)</f>
        <v>0</v>
      </c>
      <c r="F20" s="41" t="str">
        <f>IFERROR(C20/D20,"Input data")</f>
        <v>Input data</v>
      </c>
    </row>
    <row r="21" spans="1:7" x14ac:dyDescent="0.25">
      <c r="A21" s="13"/>
      <c r="B21" s="13" t="s">
        <v>169</v>
      </c>
      <c r="C21" s="77">
        <f>SUMIFS('Participant reporting'!K:K,'Participant reporting'!A:A,"&lt;="&amp;'Quarter 3 report'!$C$9,'Participant reporting'!B:B,"&lt;="&amp;'Quarter 3 report'!$C$10,'Participant reporting'!I:I,"Female")+SUMIFS('Participant reporting'!L:L,'Participant reporting'!A:A,"&lt;="&amp;'Quarter 3 report'!$C$9,'Participant reporting'!B:B,"&lt;="&amp;'Quarter 3 report'!$C$10,'Participant reporting'!I:I,"Female")</f>
        <v>0</v>
      </c>
      <c r="D21" s="77">
        <f>C20</f>
        <v>0</v>
      </c>
      <c r="F21" s="41" t="str">
        <f t="shared" ref="F21" si="1">IFERROR(C21/D21,"Input data")</f>
        <v>Input data</v>
      </c>
    </row>
    <row r="22" spans="1:7" x14ac:dyDescent="0.25">
      <c r="A22" s="13"/>
      <c r="B22" s="13" t="s">
        <v>69</v>
      </c>
      <c r="C22" s="77">
        <f>IF(C8='List values'!B3,"-",SUMIFS('Participant reporting'!K:K,'Participant reporting'!A:A,"&lt;="&amp;'Quarter 3 report'!$C$9,'Participant reporting'!B:B,"&lt;="&amp;'Quarter 3 report'!$C$10,'Participant reporting'!I:I,"Female",'Participant reporting'!J:J,"Yes")+SUMIFS('Participant reporting'!L:L,'Participant reporting'!A:A,"&lt;="&amp;'Quarter 3 report'!$C$9,'Participant reporting'!B:B,"&lt;="&amp;'Quarter 3 report'!$C$10,'Participant reporting'!I:I,"Female",'Participant reporting'!J:J,"Yes"))</f>
        <v>0</v>
      </c>
      <c r="D22" s="77">
        <f>IF(C8='List values'!B3,"-",SUMIFS('Participant reporting'!K:K,'Participant reporting'!A:A,"&lt;="&amp;'Quarter 3 report'!$C$9,'Participant reporting'!B:B,"&lt;="&amp;'Quarter 3 report'!$C$10,'Participant reporting'!J:J,"Yes")+SUMIFS('Participant reporting'!L:L,'Participant reporting'!A:A,"&lt;="&amp;'Quarter 3 report'!$C$9,'Participant reporting'!B:B,"&lt;="&amp;'Quarter 3 report'!$C$10,'Participant reporting'!J:J,"Yes"))</f>
        <v>0</v>
      </c>
      <c r="F22" s="41" t="str">
        <f>IF(C8='List values'!B3,"-",IFERROR(C22/D22,"Input data"))</f>
        <v>Input data</v>
      </c>
    </row>
    <row r="23" spans="1:7" ht="15.75" thickBot="1" x14ac:dyDescent="0.3">
      <c r="A23" s="13"/>
      <c r="B23" s="13"/>
      <c r="D23" s="13"/>
      <c r="E23" s="13"/>
      <c r="F23" s="13"/>
    </row>
    <row r="24" spans="1:7" ht="15.75" x14ac:dyDescent="0.25">
      <c r="A24" s="13"/>
      <c r="B24" s="103" t="s">
        <v>172</v>
      </c>
      <c r="C24" s="104"/>
      <c r="D24" s="104"/>
      <c r="E24" s="105"/>
      <c r="F24" s="106"/>
      <c r="G24" s="107"/>
    </row>
    <row r="25" spans="1:7" ht="36.950000000000003" customHeight="1" x14ac:dyDescent="0.25">
      <c r="A25" s="13"/>
      <c r="B25" s="122" t="s">
        <v>173</v>
      </c>
      <c r="C25" s="123"/>
      <c r="D25" s="123"/>
      <c r="E25" s="123"/>
      <c r="F25" s="123"/>
      <c r="G25" s="124"/>
    </row>
    <row r="26" spans="1:7" ht="15.75" thickBot="1" x14ac:dyDescent="0.3">
      <c r="A26" s="13"/>
      <c r="B26" s="110"/>
      <c r="C26" s="108"/>
      <c r="D26" s="108"/>
      <c r="E26" s="108"/>
      <c r="F26" s="108"/>
      <c r="G26" s="109"/>
    </row>
    <row r="27" spans="1:7" x14ac:dyDescent="0.25">
      <c r="A27" s="13"/>
      <c r="B27" s="13"/>
      <c r="D27" s="13"/>
      <c r="E27" s="13"/>
      <c r="F27" s="13"/>
    </row>
    <row r="28" spans="1:7" ht="15.75" x14ac:dyDescent="0.25">
      <c r="A28" s="13"/>
      <c r="B28" s="14" t="s">
        <v>174</v>
      </c>
      <c r="C28" s="13"/>
      <c r="D28" s="13"/>
      <c r="E28" s="13"/>
      <c r="F28" s="13"/>
    </row>
    <row r="29" spans="1:7" x14ac:dyDescent="0.25">
      <c r="A29" s="13"/>
      <c r="B29" s="38" t="s">
        <v>175</v>
      </c>
      <c r="C29" s="13"/>
      <c r="D29" s="13"/>
      <c r="E29" s="13"/>
      <c r="F29" s="13"/>
    </row>
    <row r="30" spans="1:7" ht="8.4499999999999993" customHeight="1" x14ac:dyDescent="0.25">
      <c r="A30" s="13"/>
      <c r="B30" s="38"/>
      <c r="C30" s="13"/>
      <c r="D30" s="13"/>
      <c r="E30" s="13"/>
      <c r="F30" s="13"/>
    </row>
    <row r="31" spans="1:7" x14ac:dyDescent="0.25">
      <c r="A31" s="13"/>
      <c r="B31" t="s">
        <v>176</v>
      </c>
      <c r="C31" s="27" t="str">
        <f>IF(AND(ISNUMBER(F14),ISNUMBER(F15),ISNUMBER(F16)),IF(AND(F14&gt;=G14,F15&gt;=G15,F16&gt;=G16),"Yes","No"),"Input data")</f>
        <v>Input data</v>
      </c>
      <c r="D31" s="13"/>
      <c r="E31" s="13"/>
      <c r="F31" s="13"/>
    </row>
    <row r="32" spans="1:7" x14ac:dyDescent="0.25">
      <c r="A32" s="13"/>
      <c r="B32" s="13" t="s">
        <v>177</v>
      </c>
      <c r="C32" s="30"/>
      <c r="D32" s="38"/>
      <c r="E32" s="13"/>
      <c r="F32" s="26" t="s">
        <v>95</v>
      </c>
      <c r="G32" s="79"/>
    </row>
    <row r="33" spans="1:7" ht="30" x14ac:dyDescent="0.25">
      <c r="A33" s="13"/>
      <c r="B33" s="19" t="s">
        <v>178</v>
      </c>
      <c r="C33" s="80"/>
      <c r="D33" s="38"/>
      <c r="E33" s="13"/>
      <c r="F33" s="13"/>
    </row>
    <row r="34" spans="1:7" ht="65.099999999999994" customHeight="1" x14ac:dyDescent="0.25">
      <c r="A34" s="13"/>
      <c r="B34" s="19" t="s">
        <v>179</v>
      </c>
      <c r="C34" s="125"/>
      <c r="D34" s="126"/>
      <c r="E34" s="126"/>
      <c r="F34" s="126"/>
      <c r="G34" s="127"/>
    </row>
    <row r="35" spans="1:7" ht="8.4499999999999993" customHeight="1" x14ac:dyDescent="0.25"/>
    <row r="36" spans="1:7" ht="65.099999999999994" customHeight="1" x14ac:dyDescent="0.25">
      <c r="A36" s="13"/>
      <c r="B36" s="13" t="s">
        <v>180</v>
      </c>
      <c r="C36" s="130"/>
      <c r="D36" s="129"/>
      <c r="E36" s="129"/>
      <c r="F36" s="129"/>
      <c r="G36" s="129"/>
    </row>
    <row r="37" spans="1:7" x14ac:dyDescent="0.25">
      <c r="A37" s="13"/>
      <c r="B37" s="13"/>
      <c r="C37" s="13"/>
      <c r="D37" s="13"/>
      <c r="E37" s="13"/>
      <c r="F37" s="13"/>
    </row>
    <row r="38" spans="1:7" ht="15.75" x14ac:dyDescent="0.25">
      <c r="B38" s="14" t="s">
        <v>181</v>
      </c>
    </row>
    <row r="39" spans="1:7" x14ac:dyDescent="0.25">
      <c r="B39" s="38" t="s">
        <v>175</v>
      </c>
    </row>
    <row r="40" spans="1:7" ht="8.4499999999999993" customHeight="1" x14ac:dyDescent="0.25">
      <c r="B40" s="38"/>
    </row>
    <row r="41" spans="1:7" x14ac:dyDescent="0.25">
      <c r="B41" s="19" t="s">
        <v>182</v>
      </c>
      <c r="C41" s="81"/>
      <c r="D41" s="49"/>
    </row>
    <row r="42" spans="1:7" ht="65.099999999999994" customHeight="1" x14ac:dyDescent="0.25">
      <c r="B42" s="19" t="s">
        <v>183</v>
      </c>
      <c r="C42" s="128"/>
      <c r="D42" s="128"/>
      <c r="E42" s="128"/>
      <c r="F42" s="128"/>
      <c r="G42" s="128"/>
    </row>
    <row r="43" spans="1:7" ht="8.4499999999999993" customHeight="1" x14ac:dyDescent="0.25">
      <c r="B43" s="19"/>
    </row>
    <row r="44" spans="1:7" x14ac:dyDescent="0.25">
      <c r="B44" s="19" t="s">
        <v>184</v>
      </c>
      <c r="C44" s="33"/>
      <c r="D44" s="49"/>
    </row>
    <row r="45" spans="1:7" ht="65.099999999999994" customHeight="1" x14ac:dyDescent="0.25">
      <c r="B45" s="19" t="s">
        <v>185</v>
      </c>
      <c r="C45" s="128"/>
      <c r="D45" s="128"/>
      <c r="E45" s="128"/>
      <c r="F45" s="128"/>
      <c r="G45" s="128"/>
    </row>
    <row r="46" spans="1:7" ht="8.4499999999999993" customHeight="1" x14ac:dyDescent="0.25">
      <c r="B46" s="19"/>
    </row>
    <row r="47" spans="1:7" x14ac:dyDescent="0.25">
      <c r="B47" s="19" t="s">
        <v>186</v>
      </c>
      <c r="C47" s="33"/>
      <c r="D47" s="49"/>
    </row>
    <row r="48" spans="1:7" ht="65.099999999999994" customHeight="1" x14ac:dyDescent="0.25">
      <c r="B48" s="19" t="s">
        <v>187</v>
      </c>
      <c r="C48" s="128"/>
      <c r="D48" s="128"/>
      <c r="E48" s="128"/>
      <c r="F48" s="128"/>
      <c r="G48" s="128"/>
    </row>
    <row r="49" spans="1:7" x14ac:dyDescent="0.25">
      <c r="A49" s="13"/>
      <c r="B49" s="13"/>
      <c r="C49" s="13"/>
      <c r="D49" s="13"/>
      <c r="E49" s="13"/>
      <c r="F49" s="13"/>
    </row>
    <row r="50" spans="1:7" ht="15.75" x14ac:dyDescent="0.25">
      <c r="A50" s="13"/>
      <c r="B50" s="14" t="s">
        <v>188</v>
      </c>
      <c r="C50" s="13"/>
      <c r="D50" s="13"/>
      <c r="E50" s="13"/>
      <c r="F50" s="13"/>
    </row>
    <row r="51" spans="1:7" x14ac:dyDescent="0.25">
      <c r="A51" s="13"/>
      <c r="B51" s="38" t="s">
        <v>189</v>
      </c>
      <c r="C51" s="13"/>
      <c r="D51" s="13"/>
      <c r="E51" s="13"/>
      <c r="F51" s="13"/>
    </row>
    <row r="52" spans="1:7" ht="8.4499999999999993" customHeight="1" x14ac:dyDescent="0.25">
      <c r="A52" s="13"/>
      <c r="B52" s="38"/>
      <c r="C52" s="13"/>
      <c r="D52" s="13"/>
      <c r="E52" s="13"/>
      <c r="F52" s="13"/>
    </row>
    <row r="53" spans="1:7" x14ac:dyDescent="0.25">
      <c r="A53" s="13"/>
      <c r="B53" s="19" t="s">
        <v>190</v>
      </c>
      <c r="C53" s="30"/>
      <c r="D53" s="50"/>
      <c r="F53" s="26" t="s">
        <v>95</v>
      </c>
      <c r="G53" s="79"/>
    </row>
    <row r="54" spans="1:7" ht="65.099999999999994" customHeight="1" x14ac:dyDescent="0.25">
      <c r="A54" s="13"/>
      <c r="B54" s="19" t="s">
        <v>191</v>
      </c>
      <c r="C54" s="129"/>
      <c r="D54" s="129"/>
      <c r="E54" s="129"/>
      <c r="F54" s="129"/>
      <c r="G54" s="129"/>
    </row>
    <row r="55" spans="1:7" ht="8.4499999999999993" customHeight="1" x14ac:dyDescent="0.25"/>
    <row r="56" spans="1:7" ht="45" x14ac:dyDescent="0.25">
      <c r="A56" s="13"/>
      <c r="B56" s="19" t="s">
        <v>192</v>
      </c>
      <c r="C56" s="80"/>
      <c r="D56" s="49"/>
    </row>
    <row r="57" spans="1:7" ht="65.099999999999994" customHeight="1" x14ac:dyDescent="0.25">
      <c r="A57" s="13"/>
      <c r="B57" s="19" t="s">
        <v>193</v>
      </c>
      <c r="C57" s="125"/>
      <c r="D57" s="126"/>
      <c r="E57" s="126"/>
      <c r="F57" s="126"/>
      <c r="G57" s="127"/>
    </row>
    <row r="58" spans="1:7" x14ac:dyDescent="0.25"/>
    <row r="59" spans="1:7" ht="15.75" x14ac:dyDescent="0.25">
      <c r="B59" s="14" t="s">
        <v>194</v>
      </c>
      <c r="C59" s="13"/>
    </row>
    <row r="60" spans="1:7" x14ac:dyDescent="0.25">
      <c r="B60" s="38" t="s">
        <v>189</v>
      </c>
      <c r="C60" s="13"/>
    </row>
    <row r="61" spans="1:7" ht="8.4499999999999993" customHeight="1" x14ac:dyDescent="0.25">
      <c r="B61" s="38"/>
      <c r="C61" s="13"/>
    </row>
    <row r="62" spans="1:7" ht="45" x14ac:dyDescent="0.25">
      <c r="B62" s="19" t="s">
        <v>195</v>
      </c>
      <c r="C62" s="33"/>
    </row>
    <row r="63" spans="1:7" ht="30" x14ac:dyDescent="0.25">
      <c r="B63" s="19" t="s">
        <v>196</v>
      </c>
      <c r="C63" s="33"/>
      <c r="D63" s="49"/>
    </row>
    <row r="64" spans="1:7" x14ac:dyDescent="0.25">
      <c r="B64" s="19" t="s">
        <v>197</v>
      </c>
      <c r="C64" s="33"/>
      <c r="D64" s="49"/>
      <c r="F64" s="13" t="s">
        <v>95</v>
      </c>
      <c r="G64" s="52"/>
    </row>
    <row r="65" spans="1:7" ht="65.099999999999994" customHeight="1" x14ac:dyDescent="0.25">
      <c r="A65" s="13"/>
      <c r="B65" s="19" t="s">
        <v>198</v>
      </c>
      <c r="C65" s="128"/>
      <c r="D65" s="128"/>
      <c r="E65" s="128"/>
      <c r="F65" s="128"/>
      <c r="G65" s="128"/>
    </row>
    <row r="66" spans="1:7" ht="45" x14ac:dyDescent="0.25">
      <c r="B66" s="19" t="s">
        <v>199</v>
      </c>
      <c r="C66" s="33"/>
    </row>
    <row r="67" spans="1:7" ht="65.099999999999994" customHeight="1" x14ac:dyDescent="0.25">
      <c r="B67" s="19" t="s">
        <v>200</v>
      </c>
      <c r="C67" s="125"/>
      <c r="D67" s="126"/>
      <c r="E67" s="126"/>
      <c r="F67" s="126"/>
      <c r="G67" s="127"/>
    </row>
    <row r="68" spans="1:7" x14ac:dyDescent="0.25">
      <c r="B68" s="19"/>
    </row>
    <row r="69" spans="1:7" x14ac:dyDescent="0.25"/>
  </sheetData>
  <sheetProtection algorithmName="SHA-256" hashValue="p7QqgBWyi03+33XurBpYyYIayqdCPamTWvopxMCWVSc=" saltValue="ucaaRvr3tg0E+iMvthbceg==" spinCount="100000" sheet="1" selectLockedCells="1"/>
  <mergeCells count="10">
    <mergeCell ref="B25:G25"/>
    <mergeCell ref="C57:G57"/>
    <mergeCell ref="C65:G65"/>
    <mergeCell ref="C67:G67"/>
    <mergeCell ref="C34:G34"/>
    <mergeCell ref="C36:G36"/>
    <mergeCell ref="C42:G42"/>
    <mergeCell ref="C45:G45"/>
    <mergeCell ref="C48:G48"/>
    <mergeCell ref="C54:G54"/>
  </mergeCells>
  <conditionalFormatting sqref="C31">
    <cfRule type="containsText" dxfId="48" priority="13" operator="containsText" text="Yes">
      <formula>NOT(ISERROR(SEARCH("Yes",C31)))</formula>
    </cfRule>
    <cfRule type="containsText" dxfId="47" priority="14" operator="containsText" text="No">
      <formula>NOT(ISERROR(SEARCH("No",C31)))</formula>
    </cfRule>
  </conditionalFormatting>
  <conditionalFormatting sqref="C32:C34">
    <cfRule type="expression" dxfId="46" priority="9">
      <formula>$C$31="Yes"</formula>
    </cfRule>
  </conditionalFormatting>
  <conditionalFormatting sqref="C34">
    <cfRule type="expression" dxfId="45" priority="10">
      <formula>$C$33="No"</formula>
    </cfRule>
  </conditionalFormatting>
  <conditionalFormatting sqref="C57">
    <cfRule type="expression" dxfId="44" priority="7">
      <formula>$C56="Yes"</formula>
    </cfRule>
  </conditionalFormatting>
  <conditionalFormatting sqref="C63:C65">
    <cfRule type="expression" dxfId="43" priority="6">
      <formula>$C$62="No"</formula>
    </cfRule>
  </conditionalFormatting>
  <conditionalFormatting sqref="C67">
    <cfRule type="expression" dxfId="42" priority="8">
      <formula>$C66="No"</formula>
    </cfRule>
  </conditionalFormatting>
  <conditionalFormatting sqref="F14:F16 F20:F22">
    <cfRule type="cellIs" dxfId="38" priority="17" stopIfTrue="1" operator="greaterThan">
      <formula>1</formula>
    </cfRule>
    <cfRule type="cellIs" dxfId="37" priority="18" operator="lessThan">
      <formula>$G14</formula>
    </cfRule>
    <cfRule type="cellIs" dxfId="36" priority="19" operator="greaterThanOrEqual">
      <formula>$G14</formula>
    </cfRule>
  </conditionalFormatting>
  <conditionalFormatting sqref="F20:F22 F14:F16">
    <cfRule type="containsText" dxfId="35" priority="16" stopIfTrue="1" operator="containsText" text="Input data">
      <formula>NOT(ISERROR(SEARCH("Input data",F14)))</formula>
    </cfRule>
  </conditionalFormatting>
  <conditionalFormatting sqref="F32:G32">
    <cfRule type="expression" dxfId="33" priority="12">
      <formula>$C32&lt;&gt;"Other (please specify)"</formula>
    </cfRule>
  </conditionalFormatting>
  <conditionalFormatting sqref="F53:G53">
    <cfRule type="expression" dxfId="32" priority="11">
      <formula>$C53&lt;&gt;"Other (please specify)"</formula>
    </cfRule>
  </conditionalFormatting>
  <conditionalFormatting sqref="F64:G64">
    <cfRule type="expression" dxfId="31" priority="5">
      <formula>$C64&lt;&gt;"Other (please specify)"</formula>
    </cfRule>
  </conditionalFormatting>
  <dataValidations count="11">
    <dataValidation type="list" allowBlank="1" showInputMessage="1" showErrorMessage="1" sqref="C64" xr:uid="{8A25ECAC-22A0-420A-9E1D-E9CC0652FA68}">
      <formula1>Actions</formula1>
    </dataValidation>
    <dataValidation allowBlank="1" showInputMessage="1" showErrorMessage="1" promptTitle="Guidance" prompt="Notes to support your assessment of the Supplier's performance for this quarter with regards to the Gurantee." sqref="C54:G54" xr:uid="{5736E0CC-42A4-4CE5-8098-71F7573D4B1B}"/>
    <dataValidation allowBlank="1" showInputMessage="1" showErrorMessage="1" promptTitle="Guidance" prompt="Include any additional details relevant to this quarterly report._x000a__x000a_Answers can be simple dot points." sqref="C36:G36" xr:uid="{214AA9A6-4AFB-4C64-8038-04BFF57C93F3}"/>
    <dataValidation allowBlank="1" showInputMessage="1" showErrorMessage="1" promptTitle="Guidance" prompt="Include both actions and planned timeframes._x000a__x000a_Answers can be simple dot points." sqref="C34:G34 C67:G67 C57:G57" xr:uid="{5798148E-9461-4772-94B7-B26B8EAFB27F}"/>
    <dataValidation type="list" allowBlank="1" showInputMessage="1" showErrorMessage="1" sqref="C63" xr:uid="{A3BD9FBB-6C45-463B-B25B-BCEA7A568BDA}">
      <formula1>Stream</formula1>
    </dataValidation>
    <dataValidation type="list" allowBlank="1" showInputMessage="1" showErrorMessage="1" sqref="C41 C44 C47" xr:uid="{BFD44DE8-731E-4DE5-8BDA-E12BF347069F}">
      <formula1>Assessment</formula1>
    </dataValidation>
    <dataValidation type="list" allowBlank="1" showInputMessage="1" showErrorMessage="1" sqref="C53" xr:uid="{04E87D6E-531E-456E-B535-F6E8D0DB4EA0}">
      <formula1>Outcome</formula1>
    </dataValidation>
    <dataValidation type="list" allowBlank="1" showInputMessage="1" showErrorMessage="1" sqref="C32" xr:uid="{1C476681-BAD3-49D7-A926-01FA179B54FE}">
      <formula1>Targets</formula1>
    </dataValidation>
    <dataValidation type="list" allowBlank="1" showInputMessage="1" showErrorMessage="1" sqref="C33 C56 C66 C62 B26" xr:uid="{9239738E-7470-4C99-86CC-7E0323E2B283}">
      <formula1>Boolean</formula1>
    </dataValidation>
    <dataValidation type="whole" allowBlank="1" showInputMessage="1" showErrorMessage="1" sqref="C10" xr:uid="{407B9D61-ACC3-499B-8C42-B0CB3F8B83B0}">
      <formula1>1</formula1>
      <formula2>4</formula2>
    </dataValidation>
    <dataValidation type="list" allowBlank="1" showInputMessage="1" showErrorMessage="1" sqref="C9" xr:uid="{DFC0B581-7050-4138-9390-860C469C3BAA}">
      <formula1>Years</formula1>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2" stopIfTrue="1" id="{0AE133BF-76E3-4A05-8113-20F677EB6C94}">
            <xm:f>$C$8='List values'!$B$3</xm:f>
            <x14:dxf>
              <fill>
                <patternFill patternType="lightUp">
                  <fgColor theme="0"/>
                  <bgColor theme="0" tint="-0.14993743705557422"/>
                </patternFill>
              </fill>
            </x14:dxf>
          </x14:cfRule>
          <xm:sqref>C16:D16</xm:sqref>
        </x14:conditionalFormatting>
        <x14:conditionalFormatting xmlns:xm="http://schemas.microsoft.com/office/excel/2006/main">
          <x14:cfRule type="expression" priority="15" stopIfTrue="1" id="{9059A844-8936-41C2-A085-2797E9DC4327}">
            <xm:f>$C$8='List values'!$B$3</xm:f>
            <x14:dxf>
              <fill>
                <patternFill patternType="lightUp">
                  <fgColor theme="0"/>
                  <bgColor theme="0" tint="-0.14993743705557422"/>
                </patternFill>
              </fill>
            </x14:dxf>
          </x14:cfRule>
          <xm:sqref>C22:D22 F22</xm:sqref>
        </x14:conditionalFormatting>
        <x14:conditionalFormatting xmlns:xm="http://schemas.microsoft.com/office/excel/2006/main">
          <x14:cfRule type="expression" priority="1" stopIfTrue="1" id="{4EFE877E-CB12-4CA7-A4DD-396F3D777591}">
            <xm:f>$C$8='List values'!$B$3</xm:f>
            <x14:dxf>
              <fill>
                <patternFill patternType="lightUp">
                  <fgColor theme="0"/>
                  <bgColor theme="0" tint="-0.14993743705557422"/>
                </patternFill>
              </fill>
            </x14:dxf>
          </x14:cfRule>
          <xm:sqref>C24:D24</xm:sqref>
        </x14:conditionalFormatting>
        <x14:conditionalFormatting xmlns:xm="http://schemas.microsoft.com/office/excel/2006/main">
          <x14:cfRule type="expression" priority="4" stopIfTrue="1" id="{1E352B31-1578-497A-A2AF-22B75749C9CD}">
            <xm:f>$C$8='List values'!$B$3</xm:f>
            <x14:dxf>
              <fill>
                <patternFill patternType="lightUp">
                  <fgColor theme="0"/>
                  <bgColor theme="0" tint="-0.14993743705557422"/>
                </patternFill>
              </fill>
            </x14:dxf>
          </x14:cfRule>
          <xm:sqref>F16:G16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8AAB1-B7B8-4A38-848E-D06F5DC6B90D}">
  <sheetPr>
    <tabColor theme="7"/>
  </sheetPr>
  <dimension ref="A1:I69"/>
  <sheetViews>
    <sheetView showGridLines="0" zoomScale="110" zoomScaleNormal="110" workbookViewId="0">
      <pane ySplit="5" topLeftCell="A25" activePane="bottomLeft" state="frozen"/>
      <selection pane="bottomLeft" activeCell="C34" sqref="C34:G34"/>
    </sheetView>
  </sheetViews>
  <sheetFormatPr defaultColWidth="0" defaultRowHeight="15" zeroHeight="1" x14ac:dyDescent="0.25"/>
  <cols>
    <col min="1" max="1" width="4.5703125" customWidth="1"/>
    <col min="2" max="2" width="28" customWidth="1"/>
    <col min="3" max="4" width="20.5703125" customWidth="1"/>
    <col min="5" max="5" width="2.42578125" customWidth="1"/>
    <col min="6" max="7" width="20.5703125" customWidth="1"/>
    <col min="8" max="8" width="8.5703125" customWidth="1"/>
    <col min="9" max="9" width="0" hidden="1" customWidth="1"/>
    <col min="10" max="16384" width="9.140625" hidden="1"/>
  </cols>
  <sheetData>
    <row r="1" spans="1:8" x14ac:dyDescent="0.25"/>
    <row r="2" spans="1:8" ht="26.25" x14ac:dyDescent="0.25">
      <c r="A2" s="7"/>
      <c r="B2" s="5" t="s">
        <v>0</v>
      </c>
      <c r="C2" s="8"/>
      <c r="D2" s="8"/>
      <c r="E2" s="8"/>
      <c r="F2" s="8"/>
      <c r="G2" s="8"/>
      <c r="H2" s="8"/>
    </row>
    <row r="3" spans="1:8" ht="21" x14ac:dyDescent="0.25">
      <c r="A3" s="9"/>
      <c r="B3" s="6" t="s">
        <v>158</v>
      </c>
      <c r="C3" s="10"/>
      <c r="D3" s="10"/>
      <c r="E3" s="10"/>
      <c r="F3" s="10"/>
      <c r="G3" s="10"/>
      <c r="H3" s="10"/>
    </row>
    <row r="4" spans="1:8" ht="15.75" x14ac:dyDescent="0.25">
      <c r="A4" s="11"/>
      <c r="B4" s="12" t="s">
        <v>159</v>
      </c>
      <c r="C4" s="11"/>
      <c r="D4" s="11"/>
      <c r="E4" s="11"/>
      <c r="F4" s="11"/>
      <c r="G4" s="11"/>
      <c r="H4" s="11"/>
    </row>
    <row r="5" spans="1:8" ht="15.75" x14ac:dyDescent="0.25">
      <c r="A5" s="11"/>
      <c r="B5" s="12" t="s">
        <v>160</v>
      </c>
      <c r="C5" s="11"/>
      <c r="D5" s="11"/>
      <c r="E5" s="11"/>
      <c r="F5" s="11"/>
      <c r="G5" s="11"/>
      <c r="H5" s="11"/>
    </row>
    <row r="6" spans="1:8" x14ac:dyDescent="0.25">
      <c r="A6" s="13"/>
      <c r="B6" s="13"/>
      <c r="C6" s="13"/>
      <c r="D6" s="13"/>
      <c r="E6" s="13"/>
      <c r="F6" s="13"/>
    </row>
    <row r="7" spans="1:8" x14ac:dyDescent="0.25">
      <c r="A7" s="13"/>
      <c r="B7" s="13" t="s">
        <v>161</v>
      </c>
      <c r="C7" s="32">
        <f>'Project details'!C7</f>
        <v>0</v>
      </c>
      <c r="D7" s="13"/>
      <c r="E7" s="13"/>
      <c r="F7" s="13"/>
    </row>
    <row r="8" spans="1:8" x14ac:dyDescent="0.25">
      <c r="A8" s="13"/>
      <c r="B8" s="13" t="s">
        <v>56</v>
      </c>
      <c r="C8" s="32">
        <f>'Project details'!C8</f>
        <v>0</v>
      </c>
      <c r="D8" s="13"/>
      <c r="E8" s="13"/>
      <c r="F8" s="13"/>
    </row>
    <row r="9" spans="1:8" x14ac:dyDescent="0.25">
      <c r="A9" s="13"/>
      <c r="B9" s="13" t="s">
        <v>162</v>
      </c>
      <c r="C9" s="29">
        <v>2025</v>
      </c>
      <c r="D9" s="13"/>
      <c r="E9" s="13"/>
      <c r="F9" s="13"/>
    </row>
    <row r="10" spans="1:8" x14ac:dyDescent="0.25">
      <c r="A10" s="13"/>
      <c r="B10" s="13" t="s">
        <v>142</v>
      </c>
      <c r="C10" s="37">
        <v>4</v>
      </c>
      <c r="D10" s="13"/>
      <c r="E10" s="13"/>
      <c r="F10" s="13"/>
    </row>
    <row r="11" spans="1:8" x14ac:dyDescent="0.25">
      <c r="A11" s="13"/>
      <c r="B11" s="13"/>
      <c r="C11" s="13"/>
      <c r="D11" s="13"/>
      <c r="E11" s="13"/>
      <c r="F11" s="13"/>
    </row>
    <row r="12" spans="1:8" ht="15.75" x14ac:dyDescent="0.25">
      <c r="A12" s="13"/>
      <c r="B12" s="14" t="s">
        <v>163</v>
      </c>
      <c r="D12" s="13"/>
      <c r="E12" s="13"/>
      <c r="F12" s="13"/>
    </row>
    <row r="13" spans="1:8" ht="15.75" x14ac:dyDescent="0.25">
      <c r="A13" s="13"/>
      <c r="B13" s="14"/>
      <c r="C13" s="28" t="s">
        <v>164</v>
      </c>
      <c r="D13" s="28" t="s">
        <v>165</v>
      </c>
      <c r="E13" s="28"/>
      <c r="F13" s="28" t="s">
        <v>166</v>
      </c>
      <c r="G13" s="28" t="s">
        <v>167</v>
      </c>
    </row>
    <row r="14" spans="1:8" x14ac:dyDescent="0.25">
      <c r="A14" s="13"/>
      <c r="B14" s="13" t="s">
        <v>168</v>
      </c>
      <c r="C14" s="77">
        <f>SUMIFS('Participant reporting'!K:K,'Participant reporting'!A:A,'Quarter 4 report'!$C$9,'Participant reporting'!B:B,'Quarter 4 report'!$C$10)+SUMIFS('Participant reporting'!L:L,'Participant reporting'!A:A,'Quarter 4 report'!$C$9,'Participant reporting'!B:B,'Quarter 4 report'!$C$10)</f>
        <v>0</v>
      </c>
      <c r="D14" s="77">
        <f>IFERROR(VLOOKUP(_xlfn.CONCAT(C9," ",B10," ",C10),Estimates!$D$9:$H$48,5,FALSE),)</f>
        <v>0</v>
      </c>
      <c r="F14" s="41" t="str">
        <f>IFERROR(C14/D14,"Input data")</f>
        <v>Input data</v>
      </c>
      <c r="G14" s="36">
        <f>IFERROR(VLOOKUP($C$9,'Project details'!$E$16:$J$25,4,FALSE),"Select Year")</f>
        <v>0.1</v>
      </c>
    </row>
    <row r="15" spans="1:8" x14ac:dyDescent="0.25">
      <c r="A15" s="13"/>
      <c r="B15" s="13" t="s">
        <v>169</v>
      </c>
      <c r="C15" s="77">
        <f>SUMIFS('Participant reporting'!K:K,'Participant reporting'!A:A,'Quarter 4 report'!$C$9,'Participant reporting'!B:B,'Quarter 4 report'!$C$10,'Participant reporting'!I:I,"Female")+SUMIFS('Participant reporting'!L:L,'Participant reporting'!A:A,'Quarter 4 report'!$C$9,'Participant reporting'!B:B,'Quarter 4 report'!$C$10,'Participant reporting'!I:I,"Female")</f>
        <v>0</v>
      </c>
      <c r="D15" s="77">
        <f>C14</f>
        <v>0</v>
      </c>
      <c r="F15" s="41" t="str">
        <f t="shared" ref="F15" si="0">IFERROR(C15/D15,"Input data")</f>
        <v>Input data</v>
      </c>
      <c r="G15" s="36">
        <f>IFERROR(VLOOKUP($C$9,'Project details'!$E$16:$J$25,5,FALSE),"Select Year")</f>
        <v>0.06</v>
      </c>
    </row>
    <row r="16" spans="1:8" x14ac:dyDescent="0.25">
      <c r="A16" s="13"/>
      <c r="B16" s="13" t="s">
        <v>69</v>
      </c>
      <c r="C16" s="77">
        <f>IF(C8='List values'!B3,"-",SUMIFS('Participant reporting'!K:K,'Participant reporting'!A:A,'Quarter 4 report'!$C$9,'Participant reporting'!B:B,'Quarter 4 report'!$C$10,'Participant reporting'!I:I,"Female",'Participant reporting'!J:J,"Yes")+SUMIFS('Participant reporting'!L:L,'Participant reporting'!A:A,'Quarter 4 report'!$C$9,'Participant reporting'!B:B,'Quarter 4 report'!$C$10,'Participant reporting'!I:I,"Female",'Participant reporting'!J:J,"Yes"))</f>
        <v>0</v>
      </c>
      <c r="D16" s="77">
        <f>IF(C8='List values'!B3,"-",SUMIFS('Participant reporting'!K:K,'Participant reporting'!A:A,$C$9,'Participant reporting'!B:B,$C$10,'Participant reporting'!J:J,"Yes")+SUMIFS('Participant reporting'!L:L,'Participant reporting'!A:A,$C$9,'Participant reporting'!B:B,$C$10,'Participant reporting'!J:J,"Yes"))</f>
        <v>0</v>
      </c>
      <c r="F16" s="41" t="str">
        <f>IF(C8='List values'!B3,"-",IFERROR(C16/D16,"Input data"))</f>
        <v>Input data</v>
      </c>
      <c r="G16" s="36">
        <f>IFERROR(IF(C8='List values'!B3,"-",VLOOKUP($C$9,'Project details'!$E$16:$J$25,6,FALSE)),"Select Year")</f>
        <v>0.04</v>
      </c>
    </row>
    <row r="17" spans="1:7" x14ac:dyDescent="0.25">
      <c r="A17" s="13"/>
      <c r="B17" s="13"/>
      <c r="C17" s="13"/>
      <c r="D17" s="13"/>
      <c r="E17" s="13"/>
      <c r="F17" s="13"/>
    </row>
    <row r="18" spans="1:7" ht="15.75" x14ac:dyDescent="0.25">
      <c r="A18" s="13"/>
      <c r="B18" s="14" t="s">
        <v>170</v>
      </c>
      <c r="D18" s="13"/>
      <c r="E18" s="13"/>
      <c r="F18" s="13"/>
    </row>
    <row r="19" spans="1:7" ht="15.75" x14ac:dyDescent="0.25">
      <c r="A19" s="13"/>
      <c r="B19" s="14"/>
      <c r="C19" s="28" t="s">
        <v>164</v>
      </c>
      <c r="D19" s="28" t="s">
        <v>165</v>
      </c>
      <c r="E19" s="28"/>
      <c r="F19" s="28" t="s">
        <v>166</v>
      </c>
    </row>
    <row r="20" spans="1:7" x14ac:dyDescent="0.25">
      <c r="A20" s="13"/>
      <c r="B20" s="13" t="s">
        <v>171</v>
      </c>
      <c r="C20" s="77">
        <f>SUMIFS('Participant reporting'!K:K,'Participant reporting'!A:A,"&lt;="&amp;'Quarter 4 report'!$C$9,'Participant reporting'!B:B,"&lt;="&amp;'Quarter 4 report'!$C$10)+SUMIFS('Participant reporting'!L:L,'Participant reporting'!A:A,"&lt;="&amp;'Quarter 4 report'!$C$9,'Participant reporting'!B:B,"&lt;="&amp;'Quarter 4 report'!$C$10)</f>
        <v>0</v>
      </c>
      <c r="D20" s="77">
        <f>SUMIFS(Estimates!$H$9:$H$49,Estimates!$B$9:$B$49,"&lt;="&amp;$C$9,Estimates!$C$9:$C$49,"&lt;="&amp;$C$10)</f>
        <v>0</v>
      </c>
      <c r="F20" s="41" t="str">
        <f>IFERROR(C20/D20,"Input data")</f>
        <v>Input data</v>
      </c>
    </row>
    <row r="21" spans="1:7" x14ac:dyDescent="0.25">
      <c r="A21" s="13"/>
      <c r="B21" s="13" t="s">
        <v>169</v>
      </c>
      <c r="C21" s="77">
        <f>SUMIFS('Participant reporting'!K:K,'Participant reporting'!A:A,"&lt;="&amp;'Quarter 4 report'!$C$9,'Participant reporting'!B:B,"&lt;="&amp;'Quarter 4 report'!$C$10,'Participant reporting'!I:I,"Female")+SUMIFS('Participant reporting'!L:L,'Participant reporting'!A:A,"&lt;="&amp;'Quarter 4 report'!$C$9,'Participant reporting'!B:B,"&lt;="&amp;'Quarter 4 report'!$C$10,'Participant reporting'!I:I,"Female")</f>
        <v>0</v>
      </c>
      <c r="D21" s="77">
        <f>C20</f>
        <v>0</v>
      </c>
      <c r="F21" s="41" t="str">
        <f t="shared" ref="F21" si="1">IFERROR(C21/D21,"Input data")</f>
        <v>Input data</v>
      </c>
    </row>
    <row r="22" spans="1:7" x14ac:dyDescent="0.25">
      <c r="A22" s="13"/>
      <c r="B22" s="13" t="s">
        <v>69</v>
      </c>
      <c r="C22" s="77">
        <f>IF(C8='List values'!B3,"-",SUMIFS('Participant reporting'!K:K,'Participant reporting'!A:A,"&lt;="&amp;'Quarter 4 report'!$C$9,'Participant reporting'!B:B,"&lt;="&amp;'Quarter 4 report'!$C$10,'Participant reporting'!I:I,"Female",'Participant reporting'!J:J,"Yes")+SUMIFS('Participant reporting'!L:L,'Participant reporting'!A:A,"&lt;="&amp;'Quarter 4 report'!$C$9,'Participant reporting'!B:B,"&lt;="&amp;'Quarter 4 report'!$C$10,'Participant reporting'!I:I,"Female",'Participant reporting'!J:J,"Yes"))</f>
        <v>0</v>
      </c>
      <c r="D22" s="77">
        <f>IF(C8='List values'!B3,"-",SUMIFS('Participant reporting'!K:K,'Participant reporting'!A:A,"&lt;="&amp;'Quarter 4 report'!$C$9,'Participant reporting'!B:B,"&lt;="&amp;'Quarter 4 report'!$C$10,'Participant reporting'!J:J,"Yes")+SUMIFS('Participant reporting'!L:L,'Participant reporting'!A:A,"&lt;="&amp;'Quarter 4 report'!$C$9,'Participant reporting'!B:B,"&lt;="&amp;'Quarter 4 report'!$C$10,'Participant reporting'!J:J,"Yes"))</f>
        <v>0</v>
      </c>
      <c r="F22" s="41" t="str">
        <f>IF(C8='List values'!B3,"-",IFERROR(C22/D22,"Input data"))</f>
        <v>Input data</v>
      </c>
    </row>
    <row r="23" spans="1:7" ht="15.75" thickBot="1" x14ac:dyDescent="0.3">
      <c r="A23" s="13"/>
      <c r="B23" s="13"/>
      <c r="D23" s="13"/>
      <c r="E23" s="13"/>
      <c r="F23" s="13"/>
    </row>
    <row r="24" spans="1:7" ht="15.75" x14ac:dyDescent="0.25">
      <c r="A24" s="13"/>
      <c r="B24" s="103" t="s">
        <v>172</v>
      </c>
      <c r="C24" s="104"/>
      <c r="D24" s="104"/>
      <c r="E24" s="105"/>
      <c r="F24" s="106"/>
      <c r="G24" s="107"/>
    </row>
    <row r="25" spans="1:7" ht="36.950000000000003" customHeight="1" x14ac:dyDescent="0.25">
      <c r="A25" s="13"/>
      <c r="B25" s="122" t="s">
        <v>173</v>
      </c>
      <c r="C25" s="123"/>
      <c r="D25" s="123"/>
      <c r="E25" s="123"/>
      <c r="F25" s="123"/>
      <c r="G25" s="124"/>
    </row>
    <row r="26" spans="1:7" ht="15.75" thickBot="1" x14ac:dyDescent="0.3">
      <c r="A26" s="13"/>
      <c r="B26" s="110"/>
      <c r="C26" s="108"/>
      <c r="D26" s="108"/>
      <c r="E26" s="108"/>
      <c r="F26" s="108"/>
      <c r="G26" s="109"/>
    </row>
    <row r="27" spans="1:7" x14ac:dyDescent="0.25">
      <c r="A27" s="13"/>
      <c r="B27" s="13"/>
      <c r="D27" s="13"/>
      <c r="E27" s="13"/>
      <c r="F27" s="13"/>
    </row>
    <row r="28" spans="1:7" ht="15.75" x14ac:dyDescent="0.25">
      <c r="A28" s="13"/>
      <c r="B28" s="14" t="s">
        <v>174</v>
      </c>
      <c r="C28" s="13"/>
      <c r="D28" s="13"/>
      <c r="E28" s="13"/>
      <c r="F28" s="13"/>
    </row>
    <row r="29" spans="1:7" x14ac:dyDescent="0.25">
      <c r="A29" s="13"/>
      <c r="B29" s="38" t="s">
        <v>175</v>
      </c>
      <c r="C29" s="13"/>
      <c r="D29" s="13"/>
      <c r="E29" s="13"/>
      <c r="F29" s="13"/>
    </row>
    <row r="30" spans="1:7" ht="8.4499999999999993" customHeight="1" x14ac:dyDescent="0.25">
      <c r="A30" s="13"/>
      <c r="B30" s="38"/>
      <c r="C30" s="13"/>
      <c r="D30" s="13"/>
      <c r="E30" s="13"/>
      <c r="F30" s="13"/>
    </row>
    <row r="31" spans="1:7" x14ac:dyDescent="0.25">
      <c r="A31" s="13"/>
      <c r="B31" t="s">
        <v>176</v>
      </c>
      <c r="C31" s="27" t="str">
        <f>IF(AND(ISNUMBER(F14),ISNUMBER(F15),ISNUMBER(F16)),IF(AND(F14&gt;=G14,F15&gt;=G15,F16&gt;=G16),"Yes","No"),"Input data")</f>
        <v>Input data</v>
      </c>
      <c r="D31" s="13"/>
      <c r="E31" s="13"/>
      <c r="F31" s="13"/>
    </row>
    <row r="32" spans="1:7" x14ac:dyDescent="0.25">
      <c r="A32" s="13"/>
      <c r="B32" s="13" t="s">
        <v>177</v>
      </c>
      <c r="C32" s="30"/>
      <c r="D32" s="38"/>
      <c r="E32" s="13"/>
      <c r="F32" s="26" t="s">
        <v>95</v>
      </c>
      <c r="G32" s="79"/>
    </row>
    <row r="33" spans="1:7" ht="30" x14ac:dyDescent="0.25">
      <c r="A33" s="13"/>
      <c r="B33" s="19" t="s">
        <v>178</v>
      </c>
      <c r="C33" s="80"/>
      <c r="D33" s="38"/>
      <c r="E33" s="13"/>
      <c r="F33" s="13"/>
    </row>
    <row r="34" spans="1:7" ht="65.099999999999994" customHeight="1" x14ac:dyDescent="0.25">
      <c r="A34" s="13"/>
      <c r="B34" s="19" t="s">
        <v>179</v>
      </c>
      <c r="C34" s="125"/>
      <c r="D34" s="126"/>
      <c r="E34" s="126"/>
      <c r="F34" s="126"/>
      <c r="G34" s="127"/>
    </row>
    <row r="35" spans="1:7" ht="8.4499999999999993" customHeight="1" x14ac:dyDescent="0.25"/>
    <row r="36" spans="1:7" ht="65.099999999999994" customHeight="1" x14ac:dyDescent="0.25">
      <c r="A36" s="13"/>
      <c r="B36" s="13" t="s">
        <v>180</v>
      </c>
      <c r="C36" s="130"/>
      <c r="D36" s="129"/>
      <c r="E36" s="129"/>
      <c r="F36" s="129"/>
      <c r="G36" s="129"/>
    </row>
    <row r="37" spans="1:7" x14ac:dyDescent="0.25">
      <c r="A37" s="13"/>
      <c r="B37" s="13"/>
      <c r="C37" s="13"/>
      <c r="D37" s="13"/>
      <c r="E37" s="13"/>
      <c r="F37" s="13"/>
    </row>
    <row r="38" spans="1:7" ht="15.75" x14ac:dyDescent="0.25">
      <c r="B38" s="14" t="s">
        <v>181</v>
      </c>
    </row>
    <row r="39" spans="1:7" x14ac:dyDescent="0.25">
      <c r="B39" s="38" t="s">
        <v>175</v>
      </c>
    </row>
    <row r="40" spans="1:7" ht="8.4499999999999993" customHeight="1" x14ac:dyDescent="0.25">
      <c r="B40" s="38"/>
    </row>
    <row r="41" spans="1:7" x14ac:dyDescent="0.25">
      <c r="B41" s="19" t="s">
        <v>182</v>
      </c>
      <c r="C41" s="81"/>
      <c r="D41" s="49"/>
    </row>
    <row r="42" spans="1:7" ht="65.099999999999994" customHeight="1" x14ac:dyDescent="0.25">
      <c r="B42" s="19" t="s">
        <v>183</v>
      </c>
      <c r="C42" s="128"/>
      <c r="D42" s="128"/>
      <c r="E42" s="128"/>
      <c r="F42" s="128"/>
      <c r="G42" s="128"/>
    </row>
    <row r="43" spans="1:7" ht="8.4499999999999993" customHeight="1" x14ac:dyDescent="0.25">
      <c r="B43" s="19"/>
    </row>
    <row r="44" spans="1:7" x14ac:dyDescent="0.25">
      <c r="B44" s="19" t="s">
        <v>184</v>
      </c>
      <c r="C44" s="33"/>
      <c r="D44" s="49"/>
    </row>
    <row r="45" spans="1:7" ht="65.099999999999994" customHeight="1" x14ac:dyDescent="0.25">
      <c r="B45" s="19" t="s">
        <v>185</v>
      </c>
      <c r="C45" s="128"/>
      <c r="D45" s="128"/>
      <c r="E45" s="128"/>
      <c r="F45" s="128"/>
      <c r="G45" s="128"/>
    </row>
    <row r="46" spans="1:7" ht="8.4499999999999993" customHeight="1" x14ac:dyDescent="0.25">
      <c r="B46" s="19"/>
    </row>
    <row r="47" spans="1:7" x14ac:dyDescent="0.25">
      <c r="B47" s="19" t="s">
        <v>186</v>
      </c>
      <c r="C47" s="33"/>
      <c r="D47" s="49"/>
    </row>
    <row r="48" spans="1:7" ht="65.099999999999994" customHeight="1" x14ac:dyDescent="0.25">
      <c r="B48" s="19" t="s">
        <v>187</v>
      </c>
      <c r="C48" s="128"/>
      <c r="D48" s="128"/>
      <c r="E48" s="128"/>
      <c r="F48" s="128"/>
      <c r="G48" s="128"/>
    </row>
    <row r="49" spans="1:7" x14ac:dyDescent="0.25">
      <c r="A49" s="13"/>
      <c r="B49" s="13"/>
      <c r="C49" s="13"/>
      <c r="D49" s="13"/>
      <c r="E49" s="13"/>
      <c r="F49" s="13"/>
    </row>
    <row r="50" spans="1:7" ht="15.75" x14ac:dyDescent="0.25">
      <c r="A50" s="13"/>
      <c r="B50" s="14" t="s">
        <v>188</v>
      </c>
      <c r="C50" s="13"/>
      <c r="D50" s="13"/>
      <c r="E50" s="13"/>
      <c r="F50" s="13"/>
    </row>
    <row r="51" spans="1:7" x14ac:dyDescent="0.25">
      <c r="A51" s="13"/>
      <c r="B51" s="38" t="s">
        <v>189</v>
      </c>
      <c r="C51" s="13"/>
      <c r="D51" s="13"/>
      <c r="E51" s="13"/>
      <c r="F51" s="13"/>
    </row>
    <row r="52" spans="1:7" ht="8.4499999999999993" customHeight="1" x14ac:dyDescent="0.25">
      <c r="A52" s="13"/>
      <c r="B52" s="38"/>
      <c r="C52" s="13"/>
      <c r="D52" s="13"/>
      <c r="E52" s="13"/>
      <c r="F52" s="13"/>
    </row>
    <row r="53" spans="1:7" x14ac:dyDescent="0.25">
      <c r="A53" s="13"/>
      <c r="B53" s="19" t="s">
        <v>190</v>
      </c>
      <c r="C53" s="30"/>
      <c r="D53" s="50"/>
      <c r="F53" s="26" t="s">
        <v>95</v>
      </c>
      <c r="G53" s="79"/>
    </row>
    <row r="54" spans="1:7" ht="65.099999999999994" customHeight="1" x14ac:dyDescent="0.25">
      <c r="A54" s="13"/>
      <c r="B54" s="19" t="s">
        <v>191</v>
      </c>
      <c r="C54" s="129"/>
      <c r="D54" s="129"/>
      <c r="E54" s="129"/>
      <c r="F54" s="129"/>
      <c r="G54" s="129"/>
    </row>
    <row r="55" spans="1:7" ht="8.4499999999999993" customHeight="1" x14ac:dyDescent="0.25"/>
    <row r="56" spans="1:7" ht="45" x14ac:dyDescent="0.25">
      <c r="A56" s="13"/>
      <c r="B56" s="19" t="s">
        <v>192</v>
      </c>
      <c r="C56" s="80"/>
      <c r="D56" s="49"/>
    </row>
    <row r="57" spans="1:7" ht="65.099999999999994" customHeight="1" x14ac:dyDescent="0.25">
      <c r="A57" s="13"/>
      <c r="B57" s="19" t="s">
        <v>193</v>
      </c>
      <c r="C57" s="125"/>
      <c r="D57" s="126"/>
      <c r="E57" s="126"/>
      <c r="F57" s="126"/>
      <c r="G57" s="127"/>
    </row>
    <row r="58" spans="1:7" x14ac:dyDescent="0.25"/>
    <row r="59" spans="1:7" ht="15.75" x14ac:dyDescent="0.25">
      <c r="B59" s="14" t="s">
        <v>194</v>
      </c>
      <c r="C59" s="13"/>
    </row>
    <row r="60" spans="1:7" x14ac:dyDescent="0.25">
      <c r="B60" s="38" t="s">
        <v>189</v>
      </c>
      <c r="C60" s="13"/>
    </row>
    <row r="61" spans="1:7" ht="8.4499999999999993" customHeight="1" x14ac:dyDescent="0.25">
      <c r="B61" s="38"/>
      <c r="C61" s="13"/>
    </row>
    <row r="62" spans="1:7" ht="45" x14ac:dyDescent="0.25">
      <c r="B62" s="19" t="s">
        <v>195</v>
      </c>
      <c r="C62" s="33"/>
    </row>
    <row r="63" spans="1:7" ht="30" x14ac:dyDescent="0.25">
      <c r="B63" s="19" t="s">
        <v>196</v>
      </c>
      <c r="C63" s="33"/>
      <c r="D63" s="49"/>
    </row>
    <row r="64" spans="1:7" x14ac:dyDescent="0.25">
      <c r="B64" s="19" t="s">
        <v>197</v>
      </c>
      <c r="C64" s="33"/>
      <c r="D64" s="49"/>
      <c r="F64" s="13" t="s">
        <v>95</v>
      </c>
      <c r="G64" s="52"/>
    </row>
    <row r="65" spans="1:7" ht="65.099999999999994" customHeight="1" x14ac:dyDescent="0.25">
      <c r="A65" s="13"/>
      <c r="B65" s="19" t="s">
        <v>198</v>
      </c>
      <c r="C65" s="128"/>
      <c r="D65" s="128"/>
      <c r="E65" s="128"/>
      <c r="F65" s="128"/>
      <c r="G65" s="128"/>
    </row>
    <row r="66" spans="1:7" ht="45" x14ac:dyDescent="0.25">
      <c r="B66" s="19" t="s">
        <v>199</v>
      </c>
      <c r="C66" s="33"/>
    </row>
    <row r="67" spans="1:7" ht="65.099999999999994" customHeight="1" x14ac:dyDescent="0.25">
      <c r="B67" s="19" t="s">
        <v>200</v>
      </c>
      <c r="C67" s="125"/>
      <c r="D67" s="126"/>
      <c r="E67" s="126"/>
      <c r="F67" s="126"/>
      <c r="G67" s="127"/>
    </row>
    <row r="68" spans="1:7" x14ac:dyDescent="0.25">
      <c r="B68" s="19"/>
    </row>
    <row r="69" spans="1:7" x14ac:dyDescent="0.25"/>
  </sheetData>
  <sheetProtection algorithmName="SHA-256" hashValue="SXGa9BFWoL6+HdY6SGMf69zmbSaDLM5mAS8s8rrXwkk=" saltValue="CMQKLGpQry/3bRxWv8GR5A==" spinCount="100000" sheet="1" selectLockedCells="1"/>
  <mergeCells count="10">
    <mergeCell ref="B25:G25"/>
    <mergeCell ref="C57:G57"/>
    <mergeCell ref="C65:G65"/>
    <mergeCell ref="C67:G67"/>
    <mergeCell ref="C34:G34"/>
    <mergeCell ref="C36:G36"/>
    <mergeCell ref="C42:G42"/>
    <mergeCell ref="C45:G45"/>
    <mergeCell ref="C48:G48"/>
    <mergeCell ref="C54:G54"/>
  </mergeCells>
  <conditionalFormatting sqref="C31">
    <cfRule type="containsText" dxfId="30" priority="10" operator="containsText" text="Yes">
      <formula>NOT(ISERROR(SEARCH("Yes",C31)))</formula>
    </cfRule>
    <cfRule type="containsText" dxfId="29" priority="11" operator="containsText" text="No">
      <formula>NOT(ISERROR(SEARCH("No",C31)))</formula>
    </cfRule>
  </conditionalFormatting>
  <conditionalFormatting sqref="C32:C34">
    <cfRule type="expression" dxfId="28" priority="6">
      <formula>$C$31="Yes"</formula>
    </cfRule>
  </conditionalFormatting>
  <conditionalFormatting sqref="C34">
    <cfRule type="expression" dxfId="27" priority="7">
      <formula>$C$33="No"</formula>
    </cfRule>
  </conditionalFormatting>
  <conditionalFormatting sqref="C57">
    <cfRule type="expression" dxfId="26" priority="4">
      <formula>$C56="Yes"</formula>
    </cfRule>
  </conditionalFormatting>
  <conditionalFormatting sqref="C63:C65">
    <cfRule type="expression" dxfId="25" priority="3">
      <formula>$C$62="No"</formula>
    </cfRule>
  </conditionalFormatting>
  <conditionalFormatting sqref="C67">
    <cfRule type="expression" dxfId="24" priority="5">
      <formula>$C66="No"</formula>
    </cfRule>
  </conditionalFormatting>
  <conditionalFormatting sqref="F14:F16 F20:F22">
    <cfRule type="containsText" dxfId="21" priority="13" stopIfTrue="1" operator="containsText" text="Input data">
      <formula>NOT(ISERROR(SEARCH("Input data",F14)))</formula>
    </cfRule>
    <cfRule type="cellIs" dxfId="20" priority="14" stopIfTrue="1" operator="greaterThan">
      <formula>1</formula>
    </cfRule>
    <cfRule type="cellIs" dxfId="19" priority="15" operator="lessThan">
      <formula>$G14</formula>
    </cfRule>
    <cfRule type="cellIs" dxfId="18" priority="16" operator="greaterThanOrEqual">
      <formula>$G14</formula>
    </cfRule>
  </conditionalFormatting>
  <conditionalFormatting sqref="F32:G32">
    <cfRule type="expression" dxfId="17" priority="9">
      <formula>$C32&lt;&gt;"Other (please specify)"</formula>
    </cfRule>
  </conditionalFormatting>
  <conditionalFormatting sqref="F53:G53">
    <cfRule type="expression" dxfId="16" priority="8">
      <formula>$C53&lt;&gt;"Other (please specify)"</formula>
    </cfRule>
  </conditionalFormatting>
  <conditionalFormatting sqref="F64:G64">
    <cfRule type="expression" dxfId="15" priority="2">
      <formula>$C64&lt;&gt;"Other (please specify)"</formula>
    </cfRule>
  </conditionalFormatting>
  <dataValidations count="11">
    <dataValidation type="list" allowBlank="1" showInputMessage="1" showErrorMessage="1" sqref="C64" xr:uid="{0F62754D-CB42-4CE7-8B40-D29AC241DD7B}">
      <formula1>Actions</formula1>
    </dataValidation>
    <dataValidation allowBlank="1" showInputMessage="1" showErrorMessage="1" promptTitle="Guidance" prompt="Notes to support your assessment of the Supplier's performance for this quarter with regards to the Gurantee." sqref="C54:G54" xr:uid="{F7097B42-8D37-486C-A682-39390C27669E}"/>
    <dataValidation allowBlank="1" showInputMessage="1" showErrorMessage="1" promptTitle="Guidance" prompt="Include any additional details relevant to this quarterly report._x000a__x000a_Answers can be simple dot points." sqref="C36:G36" xr:uid="{20A7B3CE-6359-45D3-B8FB-B033687EC395}"/>
    <dataValidation allowBlank="1" showInputMessage="1" showErrorMessage="1" promptTitle="Guidance" prompt="Include both actions and planned timeframes._x000a__x000a_Answers can be simple dot points." sqref="C34:G34 C67:G67 C57:G57" xr:uid="{EB932119-039F-4514-8071-D309BC0C2C5B}"/>
    <dataValidation type="list" allowBlank="1" showInputMessage="1" showErrorMessage="1" sqref="C63" xr:uid="{40E9A66F-8F23-4651-A786-D5BBA6101C9C}">
      <formula1>Stream</formula1>
    </dataValidation>
    <dataValidation type="list" allowBlank="1" showInputMessage="1" showErrorMessage="1" sqref="C41 C44 C47" xr:uid="{479E2339-38DE-4F25-B503-8E20EFD237BD}">
      <formula1>Assessment</formula1>
    </dataValidation>
    <dataValidation type="list" allowBlank="1" showInputMessage="1" showErrorMessage="1" sqref="C53" xr:uid="{78C2DF39-27C3-48ED-981B-64F87751A5DF}">
      <formula1>Outcome</formula1>
    </dataValidation>
    <dataValidation type="list" allowBlank="1" showInputMessage="1" showErrorMessage="1" sqref="C32" xr:uid="{D731365A-90D5-4755-B88E-925C0EAE7687}">
      <formula1>Targets</formula1>
    </dataValidation>
    <dataValidation type="list" allowBlank="1" showInputMessage="1" showErrorMessage="1" sqref="C33 C56 C66 C62 B26" xr:uid="{70A37B92-7244-4FC9-99D9-913CC61F69D4}">
      <formula1>Boolean</formula1>
    </dataValidation>
    <dataValidation type="whole" allowBlank="1" showInputMessage="1" showErrorMessage="1" sqref="C10" xr:uid="{D58EC36A-77C8-4956-B4E4-64662A7FDEB0}">
      <formula1>1</formula1>
      <formula2>4</formula2>
    </dataValidation>
    <dataValidation type="list" allowBlank="1" showInputMessage="1" showErrorMessage="1" sqref="C9" xr:uid="{64CD98CA-BE6A-49B4-9D92-39245A65C32D}">
      <formula1>Years</formula1>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12" stopIfTrue="1" id="{7F693E5A-4883-4D83-86C4-7E7B9E521F8E}">
            <xm:f>$C$8='List values'!$B$3</xm:f>
            <x14:dxf>
              <fill>
                <patternFill patternType="lightUp">
                  <fgColor theme="0"/>
                  <bgColor theme="0" tint="-0.14993743705557422"/>
                </patternFill>
              </fill>
            </x14:dxf>
          </x14:cfRule>
          <xm:sqref>C16:D16 F16:G16 C22:D22 F22</xm:sqref>
        </x14:conditionalFormatting>
        <x14:conditionalFormatting xmlns:xm="http://schemas.microsoft.com/office/excel/2006/main">
          <x14:cfRule type="expression" priority="1" stopIfTrue="1" id="{13F02B43-A1DB-4105-BC52-9E640DAF3F0A}">
            <xm:f>$C$8='List values'!$B$3</xm:f>
            <x14:dxf>
              <fill>
                <patternFill patternType="lightUp">
                  <fgColor theme="0"/>
                  <bgColor theme="0" tint="-0.14993743705557422"/>
                </patternFill>
              </fill>
            </x14:dxf>
          </x14:cfRule>
          <xm:sqref>C24:D24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70DF0-4539-4A51-97A3-D93A282F7ABC}">
  <dimension ref="A1:Y5"/>
  <sheetViews>
    <sheetView topLeftCell="V1" workbookViewId="0">
      <selection activeCell="Y5" sqref="A5:Y5"/>
    </sheetView>
  </sheetViews>
  <sheetFormatPr defaultRowHeight="15" x14ac:dyDescent="0.25"/>
  <cols>
    <col min="1" max="1" width="13.42578125" bestFit="1" customWidth="1"/>
    <col min="2" max="2" width="7.42578125" bestFit="1" customWidth="1"/>
    <col min="3" max="3" width="25.7109375" bestFit="1" customWidth="1"/>
    <col min="4" max="4" width="12" bestFit="1" customWidth="1"/>
    <col min="5" max="5" width="46.140625" bestFit="1" customWidth="1"/>
    <col min="6" max="6" width="51.42578125" bestFit="1" customWidth="1"/>
    <col min="7" max="7" width="25.42578125" bestFit="1" customWidth="1"/>
    <col min="8" max="8" width="22.140625" bestFit="1" customWidth="1"/>
    <col min="9" max="9" width="21.140625" bestFit="1" customWidth="1"/>
    <col min="10" max="10" width="19.85546875" bestFit="1" customWidth="1"/>
    <col min="11" max="11" width="18.85546875" bestFit="1" customWidth="1"/>
    <col min="12" max="12" width="20.42578125" bestFit="1" customWidth="1"/>
    <col min="13" max="13" width="19.42578125" bestFit="1" customWidth="1"/>
    <col min="14" max="14" width="19.85546875" bestFit="1" customWidth="1"/>
    <col min="15" max="15" width="13.85546875" bestFit="1" customWidth="1"/>
    <col min="16" max="16" width="16.42578125" bestFit="1" customWidth="1"/>
    <col min="17" max="17" width="61.42578125" bestFit="1" customWidth="1"/>
    <col min="18" max="18" width="66" bestFit="1" customWidth="1"/>
    <col min="19" max="19" width="48.85546875" bestFit="1" customWidth="1"/>
    <col min="20" max="20" width="36.28515625" bestFit="1" customWidth="1"/>
    <col min="21" max="21" width="20.140625" bestFit="1" customWidth="1"/>
    <col min="22" max="22" width="11.42578125" bestFit="1" customWidth="1"/>
    <col min="23" max="23" width="44.5703125" bestFit="1" customWidth="1"/>
    <col min="24" max="24" width="60" bestFit="1" customWidth="1"/>
    <col min="25" max="25" width="53" bestFit="1" customWidth="1"/>
  </cols>
  <sheetData>
    <row r="1" spans="1:25" x14ac:dyDescent="0.25">
      <c r="A1" t="s">
        <v>162</v>
      </c>
      <c r="B1" t="s">
        <v>142</v>
      </c>
      <c r="C1" t="s">
        <v>177</v>
      </c>
      <c r="D1" t="s">
        <v>201</v>
      </c>
      <c r="E1" t="s">
        <v>202</v>
      </c>
      <c r="F1" t="s">
        <v>203</v>
      </c>
      <c r="G1" t="s">
        <v>180</v>
      </c>
      <c r="H1" t="s">
        <v>182</v>
      </c>
      <c r="I1" t="s">
        <v>183</v>
      </c>
      <c r="J1" t="s">
        <v>184</v>
      </c>
      <c r="K1" t="s">
        <v>185</v>
      </c>
      <c r="L1" t="s">
        <v>186</v>
      </c>
      <c r="M1" t="s">
        <v>187</v>
      </c>
      <c r="N1" t="s">
        <v>190</v>
      </c>
      <c r="O1" t="s">
        <v>204</v>
      </c>
      <c r="P1" t="s">
        <v>191</v>
      </c>
      <c r="Q1" t="s">
        <v>205</v>
      </c>
      <c r="R1" t="s">
        <v>206</v>
      </c>
      <c r="S1" t="s">
        <v>207</v>
      </c>
      <c r="T1" t="s">
        <v>208</v>
      </c>
      <c r="U1" t="s">
        <v>209</v>
      </c>
      <c r="V1" t="s">
        <v>210</v>
      </c>
      <c r="W1" t="s">
        <v>211</v>
      </c>
      <c r="X1" t="s">
        <v>212</v>
      </c>
      <c r="Y1" t="s">
        <v>213</v>
      </c>
    </row>
    <row r="2" spans="1:25" x14ac:dyDescent="0.25">
      <c r="A2">
        <f>'Quarter 1 report'!$C$9</f>
        <v>2025</v>
      </c>
      <c r="B2">
        <f>'Quarter 1 report'!$C$10</f>
        <v>1</v>
      </c>
      <c r="C2">
        <f>'Quarter 1 report'!$C$32</f>
        <v>0</v>
      </c>
      <c r="D2">
        <f>'Quarter 1 report'!$G$32</f>
        <v>0</v>
      </c>
      <c r="E2">
        <f>'Quarter 1 report'!$C$33</f>
        <v>0</v>
      </c>
      <c r="F2">
        <f>'Quarter 1 report'!$C$34</f>
        <v>0</v>
      </c>
      <c r="G2">
        <f>'Quarter 1 report'!$C$36</f>
        <v>0</v>
      </c>
      <c r="H2">
        <f>'Quarter 1 report'!$C$41</f>
        <v>0</v>
      </c>
      <c r="I2">
        <f>'Quarter 1 report'!$C$42</f>
        <v>0</v>
      </c>
      <c r="J2">
        <f>'Quarter 1 report'!$C$44</f>
        <v>0</v>
      </c>
      <c r="K2">
        <f>'Quarter 1 report'!$C$45</f>
        <v>0</v>
      </c>
      <c r="L2">
        <f>'Quarter 1 report'!$C$47</f>
        <v>0</v>
      </c>
      <c r="M2">
        <f>'Quarter 1 report'!$C$48</f>
        <v>0</v>
      </c>
      <c r="N2">
        <f>'Quarter 1 report'!$C$53</f>
        <v>0</v>
      </c>
      <c r="O2">
        <f>'Quarter 1 report'!$G$53</f>
        <v>0</v>
      </c>
      <c r="P2">
        <f>'Quarter 1 report'!$C$54</f>
        <v>0</v>
      </c>
      <c r="Q2">
        <f>'Quarter 1 report'!$C$56</f>
        <v>0</v>
      </c>
      <c r="R2">
        <f>'Quarter 1 report'!$C$57</f>
        <v>0</v>
      </c>
      <c r="S2">
        <f>'Quarter 1 report'!$C$62</f>
        <v>0</v>
      </c>
      <c r="T2">
        <f>'Quarter 1 report'!$C$63</f>
        <v>0</v>
      </c>
      <c r="U2">
        <f>'Quarter 1 report'!$C$64</f>
        <v>0</v>
      </c>
      <c r="V2">
        <f>'Quarter 1 report'!$G$64</f>
        <v>0</v>
      </c>
      <c r="W2">
        <f>'Quarter 1 report'!$C$65</f>
        <v>0</v>
      </c>
      <c r="X2">
        <f>'Quarter 1 report'!$C$66</f>
        <v>0</v>
      </c>
      <c r="Y2">
        <f>'Quarter 1 report'!$C$67</f>
        <v>0</v>
      </c>
    </row>
    <row r="3" spans="1:25" x14ac:dyDescent="0.25">
      <c r="A3">
        <f>'Quarter 2 report'!$C$9</f>
        <v>2025</v>
      </c>
      <c r="B3">
        <f>'Quarter 2 report'!$C$10</f>
        <v>2</v>
      </c>
      <c r="C3">
        <f>'Quarter 2 report'!$C$32</f>
        <v>0</v>
      </c>
      <c r="D3">
        <f>'Quarter 2 report'!$G$32</f>
        <v>0</v>
      </c>
      <c r="E3">
        <f>'Quarter 2 report'!$C$33</f>
        <v>0</v>
      </c>
      <c r="F3">
        <f>'Quarter 2 report'!$C$34</f>
        <v>0</v>
      </c>
      <c r="G3">
        <f>'Quarter 2 report'!$C$36</f>
        <v>0</v>
      </c>
      <c r="H3">
        <f>'Quarter 2 report'!$C$41</f>
        <v>0</v>
      </c>
      <c r="I3">
        <f>'Quarter 2 report'!$C$42</f>
        <v>0</v>
      </c>
      <c r="J3">
        <f>'Quarter 2 report'!$C$44</f>
        <v>0</v>
      </c>
      <c r="K3">
        <f>'Quarter 2 report'!$C$45</f>
        <v>0</v>
      </c>
      <c r="L3">
        <f>'Quarter 2 report'!$C$47</f>
        <v>0</v>
      </c>
      <c r="M3">
        <f>'Quarter 2 report'!$C$48</f>
        <v>0</v>
      </c>
      <c r="N3">
        <f>'Quarter 2 report'!$C$53</f>
        <v>0</v>
      </c>
      <c r="O3">
        <f>'Quarter 2 report'!$G$53</f>
        <v>0</v>
      </c>
      <c r="P3">
        <f>'Quarter 2 report'!$C$54</f>
        <v>0</v>
      </c>
      <c r="Q3">
        <f>'Quarter 2 report'!$C$56</f>
        <v>0</v>
      </c>
      <c r="R3">
        <f>'Quarter 2 report'!$C$57</f>
        <v>0</v>
      </c>
      <c r="S3">
        <f>'Quarter 2 report'!$C$62</f>
        <v>0</v>
      </c>
      <c r="T3">
        <f>'Quarter 2 report'!$C$63</f>
        <v>0</v>
      </c>
      <c r="U3">
        <f>'Quarter 2 report'!$C$64</f>
        <v>0</v>
      </c>
      <c r="V3">
        <f>'Quarter 2 report'!$G$64</f>
        <v>0</v>
      </c>
      <c r="W3">
        <f>'Quarter 2 report'!$C$65</f>
        <v>0</v>
      </c>
      <c r="X3">
        <f>'Quarter 2 report'!$C$66</f>
        <v>0</v>
      </c>
      <c r="Y3">
        <f>'Quarter 2 report'!$C$67</f>
        <v>0</v>
      </c>
    </row>
    <row r="4" spans="1:25" x14ac:dyDescent="0.25">
      <c r="A4">
        <f>'Quarter 3 report'!$C$9</f>
        <v>2025</v>
      </c>
      <c r="B4">
        <f>'Quarter 3 report'!$C$10</f>
        <v>3</v>
      </c>
      <c r="C4">
        <f>'Quarter 3 report'!$C$32</f>
        <v>0</v>
      </c>
      <c r="D4">
        <f>'Quarter 3 report'!$G$32</f>
        <v>0</v>
      </c>
      <c r="E4">
        <f>'Quarter 3 report'!$C$33</f>
        <v>0</v>
      </c>
      <c r="F4">
        <f>'Quarter 3 report'!$C$34</f>
        <v>0</v>
      </c>
      <c r="G4">
        <f>'Quarter 3 report'!$C$36</f>
        <v>0</v>
      </c>
      <c r="H4">
        <f>'Quarter 3 report'!$C$41</f>
        <v>0</v>
      </c>
      <c r="I4">
        <f>'Quarter 3 report'!$C$42</f>
        <v>0</v>
      </c>
      <c r="J4">
        <f>'Quarter 3 report'!$C$44</f>
        <v>0</v>
      </c>
      <c r="K4">
        <f>'Quarter 3 report'!$C$45</f>
        <v>0</v>
      </c>
      <c r="L4">
        <f>'Quarter 3 report'!$C$47</f>
        <v>0</v>
      </c>
      <c r="M4">
        <f>'Quarter 3 report'!$C$48</f>
        <v>0</v>
      </c>
      <c r="N4">
        <f>'Quarter 3 report'!$C$53</f>
        <v>0</v>
      </c>
      <c r="O4">
        <f>'Quarter 3 report'!$G$53</f>
        <v>0</v>
      </c>
      <c r="P4">
        <f>'Quarter 3 report'!$C$54</f>
        <v>0</v>
      </c>
      <c r="Q4">
        <f>'Quarter 3 report'!$C$56</f>
        <v>0</v>
      </c>
      <c r="R4">
        <f>'Quarter 3 report'!$C$57</f>
        <v>0</v>
      </c>
      <c r="S4">
        <f>'Quarter 3 report'!$C$62</f>
        <v>0</v>
      </c>
      <c r="T4">
        <f>'Quarter 3 report'!$C$63</f>
        <v>0</v>
      </c>
      <c r="U4">
        <f>'Quarter 3 report'!$C$64</f>
        <v>0</v>
      </c>
      <c r="V4">
        <f>'Quarter 3 report'!$G$64</f>
        <v>0</v>
      </c>
      <c r="W4">
        <f>'Quarter 3 report'!$C$65</f>
        <v>0</v>
      </c>
      <c r="X4">
        <f>'Quarter 3 report'!$C$66</f>
        <v>0</v>
      </c>
      <c r="Y4">
        <f>'Quarter 3 report'!$C$67</f>
        <v>0</v>
      </c>
    </row>
    <row r="5" spans="1:25" x14ac:dyDescent="0.25">
      <c r="A5">
        <f>'Quarter 4 report'!$C$9</f>
        <v>2025</v>
      </c>
      <c r="B5">
        <f>'Quarter 4 report'!$C$10</f>
        <v>4</v>
      </c>
      <c r="C5">
        <f>'Quarter 4 report'!$C$32</f>
        <v>0</v>
      </c>
      <c r="D5">
        <f>'Quarter 4 report'!$G$32</f>
        <v>0</v>
      </c>
      <c r="E5">
        <f>'Quarter 4 report'!$C$33</f>
        <v>0</v>
      </c>
      <c r="F5">
        <f>'Quarter 4 report'!$C$34</f>
        <v>0</v>
      </c>
      <c r="G5">
        <f>'Quarter 4 report'!$C$36</f>
        <v>0</v>
      </c>
      <c r="H5">
        <f>'Quarter 4 report'!$C$41</f>
        <v>0</v>
      </c>
      <c r="I5">
        <f>'Quarter 4 report'!$C$42</f>
        <v>0</v>
      </c>
      <c r="J5">
        <f>'Quarter 4 report'!$C$44</f>
        <v>0</v>
      </c>
      <c r="K5">
        <f>'Quarter 4 report'!$C$45</f>
        <v>0</v>
      </c>
      <c r="L5">
        <f>'Quarter 4 report'!$C$47</f>
        <v>0</v>
      </c>
      <c r="M5">
        <f>'Quarter 4 report'!$C$48</f>
        <v>0</v>
      </c>
      <c r="N5">
        <f>'Quarter 4 report'!$C$53</f>
        <v>0</v>
      </c>
      <c r="O5">
        <f>'Quarter 4 report'!$G$53</f>
        <v>0</v>
      </c>
      <c r="P5">
        <f>'Quarter 4 report'!$C$54</f>
        <v>0</v>
      </c>
      <c r="Q5">
        <f>'Quarter 4 report'!$C$56</f>
        <v>0</v>
      </c>
      <c r="R5">
        <f>'Quarter 4 report'!$C$57</f>
        <v>0</v>
      </c>
      <c r="S5">
        <f>'Quarter 4 report'!$C$62</f>
        <v>0</v>
      </c>
      <c r="T5">
        <f>'Quarter 4 report'!$C$63</f>
        <v>0</v>
      </c>
      <c r="U5">
        <f>'Quarter 4 report'!$C$64</f>
        <v>0</v>
      </c>
      <c r="V5">
        <f>'Quarter 4 report'!$G$64</f>
        <v>0</v>
      </c>
      <c r="W5">
        <f>'Quarter 4 report'!$C$65</f>
        <v>0</v>
      </c>
      <c r="X5">
        <f>'Quarter 4 report'!$C$66</f>
        <v>0</v>
      </c>
      <c r="Y5">
        <f>'Quarter 4 report'!$C$67</f>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A6649-19D0-4983-9B76-A8749BAC58BF}">
  <sheetPr>
    <tabColor theme="8"/>
  </sheetPr>
  <dimension ref="A1:I41"/>
  <sheetViews>
    <sheetView showGridLines="0" zoomScale="110" zoomScaleNormal="110" workbookViewId="0">
      <pane ySplit="5" topLeftCell="A18" activePane="bottomLeft" state="frozen"/>
      <selection pane="bottomLeft" activeCell="C9" sqref="C9"/>
    </sheetView>
  </sheetViews>
  <sheetFormatPr defaultColWidth="0" defaultRowHeight="15" zeroHeight="1" x14ac:dyDescent="0.25"/>
  <cols>
    <col min="1" max="1" width="4.5703125" customWidth="1"/>
    <col min="2" max="4" width="20.5703125" customWidth="1"/>
    <col min="5" max="5" width="2.7109375" customWidth="1"/>
    <col min="6" max="6" width="20.5703125" customWidth="1"/>
    <col min="7" max="7" width="8.5703125" customWidth="1"/>
    <col min="8" max="9" width="0" hidden="1" customWidth="1"/>
    <col min="10" max="16384" width="9.140625" hidden="1"/>
  </cols>
  <sheetData>
    <row r="1" spans="1:7" x14ac:dyDescent="0.25"/>
    <row r="2" spans="1:7" ht="26.25" x14ac:dyDescent="0.25">
      <c r="A2" s="7"/>
      <c r="B2" s="5" t="s">
        <v>0</v>
      </c>
      <c r="C2" s="8"/>
      <c r="D2" s="8"/>
      <c r="E2" s="8"/>
      <c r="F2" s="8"/>
      <c r="G2" s="8"/>
    </row>
    <row r="3" spans="1:7" ht="21" x14ac:dyDescent="0.25">
      <c r="A3" s="9"/>
      <c r="B3" s="6" t="s">
        <v>214</v>
      </c>
      <c r="C3" s="10"/>
      <c r="D3" s="10"/>
      <c r="E3" s="10"/>
      <c r="F3" s="10"/>
      <c r="G3" s="10"/>
    </row>
    <row r="4" spans="1:7" ht="15.75" x14ac:dyDescent="0.25">
      <c r="A4" s="11"/>
      <c r="B4" s="12" t="s">
        <v>215</v>
      </c>
      <c r="C4" s="11"/>
      <c r="D4" s="11"/>
      <c r="E4" s="11"/>
      <c r="F4" s="11"/>
      <c r="G4" s="11"/>
    </row>
    <row r="5" spans="1:7" ht="15.75" x14ac:dyDescent="0.25">
      <c r="A5" s="11"/>
      <c r="B5" s="12" t="s">
        <v>216</v>
      </c>
      <c r="C5" s="11"/>
      <c r="D5" s="11"/>
      <c r="E5" s="11"/>
      <c r="F5" s="11"/>
      <c r="G5" s="11"/>
    </row>
    <row r="6" spans="1:7" x14ac:dyDescent="0.25">
      <c r="A6" s="13"/>
      <c r="B6" s="13"/>
      <c r="C6" s="13"/>
      <c r="D6" s="13"/>
      <c r="E6" s="13"/>
      <c r="F6" s="13"/>
    </row>
    <row r="7" spans="1:7" x14ac:dyDescent="0.25">
      <c r="A7" s="13"/>
      <c r="B7" s="13" t="s">
        <v>161</v>
      </c>
      <c r="C7" s="58">
        <f>'Project details'!C7</f>
        <v>0</v>
      </c>
      <c r="D7" s="13"/>
      <c r="E7" s="13"/>
      <c r="F7" s="13"/>
    </row>
    <row r="8" spans="1:7" x14ac:dyDescent="0.25">
      <c r="A8" s="13"/>
      <c r="B8" s="13" t="s">
        <v>56</v>
      </c>
      <c r="C8" s="58">
        <f>'Project details'!C8</f>
        <v>0</v>
      </c>
      <c r="D8" s="13"/>
      <c r="E8" s="13"/>
      <c r="F8" s="13"/>
    </row>
    <row r="9" spans="1:7" x14ac:dyDescent="0.25">
      <c r="A9" s="13"/>
      <c r="B9" s="13" t="s">
        <v>162</v>
      </c>
      <c r="C9" s="29"/>
      <c r="D9" s="13"/>
      <c r="E9" s="13"/>
      <c r="F9" s="13"/>
    </row>
    <row r="10" spans="1:7" x14ac:dyDescent="0.25">
      <c r="A10" s="13"/>
      <c r="B10" s="13"/>
      <c r="C10" s="13"/>
      <c r="D10" s="13"/>
      <c r="E10" s="13"/>
      <c r="F10" s="13"/>
    </row>
    <row r="11" spans="1:7" ht="15.75" x14ac:dyDescent="0.25">
      <c r="A11" s="13"/>
      <c r="B11" s="14" t="s">
        <v>168</v>
      </c>
      <c r="D11" s="59" t="s">
        <v>217</v>
      </c>
      <c r="E11" s="13"/>
      <c r="F11" s="60" t="str">
        <f>IFERROR(VLOOKUP($C$9,'Project details'!$E$16:$J$25,4,FALSE),"Select Year")</f>
        <v>Select Year</v>
      </c>
    </row>
    <row r="12" spans="1:7" ht="8.1" customHeight="1" x14ac:dyDescent="0.25"/>
    <row r="13" spans="1:7" ht="15.75" x14ac:dyDescent="0.25">
      <c r="A13" s="13"/>
      <c r="B13" s="14"/>
      <c r="C13" s="28" t="s">
        <v>164</v>
      </c>
      <c r="D13" s="28" t="s">
        <v>218</v>
      </c>
      <c r="E13" s="28"/>
      <c r="F13" s="28" t="s">
        <v>166</v>
      </c>
    </row>
    <row r="14" spans="1:7" x14ac:dyDescent="0.25">
      <c r="A14" s="13"/>
      <c r="B14" s="13" t="s">
        <v>219</v>
      </c>
      <c r="C14" s="73">
        <f>SUMIFS('Participant reporting'!K:K,'Participant reporting'!A:A,$C$9,'Participant reporting'!B:B,1)+SUMIFS('Participant reporting'!L:L,'Participant reporting'!A:A,$C$9,'Participant reporting'!B:B,1)</f>
        <v>0</v>
      </c>
      <c r="D14" s="73">
        <f>IFERROR(VLOOKUP(_xlfn.CONCAT($C$9," ",B14),Estimates!$D$9:$H$48,5,FALSE),)</f>
        <v>0</v>
      </c>
      <c r="E14" s="26"/>
      <c r="F14" s="61" t="str">
        <f>IFERROR(C14/D14,"Input data")</f>
        <v>Input data</v>
      </c>
    </row>
    <row r="15" spans="1:7" x14ac:dyDescent="0.25">
      <c r="A15" s="13"/>
      <c r="B15" s="13" t="s">
        <v>220</v>
      </c>
      <c r="C15" s="74">
        <f>SUMIFS('Participant reporting'!K:K,'Participant reporting'!A:A,$C$9,'Participant reporting'!B:B,2)+SUMIFS('Participant reporting'!L:L,'Participant reporting'!A:A,$C$9,'Participant reporting'!B:B,2)</f>
        <v>0</v>
      </c>
      <c r="D15" s="73">
        <f>IFERROR(VLOOKUP(_xlfn.CONCAT($C$9," ",B15),Estimates!$D$9:$H$48,5,FALSE),)</f>
        <v>0</v>
      </c>
      <c r="E15" s="25"/>
      <c r="F15" s="61" t="str">
        <f>IFERROR(C15/D15,"Input data")</f>
        <v>Input data</v>
      </c>
    </row>
    <row r="16" spans="1:7" x14ac:dyDescent="0.25">
      <c r="A16" s="13"/>
      <c r="B16" s="13" t="s">
        <v>221</v>
      </c>
      <c r="C16" s="74">
        <f>SUMIFS('Participant reporting'!K:K,'Participant reporting'!A:A,$C$9,'Participant reporting'!B:B,3)+SUMIFS('Participant reporting'!L:L,'Participant reporting'!A:A,$C$9,'Participant reporting'!B:B,3)</f>
        <v>0</v>
      </c>
      <c r="D16" s="73">
        <f>IFERROR(VLOOKUP(_xlfn.CONCAT($C$9," ",B16),Estimates!$D$9:$H$48,5,FALSE),)</f>
        <v>0</v>
      </c>
      <c r="E16" s="25"/>
      <c r="F16" s="61" t="str">
        <f>IFERROR(C16/D16,"Input data")</f>
        <v>Input data</v>
      </c>
    </row>
    <row r="17" spans="1:6" x14ac:dyDescent="0.25">
      <c r="A17" s="13"/>
      <c r="B17" s="13" t="s">
        <v>222</v>
      </c>
      <c r="C17" s="74">
        <f>SUMIFS('Participant reporting'!K:K,'Participant reporting'!A:A,$C$9,'Participant reporting'!B:B,4)+SUMIFS('Participant reporting'!L:L,'Participant reporting'!A:A,$C$9,'Participant reporting'!B:B,4)</f>
        <v>0</v>
      </c>
      <c r="D17" s="73">
        <f>IFERROR(VLOOKUP(_xlfn.CONCAT($C$9," ",B17),Estimates!$D$9:$H$48,5,FALSE),)</f>
        <v>0</v>
      </c>
      <c r="E17" s="25"/>
      <c r="F17" s="61" t="str">
        <f>IFERROR(C17/D17,"Input data")</f>
        <v>Input data</v>
      </c>
    </row>
    <row r="18" spans="1:6" x14ac:dyDescent="0.25">
      <c r="A18" s="13"/>
      <c r="B18" s="13" t="s">
        <v>223</v>
      </c>
      <c r="C18" s="74">
        <f>SUMIFS('Participant reporting'!K:K,'Participant reporting'!A:A,$C$9)+SUMIFS('Participant reporting'!L:L,'Participant reporting'!A:A,$C$9)</f>
        <v>0</v>
      </c>
      <c r="D18" s="73">
        <f>IFERROR(VLOOKUP(C9,'Project details'!$E$16:$J$25,2,FALSE),)</f>
        <v>0</v>
      </c>
      <c r="E18" s="25"/>
      <c r="F18" s="61" t="str">
        <f>IFERROR(C18/D18,"Input data")</f>
        <v>Input data</v>
      </c>
    </row>
    <row r="19" spans="1:6" ht="18" customHeight="1" x14ac:dyDescent="0.25"/>
    <row r="20" spans="1:6" ht="15.75" x14ac:dyDescent="0.25">
      <c r="B20" s="14" t="s">
        <v>224</v>
      </c>
      <c r="D20" s="59" t="s">
        <v>217</v>
      </c>
      <c r="E20" s="13"/>
      <c r="F20" s="60" t="str">
        <f>IFERROR(VLOOKUP($C$9,'Project details'!$E$16:$J$25,5,FALSE),"Select Year")</f>
        <v>Select Year</v>
      </c>
    </row>
    <row r="21" spans="1:6" ht="8.1" customHeight="1" x14ac:dyDescent="0.25">
      <c r="B21" s="14"/>
    </row>
    <row r="22" spans="1:6" ht="15.75" x14ac:dyDescent="0.25">
      <c r="A22" s="13"/>
      <c r="B22" s="14"/>
      <c r="C22" s="28" t="s">
        <v>164</v>
      </c>
      <c r="D22" s="28" t="s">
        <v>165</v>
      </c>
      <c r="E22" s="28"/>
      <c r="F22" s="28" t="s">
        <v>166</v>
      </c>
    </row>
    <row r="23" spans="1:6" x14ac:dyDescent="0.25">
      <c r="A23" s="13"/>
      <c r="B23" s="13" t="s">
        <v>225</v>
      </c>
      <c r="C23" s="73">
        <f>SUMIFS('Participant reporting'!K:K,'Participant reporting'!A:A,$C$9,'Participant reporting'!B:B,1,'Participant reporting'!I:I,"Female")+SUMIFS('Participant reporting'!L:L,'Participant reporting'!A:A,$C$9,'Participant reporting'!B:B,1,'Participant reporting'!I:I,"Female")</f>
        <v>0</v>
      </c>
      <c r="D23" s="73">
        <f>C14</f>
        <v>0</v>
      </c>
      <c r="E23" s="26"/>
      <c r="F23" s="61" t="str">
        <f t="shared" ref="F23" si="0">IFERROR(C23/D23,"Input data")</f>
        <v>Input data</v>
      </c>
    </row>
    <row r="24" spans="1:6" x14ac:dyDescent="0.25">
      <c r="A24" s="13"/>
      <c r="B24" s="13" t="s">
        <v>220</v>
      </c>
      <c r="C24" s="73">
        <f>SUMIFS('Participant reporting'!K:K,'Participant reporting'!A:A,$C$9,'Participant reporting'!B:B,2,'Participant reporting'!I:I,"Female")+SUMIFS('Participant reporting'!L:L,'Participant reporting'!A:A,$C$9,'Participant reporting'!B:B,2,'Participant reporting'!I:I,"Female")</f>
        <v>0</v>
      </c>
      <c r="D24" s="73">
        <f>C15</f>
        <v>0</v>
      </c>
      <c r="E24" s="25"/>
      <c r="F24" s="61" t="str">
        <f t="shared" ref="F24" si="1">IFERROR(C24/D24,"Input data")</f>
        <v>Input data</v>
      </c>
    </row>
    <row r="25" spans="1:6" x14ac:dyDescent="0.25">
      <c r="A25" s="13"/>
      <c r="B25" s="13" t="s">
        <v>221</v>
      </c>
      <c r="C25" s="73">
        <f>SUMIFS('Participant reporting'!K:K,'Participant reporting'!A:A,$C$9,'Participant reporting'!B:B,3,'Participant reporting'!I:I,"Female")+SUMIFS('Participant reporting'!L:L,'Participant reporting'!A:A,$C$9,'Participant reporting'!B:B,3,'Participant reporting'!I:I,"Female")</f>
        <v>0</v>
      </c>
      <c r="D25" s="73">
        <f>C16</f>
        <v>0</v>
      </c>
      <c r="E25" s="25"/>
      <c r="F25" s="61" t="str">
        <f t="shared" ref="F25" si="2">IFERROR(C25/D25,"Input data")</f>
        <v>Input data</v>
      </c>
    </row>
    <row r="26" spans="1:6" x14ac:dyDescent="0.25">
      <c r="A26" s="13"/>
      <c r="B26" s="13" t="s">
        <v>222</v>
      </c>
      <c r="C26" s="73">
        <f>SUMIFS('Participant reporting'!K:K,'Participant reporting'!A:A,$C$9,'Participant reporting'!B:B,4,'Participant reporting'!I:I,"Female")+SUMIFS('Participant reporting'!L:L,'Participant reporting'!A:A,$C$9,'Participant reporting'!B:B,4,'Participant reporting'!I:I,"Female")</f>
        <v>0</v>
      </c>
      <c r="D26" s="73">
        <f>C17</f>
        <v>0</v>
      </c>
      <c r="E26" s="25"/>
      <c r="F26" s="61" t="str">
        <f t="shared" ref="F26" si="3">IFERROR(C26/D26,"Input data")</f>
        <v>Input data</v>
      </c>
    </row>
    <row r="27" spans="1:6" x14ac:dyDescent="0.25">
      <c r="A27" s="13"/>
      <c r="B27" s="13" t="s">
        <v>223</v>
      </c>
      <c r="C27" s="73">
        <f>SUMIFS('Participant reporting'!K:K,'Participant reporting'!A:A,$C$9,'Participant reporting'!I:I,"Female")+SUMIFS('Participant reporting'!L:L,'Participant reporting'!A:A,$C$9,'Participant reporting'!I:I,"Female")</f>
        <v>0</v>
      </c>
      <c r="D27" s="73">
        <f>C18</f>
        <v>0</v>
      </c>
      <c r="E27" s="25"/>
      <c r="F27" s="61" t="str">
        <f t="shared" ref="F27" si="4">IFERROR(C27/D27,"Input data")</f>
        <v>Input data</v>
      </c>
    </row>
    <row r="28" spans="1:6" ht="18" customHeight="1" x14ac:dyDescent="0.25"/>
    <row r="29" spans="1:6" ht="15.75" x14ac:dyDescent="0.25">
      <c r="B29" s="14" t="s">
        <v>226</v>
      </c>
      <c r="D29" s="59" t="s">
        <v>217</v>
      </c>
      <c r="E29" s="13"/>
      <c r="F29" s="60" t="str">
        <f>IFERROR(IF($C$8='List values'!$B$3,"-",VLOOKUP($C$9,'Project details'!$E$16:$J$25,6,FALSE)),"Select Year")</f>
        <v>Select Year</v>
      </c>
    </row>
    <row r="30" spans="1:6" ht="8.1" customHeight="1" x14ac:dyDescent="0.25">
      <c r="B30" s="14"/>
    </row>
    <row r="31" spans="1:6" ht="15.75" x14ac:dyDescent="0.25">
      <c r="A31" s="13"/>
      <c r="B31" s="14"/>
      <c r="C31" s="28" t="s">
        <v>164</v>
      </c>
      <c r="D31" s="28" t="s">
        <v>165</v>
      </c>
      <c r="E31" s="28"/>
      <c r="F31" s="28" t="s">
        <v>166</v>
      </c>
    </row>
    <row r="32" spans="1:6" x14ac:dyDescent="0.25">
      <c r="A32" s="13"/>
      <c r="B32" s="13" t="s">
        <v>225</v>
      </c>
      <c r="C32" s="73">
        <f>IF($C$8='List values'!$B$3,"-",SUMIFS('Participant reporting'!K:K,'Participant reporting'!A:A,$C$9,'Participant reporting'!B:B,1,'Participant reporting'!I:I,"Female",'Participant reporting'!J:J,"Yes")+SUMIFS('Participant reporting'!L:L,'Participant reporting'!A:A,$C$9,'Participant reporting'!B:B,1,'Participant reporting'!I:I,"Female",'Participant reporting'!J:J,"Yes"))</f>
        <v>0</v>
      </c>
      <c r="D32" s="73">
        <f>IF($C$8='List values'!$B$3,"-",SUMIFS('Participant reporting'!K:K,'Participant reporting'!A:A,$C$9,'Participant reporting'!B:B,1,'Participant reporting'!J:J,"Yes")+SUMIFS('Participant reporting'!L:L,'Participant reporting'!A:A,$C$9,'Participant reporting'!B:B,1,'Participant reporting'!J:J,"Yes"))</f>
        <v>0</v>
      </c>
      <c r="F32" s="61" t="str">
        <f>IF($C$8='List values'!$B$3,"-",IFERROR(C32/D32,"Input data"))</f>
        <v>Input data</v>
      </c>
    </row>
    <row r="33" spans="1:6" x14ac:dyDescent="0.25">
      <c r="A33" s="13"/>
      <c r="B33" s="13" t="s">
        <v>220</v>
      </c>
      <c r="C33" s="73">
        <f>IF($C$8='List values'!$B$3,"-",SUMIFS('Participant reporting'!K:K,'Participant reporting'!A:A,$C$9,'Participant reporting'!B:B,2,'Participant reporting'!I:I,"Female",'Participant reporting'!J:J,"Yes")+SUMIFS('Participant reporting'!L:L,'Participant reporting'!A:A,$C$9,'Participant reporting'!B:B,2,'Participant reporting'!I:I,"Female",'Participant reporting'!J:J,"Yes"))</f>
        <v>0</v>
      </c>
      <c r="D33" s="73">
        <f>IF($C$8='List values'!$B$3,"-",SUMIFS('Participant reporting'!K:K,'Participant reporting'!A:A,$C$9,'Participant reporting'!B:B,2,'Participant reporting'!J:J,"Yes")+SUMIFS('Participant reporting'!L:L,'Participant reporting'!A:A,$C$9,'Participant reporting'!B:B,2,'Participant reporting'!J:J,"Yes"))</f>
        <v>0</v>
      </c>
      <c r="F33" s="61" t="str">
        <f>IF($C$8='List values'!$B$3,"-",IFERROR(C33/D33,"Input data"))</f>
        <v>Input data</v>
      </c>
    </row>
    <row r="34" spans="1:6" x14ac:dyDescent="0.25">
      <c r="A34" s="13"/>
      <c r="B34" s="13" t="s">
        <v>221</v>
      </c>
      <c r="C34" s="73">
        <f>IF($C$8='List values'!$B$3,"-",SUMIFS('Participant reporting'!K:K,'Participant reporting'!A:A,$C$9,'Participant reporting'!B:B,3,'Participant reporting'!I:I,"Female",'Participant reporting'!J:J,"Yes")+SUMIFS('Participant reporting'!L:L,'Participant reporting'!A:A,$C$9,'Participant reporting'!B:B,3,'Participant reporting'!I:I,"Female",'Participant reporting'!J:J,"Yes"))</f>
        <v>0</v>
      </c>
      <c r="D34" s="73">
        <f>IF($C$8='List values'!$B$3,"-",SUMIFS('Participant reporting'!K:K,'Participant reporting'!A:A,$C$9,'Participant reporting'!B:B,3,'Participant reporting'!J:J,"Yes")+SUMIFS('Participant reporting'!L:L,'Participant reporting'!A:A,$C$9,'Participant reporting'!B:B,3,'Participant reporting'!J:J,"Yes"))</f>
        <v>0</v>
      </c>
      <c r="F34" s="61" t="str">
        <f>IF($C$8='List values'!$B$3,"-",IFERROR(C34/D34,"Input data"))</f>
        <v>Input data</v>
      </c>
    </row>
    <row r="35" spans="1:6" x14ac:dyDescent="0.25">
      <c r="A35" s="13"/>
      <c r="B35" s="13" t="s">
        <v>222</v>
      </c>
      <c r="C35" s="73">
        <f>IF($C$8='List values'!$B$3,"-",SUMIFS('Participant reporting'!K:K,'Participant reporting'!A:A,$C$9,'Participant reporting'!B:B,4,'Participant reporting'!I:I,"Female",'Participant reporting'!J:J,"Yes")+SUMIFS('Participant reporting'!L:L,'Participant reporting'!A:A,$C$9,'Participant reporting'!B:B,4,'Participant reporting'!I:I,"Female",'Participant reporting'!J:J,"Yes"))</f>
        <v>0</v>
      </c>
      <c r="D35" s="73">
        <f>IF($C$8='List values'!$B$3,"-",SUMIFS('Participant reporting'!K:K,'Participant reporting'!A:A,$C$9,'Participant reporting'!B:B,4,'Participant reporting'!J:J,"Yes")+SUMIFS('Participant reporting'!L:L,'Participant reporting'!A:A,$C$9,'Participant reporting'!B:B,4,'Participant reporting'!J:J,"Yes"))</f>
        <v>0</v>
      </c>
      <c r="F35" s="61" t="str">
        <f>IF($C$8='List values'!$B$3,"-",IFERROR(C35/D35,"Input data"))</f>
        <v>Input data</v>
      </c>
    </row>
    <row r="36" spans="1:6" x14ac:dyDescent="0.25">
      <c r="A36" s="13"/>
      <c r="B36" s="13" t="s">
        <v>223</v>
      </c>
      <c r="C36" s="73">
        <f>IF($C$8='List values'!$B$3,"-",SUMIFS('Participant reporting'!K:K,'Participant reporting'!A:A,$C$9,'Participant reporting'!I:I,"Female",'Participant reporting'!J:J,"Yes")+SUMIFS('Participant reporting'!L:L,'Participant reporting'!A:A,$C$9,'Participant reporting'!I:I,"Female",'Participant reporting'!J:J,"Yes"))</f>
        <v>0</v>
      </c>
      <c r="D36" s="73">
        <f>IF(C8='List values'!B3,"-",SUMIFS('Participant reporting'!K:K,'Participant reporting'!A:A,$C$9,'Participant reporting'!J:J,"Yes")+SUMIFS('Participant reporting'!L:L,'Participant reporting'!A:A,$C$9,'Participant reporting'!J:J,"Yes"))</f>
        <v>0</v>
      </c>
      <c r="F36" s="61" t="str">
        <f>IF(C8='List values'!B3,"-",IFERROR(C36/D36,"Input data"))</f>
        <v>Input data</v>
      </c>
    </row>
    <row r="37" spans="1:6" x14ac:dyDescent="0.25">
      <c r="A37" s="13"/>
      <c r="B37" s="13"/>
      <c r="D37" s="13"/>
      <c r="E37" s="13"/>
      <c r="F37" s="13"/>
    </row>
    <row r="38" spans="1:6" x14ac:dyDescent="0.25">
      <c r="A38" s="13"/>
      <c r="B38" s="13"/>
      <c r="C38" s="13"/>
      <c r="D38" s="13"/>
      <c r="E38" s="13"/>
      <c r="F38" s="13"/>
    </row>
    <row r="41" spans="1:6" hidden="1" x14ac:dyDescent="0.25">
      <c r="B41" s="19"/>
    </row>
  </sheetData>
  <sheetProtection algorithmName="SHA-256" hashValue="qnRTCY/iAIUrl7jfx4YBkZxMD8qswM9ENxvUQ/R5nxM=" saltValue="JKcsT7KVG2Q4jk8ygi659Q==" spinCount="100000" sheet="1" selectLockedCells="1"/>
  <phoneticPr fontId="10" type="noConversion"/>
  <conditionalFormatting sqref="F14:F18 F23:F27 F32:F36">
    <cfRule type="cellIs" dxfId="14" priority="5" stopIfTrue="1" operator="greaterThan">
      <formula>1</formula>
    </cfRule>
  </conditionalFormatting>
  <conditionalFormatting sqref="F14:F18">
    <cfRule type="cellIs" dxfId="13" priority="6" operator="lessThan">
      <formula>$F$11</formula>
    </cfRule>
    <cfRule type="cellIs" dxfId="12" priority="29" operator="greaterThanOrEqual">
      <formula>$F$11</formula>
    </cfRule>
  </conditionalFormatting>
  <conditionalFormatting sqref="F23:F27">
    <cfRule type="cellIs" dxfId="11" priority="27" operator="lessThan">
      <formula>$F$20</formula>
    </cfRule>
    <cfRule type="cellIs" dxfId="10" priority="30" operator="greaterThanOrEqual">
      <formula>$F$20</formula>
    </cfRule>
  </conditionalFormatting>
  <conditionalFormatting sqref="F32:F36 F14:F18 F23:F27">
    <cfRule type="containsText" dxfId="8" priority="2" stopIfTrue="1" operator="containsText" text="Input data">
      <formula>NOT(ISERROR(SEARCH("Input data",F14)))</formula>
    </cfRule>
  </conditionalFormatting>
  <conditionalFormatting sqref="F32:F36">
    <cfRule type="cellIs" dxfId="7" priority="28" operator="lessThan">
      <formula>$F$29</formula>
    </cfRule>
    <cfRule type="cellIs" dxfId="6" priority="31" operator="greaterThanOrEqual">
      <formula>$F$29</formula>
    </cfRule>
  </conditionalFormatting>
  <dataValidations count="1">
    <dataValidation type="list" allowBlank="1" showInputMessage="1" showErrorMessage="1" sqref="C9" xr:uid="{8C3132CB-3850-440D-B6EC-F21E14E94A2F}">
      <formula1>Years</formula1>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1" stopIfTrue="1" id="{218B72DB-8ABC-49A5-B821-8E3661A0FA21}">
            <xm:f>$C$8='List values'!$B$3</xm:f>
            <x14:dxf>
              <fill>
                <patternFill patternType="lightUp">
                  <fgColor theme="0"/>
                  <bgColor theme="0" tint="-0.14993743705557422"/>
                </patternFill>
              </fill>
            </x14:dxf>
          </x14:cfRule>
          <xm:sqref>F29 C32:D36 F32:F36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DF397-C0BC-4EFC-9C75-92768A4F28F1}">
  <sheetPr>
    <tabColor theme="9"/>
  </sheetPr>
  <dimension ref="A1:I34"/>
  <sheetViews>
    <sheetView showGridLines="0" zoomScale="110" zoomScaleNormal="110" workbookViewId="0">
      <pane ySplit="5" topLeftCell="A6" activePane="bottomLeft" state="frozen"/>
      <selection pane="bottomLeft" activeCell="C23" sqref="C23:G23"/>
    </sheetView>
  </sheetViews>
  <sheetFormatPr defaultColWidth="0" defaultRowHeight="15" zeroHeight="1" x14ac:dyDescent="0.25"/>
  <cols>
    <col min="1" max="1" width="4.5703125" customWidth="1"/>
    <col min="2" max="2" width="28" customWidth="1"/>
    <col min="3" max="4" width="20.5703125" customWidth="1"/>
    <col min="5" max="5" width="2.5703125" customWidth="1"/>
    <col min="6" max="7" width="20.5703125" customWidth="1"/>
    <col min="8" max="8" width="8.5703125" customWidth="1"/>
    <col min="9" max="9" width="0" hidden="1" customWidth="1"/>
    <col min="10" max="16384" width="9.140625" hidden="1"/>
  </cols>
  <sheetData>
    <row r="1" spans="1:8" x14ac:dyDescent="0.25"/>
    <row r="2" spans="1:8" ht="26.25" x14ac:dyDescent="0.25">
      <c r="A2" s="7"/>
      <c r="B2" s="5" t="s">
        <v>0</v>
      </c>
      <c r="C2" s="8"/>
      <c r="D2" s="8"/>
      <c r="E2" s="8"/>
      <c r="F2" s="8"/>
      <c r="G2" s="8"/>
      <c r="H2" s="8"/>
    </row>
    <row r="3" spans="1:8" ht="21" x14ac:dyDescent="0.25">
      <c r="A3" s="9"/>
      <c r="B3" s="6" t="s">
        <v>227</v>
      </c>
      <c r="C3" s="10"/>
      <c r="D3" s="10"/>
      <c r="E3" s="10"/>
      <c r="F3" s="10"/>
      <c r="G3" s="10"/>
      <c r="H3" s="10"/>
    </row>
    <row r="4" spans="1:8" ht="15.75" x14ac:dyDescent="0.25">
      <c r="A4" s="11"/>
      <c r="B4" s="12" t="s">
        <v>228</v>
      </c>
      <c r="C4" s="11"/>
      <c r="D4" s="11"/>
      <c r="E4" s="11"/>
      <c r="F4" s="11"/>
      <c r="G4" s="11"/>
      <c r="H4" s="11"/>
    </row>
    <row r="5" spans="1:8" ht="15.75" x14ac:dyDescent="0.25">
      <c r="A5" s="11"/>
      <c r="B5" s="12" t="s">
        <v>229</v>
      </c>
      <c r="C5" s="11"/>
      <c r="D5" s="11"/>
      <c r="E5" s="11"/>
      <c r="F5" s="11"/>
      <c r="G5" s="11"/>
      <c r="H5" s="11"/>
    </row>
    <row r="6" spans="1:8" x14ac:dyDescent="0.25">
      <c r="A6" s="13"/>
      <c r="B6" s="13"/>
      <c r="C6" s="13"/>
      <c r="D6" s="13"/>
      <c r="E6" s="13"/>
      <c r="F6" s="13"/>
    </row>
    <row r="7" spans="1:8" x14ac:dyDescent="0.25">
      <c r="A7" s="13"/>
      <c r="B7" s="13" t="s">
        <v>161</v>
      </c>
      <c r="C7" s="58">
        <f>'Project details'!C7</f>
        <v>0</v>
      </c>
      <c r="D7" s="13"/>
      <c r="E7" s="13"/>
      <c r="F7" s="13"/>
    </row>
    <row r="8" spans="1:8" x14ac:dyDescent="0.25">
      <c r="A8" s="13"/>
      <c r="B8" s="13" t="s">
        <v>56</v>
      </c>
      <c r="C8" s="58">
        <f>'Project details'!C8</f>
        <v>0</v>
      </c>
      <c r="D8" s="13"/>
      <c r="E8" s="13"/>
      <c r="F8" s="13"/>
    </row>
    <row r="9" spans="1:8" x14ac:dyDescent="0.25">
      <c r="A9" s="13"/>
      <c r="B9" s="13"/>
      <c r="C9" s="13"/>
      <c r="D9" s="13"/>
      <c r="E9" s="13"/>
      <c r="F9" s="13"/>
    </row>
    <row r="10" spans="1:8" ht="15.75" x14ac:dyDescent="0.25">
      <c r="A10" s="13"/>
      <c r="B10" s="14" t="s">
        <v>230</v>
      </c>
      <c r="D10" s="13"/>
      <c r="E10" s="13"/>
      <c r="F10" s="13"/>
    </row>
    <row r="11" spans="1:8" ht="15.75" x14ac:dyDescent="0.25">
      <c r="A11" s="13"/>
      <c r="B11" s="14"/>
      <c r="C11" s="28" t="s">
        <v>164</v>
      </c>
      <c r="D11" s="28" t="s">
        <v>165</v>
      </c>
      <c r="E11" s="28"/>
      <c r="F11" s="28" t="s">
        <v>166</v>
      </c>
      <c r="G11" s="28" t="s">
        <v>231</v>
      </c>
    </row>
    <row r="12" spans="1:8" x14ac:dyDescent="0.25">
      <c r="A12" s="13"/>
      <c r="B12" s="13" t="s">
        <v>171</v>
      </c>
      <c r="C12" s="73">
        <f>SUM('Participant reporting'!K:K,'Participant reporting'!L:L)</f>
        <v>0</v>
      </c>
      <c r="D12" s="73">
        <f>'Project details'!C11</f>
        <v>0</v>
      </c>
      <c r="E12" s="26"/>
      <c r="F12" s="61" t="str">
        <f>IFERROR(C12/D12,"Input data")</f>
        <v>Input data</v>
      </c>
      <c r="G12" s="60" t="str">
        <f>'Project details'!H27</f>
        <v>INPUT DATA</v>
      </c>
      <c r="H12" s="62"/>
    </row>
    <row r="13" spans="1:8" x14ac:dyDescent="0.25">
      <c r="A13" s="13"/>
      <c r="B13" s="13" t="s">
        <v>169</v>
      </c>
      <c r="C13" s="73">
        <f>SUMIFS('Participant reporting'!K:K,'Participant reporting'!I:I,"Female")+SUMIFS('Participant reporting'!L:L,'Participant reporting'!I:I,"Femaile")</f>
        <v>0</v>
      </c>
      <c r="D13" s="73">
        <f>C12</f>
        <v>0</v>
      </c>
      <c r="E13" s="26"/>
      <c r="F13" s="61" t="str">
        <f t="shared" ref="F13" si="0">IFERROR(C13/D13,"Input data")</f>
        <v>Input data</v>
      </c>
      <c r="G13" s="60" t="str">
        <f>'Project details'!I27</f>
        <v>INPUT DATA</v>
      </c>
    </row>
    <row r="14" spans="1:8" x14ac:dyDescent="0.25">
      <c r="A14" s="13"/>
      <c r="B14" s="13" t="s">
        <v>69</v>
      </c>
      <c r="C14" s="73">
        <f>IF(C8='List values'!B3,"-",SUMIFS('Participant reporting'!K:K,'Participant reporting'!I:I,"Female",'Participant reporting'!J:J,"Yes")+SUMIFS('Participant reporting'!L:L,'Participant reporting'!I:I,"Female",'Participant reporting'!J:J,"Yes"))</f>
        <v>0</v>
      </c>
      <c r="D14" s="73">
        <f>IF(C8='List values'!B3,"-",SUMIFS('Participant reporting'!K:K,'Participant reporting'!J:J,"Yes")+SUMIFS('Participant reporting'!L:L,'Participant reporting'!J:J,"Yes"))</f>
        <v>0</v>
      </c>
      <c r="F14" s="61" t="str">
        <f>IF(C8='List values'!B3,"-",IFERROR(C14/D14,"Input data"))</f>
        <v>Input data</v>
      </c>
      <c r="G14" s="60" t="str">
        <f>'Project details'!J27</f>
        <v>INPUT DATA</v>
      </c>
    </row>
    <row r="15" spans="1:8" x14ac:dyDescent="0.25">
      <c r="A15" s="13"/>
      <c r="B15" s="13"/>
      <c r="D15" s="13"/>
      <c r="E15" s="13"/>
      <c r="F15" s="13"/>
    </row>
    <row r="16" spans="1:8" x14ac:dyDescent="0.25">
      <c r="A16" s="13"/>
      <c r="B16" s="13"/>
      <c r="C16" s="13"/>
      <c r="D16" s="13"/>
      <c r="E16" s="13"/>
      <c r="F16" s="13"/>
    </row>
    <row r="17" spans="1:7" ht="15.75" x14ac:dyDescent="0.25">
      <c r="A17" s="13"/>
      <c r="B17" s="14" t="s">
        <v>188</v>
      </c>
      <c r="C17" s="13"/>
      <c r="D17" s="13"/>
      <c r="E17" s="13"/>
      <c r="F17" s="13"/>
    </row>
    <row r="18" spans="1:7" x14ac:dyDescent="0.25">
      <c r="A18" s="13"/>
      <c r="B18" s="63" t="s">
        <v>189</v>
      </c>
      <c r="C18" s="13"/>
      <c r="D18" s="13"/>
      <c r="E18" s="13"/>
      <c r="F18" s="13"/>
    </row>
    <row r="19" spans="1:7" ht="8.4499999999999993" customHeight="1" x14ac:dyDescent="0.25">
      <c r="A19" s="13"/>
      <c r="B19" s="19"/>
    </row>
    <row r="20" spans="1:7" x14ac:dyDescent="0.25">
      <c r="A20" s="13"/>
      <c r="B20" s="19" t="s">
        <v>232</v>
      </c>
      <c r="C20" s="81"/>
      <c r="D20" s="64"/>
    </row>
    <row r="21" spans="1:7" x14ac:dyDescent="0.25">
      <c r="A21" s="13"/>
      <c r="B21" s="19" t="s">
        <v>233</v>
      </c>
      <c r="C21" s="81"/>
      <c r="D21" s="64"/>
      <c r="F21" s="26" t="s">
        <v>95</v>
      </c>
      <c r="G21" s="96"/>
    </row>
    <row r="22" spans="1:7" ht="8.4499999999999993" customHeight="1" x14ac:dyDescent="0.25"/>
    <row r="23" spans="1:7" ht="60" customHeight="1" x14ac:dyDescent="0.25">
      <c r="A23" s="13"/>
      <c r="B23" s="19" t="s">
        <v>234</v>
      </c>
      <c r="C23" s="125"/>
      <c r="D23" s="126"/>
      <c r="E23" s="126"/>
      <c r="F23" s="126"/>
      <c r="G23" s="127"/>
    </row>
    <row r="24" spans="1:7" ht="32.1" customHeight="1" x14ac:dyDescent="0.25">
      <c r="A24" s="13"/>
      <c r="B24" s="19" t="s">
        <v>235</v>
      </c>
      <c r="C24" s="33"/>
    </row>
    <row r="25" spans="1:7" ht="8.4499999999999993" customHeight="1" x14ac:dyDescent="0.25"/>
    <row r="26" spans="1:7" ht="60" customHeight="1" x14ac:dyDescent="0.25">
      <c r="A26" s="13"/>
      <c r="B26" s="19" t="s">
        <v>236</v>
      </c>
      <c r="C26" s="131"/>
      <c r="D26" s="126"/>
      <c r="E26" s="126"/>
      <c r="F26" s="126"/>
      <c r="G26" s="127"/>
    </row>
    <row r="27" spans="1:7" x14ac:dyDescent="0.25"/>
    <row r="28" spans="1:7" ht="15.75" x14ac:dyDescent="0.25">
      <c r="B28" s="14" t="s">
        <v>181</v>
      </c>
    </row>
    <row r="29" spans="1:7" x14ac:dyDescent="0.25">
      <c r="A29" s="13"/>
      <c r="B29" s="63" t="s">
        <v>189</v>
      </c>
      <c r="C29" s="13"/>
      <c r="D29" s="13"/>
      <c r="E29" s="13"/>
      <c r="F29" s="13"/>
    </row>
    <row r="30" spans="1:7" ht="8.4499999999999993" customHeight="1" x14ac:dyDescent="0.25">
      <c r="A30" s="13"/>
      <c r="B30" s="63"/>
      <c r="C30" s="13"/>
      <c r="D30" s="13"/>
      <c r="E30" s="13"/>
      <c r="F30" s="13"/>
    </row>
    <row r="31" spans="1:7" ht="30" x14ac:dyDescent="0.25">
      <c r="B31" s="19" t="s">
        <v>237</v>
      </c>
      <c r="C31" s="33"/>
      <c r="D31" s="64"/>
    </row>
    <row r="32" spans="1:7" ht="60" customHeight="1" x14ac:dyDescent="0.25">
      <c r="B32" s="19" t="s">
        <v>238</v>
      </c>
      <c r="C32" s="125"/>
      <c r="D32" s="126"/>
      <c r="E32" s="126"/>
      <c r="F32" s="126"/>
      <c r="G32" s="127"/>
    </row>
    <row r="33" x14ac:dyDescent="0.25"/>
    <row r="34" x14ac:dyDescent="0.25"/>
  </sheetData>
  <sheetProtection algorithmName="SHA-256" hashValue="gY23pnIg/BjnWZFq8swv1S39lzuGUMSF3TMKI+T4gzY=" saltValue="4Q77dRxmeOJZkGIrpAoWNA==" spinCount="100000" sheet="1" selectLockedCells="1"/>
  <mergeCells count="3">
    <mergeCell ref="C26:G26"/>
    <mergeCell ref="C23:G23"/>
    <mergeCell ref="C32:G32"/>
  </mergeCells>
  <conditionalFormatting sqref="F12:F14">
    <cfRule type="containsText" dxfId="4" priority="7" operator="containsText" text="Input data">
      <formula>NOT(ISERROR(SEARCH("Input data",F12)))</formula>
    </cfRule>
    <cfRule type="cellIs" dxfId="3" priority="8" operator="greaterThan">
      <formula>1</formula>
    </cfRule>
    <cfRule type="cellIs" dxfId="2" priority="9" operator="lessThan">
      <formula>$G12</formula>
    </cfRule>
    <cfRule type="cellIs" dxfId="1" priority="10" operator="greaterThanOrEqual">
      <formula>$G12</formula>
    </cfRule>
  </conditionalFormatting>
  <conditionalFormatting sqref="F21:G21">
    <cfRule type="expression" dxfId="0" priority="1">
      <formula>$C21&lt;&gt;"Other (please specify)"</formula>
    </cfRule>
  </conditionalFormatting>
  <dataValidations count="5">
    <dataValidation type="list" allowBlank="1" showInputMessage="1" showErrorMessage="1" sqref="C20" xr:uid="{7D0203EC-74C8-4355-BA16-CCBE6030EF51}">
      <formula1>End</formula1>
    </dataValidation>
    <dataValidation type="list" allowBlank="1" showErrorMessage="1" sqref="C24" xr:uid="{3D1B2E1F-C345-4205-8523-F22B31B31A83}">
      <formula1>Boolean</formula1>
    </dataValidation>
    <dataValidation type="list" allowBlank="1" showInputMessage="1" showErrorMessage="1" sqref="C31" xr:uid="{FD2A0656-43AE-42F2-B910-3853A95B956B}">
      <formula1>GEAP</formula1>
    </dataValidation>
    <dataValidation allowBlank="1" showInputMessage="1" showErrorMessage="1" promptTitle="Guidance" prompt="Please describe in simple dot points" sqref="C23:G23 C26:G26 C32:G32" xr:uid="{656A9D4A-80BF-4688-96D2-7C7D02AB5D43}"/>
    <dataValidation type="list" allowBlank="1" showInputMessage="1" showErrorMessage="1" sqref="C21" xr:uid="{4405922D-E0BF-4438-8D6C-F3C647376463}">
      <formula1>INDIRECT(SUBSTITUTE(C20," ","_"))</formula1>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6" stopIfTrue="1" id="{D1CC00DE-2B6B-47CA-A5FE-3DAB450D2C80}">
            <xm:f>$C$8='List values'!$B$3</xm:f>
            <x14:dxf>
              <fill>
                <patternFill patternType="lightUp">
                  <fgColor theme="0"/>
                  <bgColor theme="0" tint="-0.14993743705557422"/>
                </patternFill>
              </fill>
            </x14:dxf>
          </x14:cfRule>
          <xm:sqref>C14:D14 F14:G14</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01B28-C64C-4095-951E-11775F66416F}">
  <dimension ref="A1:H2"/>
  <sheetViews>
    <sheetView workbookViewId="0">
      <selection activeCell="D10" sqref="D10"/>
    </sheetView>
  </sheetViews>
  <sheetFormatPr defaultRowHeight="15" x14ac:dyDescent="0.25"/>
  <cols>
    <col min="1" max="1" width="25.7109375" bestFit="1" customWidth="1"/>
    <col min="2" max="2" width="19.85546875" bestFit="1" customWidth="1"/>
    <col min="3" max="3" width="5.85546875" bestFit="1" customWidth="1"/>
    <col min="4" max="4" width="50.28515625" bestFit="1" customWidth="1"/>
    <col min="5" max="5" width="28.140625" bestFit="1" customWidth="1"/>
    <col min="6" max="6" width="19.42578125" bestFit="1" customWidth="1"/>
    <col min="7" max="7" width="39.140625" bestFit="1" customWidth="1"/>
    <col min="8" max="8" width="16.5703125" bestFit="1" customWidth="1"/>
  </cols>
  <sheetData>
    <row r="1" spans="1:8" x14ac:dyDescent="0.25">
      <c r="A1" t="s">
        <v>232</v>
      </c>
      <c r="B1" t="s">
        <v>233</v>
      </c>
      <c r="C1" t="s">
        <v>95</v>
      </c>
      <c r="D1" t="s">
        <v>239</v>
      </c>
      <c r="E1" t="s">
        <v>240</v>
      </c>
      <c r="F1" t="s">
        <v>236</v>
      </c>
      <c r="G1" t="s">
        <v>237</v>
      </c>
      <c r="H1" t="s">
        <v>238</v>
      </c>
    </row>
    <row r="2" spans="1:8" x14ac:dyDescent="0.25">
      <c r="A2">
        <f>'End of project report'!C20</f>
        <v>0</v>
      </c>
      <c r="B2">
        <f>'End of project report'!C21</f>
        <v>0</v>
      </c>
      <c r="C2">
        <f>'End of project report'!G21</f>
        <v>0</v>
      </c>
      <c r="D2">
        <f>'End of project report'!C23</f>
        <v>0</v>
      </c>
      <c r="E2">
        <f>'End of project report'!C24</f>
        <v>0</v>
      </c>
      <c r="F2">
        <f>'End of project report'!C26</f>
        <v>0</v>
      </c>
      <c r="G2">
        <f>'End of project report'!C31</f>
        <v>0</v>
      </c>
      <c r="H2">
        <f>'End of project report'!C32</f>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89683-9CB2-45B4-A543-79B1E213CE80}">
  <sheetPr>
    <tabColor theme="3"/>
  </sheetPr>
  <dimension ref="B2:H49"/>
  <sheetViews>
    <sheetView showGridLines="0" workbookViewId="0">
      <selection activeCell="B2" sqref="B2"/>
    </sheetView>
  </sheetViews>
  <sheetFormatPr defaultRowHeight="15" x14ac:dyDescent="0.25"/>
  <cols>
    <col min="1" max="1" width="4.5703125" customWidth="1"/>
    <col min="2" max="2" width="17.85546875" bestFit="1" customWidth="1"/>
    <col min="3" max="3" width="14.5703125" customWidth="1"/>
    <col min="4" max="4" width="15.140625" bestFit="1" customWidth="1"/>
    <col min="5" max="6" width="14.5703125" customWidth="1"/>
    <col min="7" max="7" width="10.5703125" customWidth="1"/>
    <col min="8" max="8" width="17.140625" bestFit="1" customWidth="1"/>
    <col min="9" max="9" width="14.5703125" bestFit="1" customWidth="1"/>
    <col min="10" max="10" width="15.28515625" bestFit="1" customWidth="1"/>
    <col min="11" max="11" width="23.5703125" bestFit="1" customWidth="1"/>
  </cols>
  <sheetData>
    <row r="2" spans="2:8" x14ac:dyDescent="0.25">
      <c r="B2" s="44" t="s">
        <v>241</v>
      </c>
      <c r="C2" s="13"/>
      <c r="D2" s="13"/>
      <c r="E2" s="13"/>
      <c r="F2" s="13"/>
      <c r="G2" s="13"/>
      <c r="H2" s="13"/>
    </row>
    <row r="3" spans="2:8" x14ac:dyDescent="0.25">
      <c r="B3" s="13"/>
      <c r="C3" s="13"/>
      <c r="D3" s="13"/>
      <c r="E3" s="13"/>
      <c r="F3" s="13"/>
      <c r="G3" s="13"/>
      <c r="H3" s="13"/>
    </row>
    <row r="4" spans="2:8" x14ac:dyDescent="0.25">
      <c r="B4" s="13" t="s">
        <v>242</v>
      </c>
      <c r="C4" s="84">
        <f>'Project details'!C17</f>
        <v>0</v>
      </c>
      <c r="D4" s="13"/>
      <c r="E4" s="13"/>
      <c r="F4" s="13"/>
      <c r="G4" s="13"/>
      <c r="H4" s="13"/>
    </row>
    <row r="5" spans="2:8" x14ac:dyDescent="0.25">
      <c r="B5" s="13" t="s">
        <v>243</v>
      </c>
      <c r="C5" s="84">
        <f>'Project details'!C18</f>
        <v>0</v>
      </c>
      <c r="D5" s="13"/>
      <c r="E5" s="13"/>
      <c r="F5" s="13"/>
      <c r="G5" s="13"/>
      <c r="H5" s="13"/>
    </row>
    <row r="6" spans="2:8" x14ac:dyDescent="0.25">
      <c r="B6" s="13" t="s">
        <v>244</v>
      </c>
      <c r="C6" s="85">
        <f>(YEAR(C5)*4+CEILING(MONTH(C5)/3,1))-IF(C4&gt;45473,(YEAR(C4)*4+CEILING(MONTH(C4)/3,1)),(YEAR(45474)*4+CEILING(MONTH(45474)/3,1)))+1</f>
        <v>-497</v>
      </c>
      <c r="D6" s="13"/>
      <c r="E6" s="13"/>
      <c r="F6" s="13"/>
      <c r="G6" s="13"/>
      <c r="H6" s="13"/>
    </row>
    <row r="7" spans="2:8" x14ac:dyDescent="0.25">
      <c r="B7" s="13"/>
      <c r="C7" s="13"/>
      <c r="D7" s="13"/>
      <c r="E7" s="13"/>
      <c r="F7" s="13"/>
      <c r="G7" s="13"/>
      <c r="H7" s="13"/>
    </row>
    <row r="8" spans="2:8" x14ac:dyDescent="0.25">
      <c r="B8" s="86" t="s">
        <v>245</v>
      </c>
      <c r="C8" s="86" t="s">
        <v>142</v>
      </c>
      <c r="D8" s="86" t="s">
        <v>246</v>
      </c>
      <c r="E8" s="86" t="s">
        <v>247</v>
      </c>
      <c r="F8" s="86" t="s">
        <v>248</v>
      </c>
      <c r="G8" s="86" t="s">
        <v>249</v>
      </c>
      <c r="H8" s="86" t="s">
        <v>250</v>
      </c>
    </row>
    <row r="9" spans="2:8" x14ac:dyDescent="0.25">
      <c r="B9" s="83">
        <v>2025</v>
      </c>
      <c r="C9" s="83">
        <v>1</v>
      </c>
      <c r="D9" s="83" t="s">
        <v>251</v>
      </c>
      <c r="E9" s="87">
        <v>45474</v>
      </c>
      <c r="F9" s="87">
        <v>45565</v>
      </c>
      <c r="G9" s="82">
        <f>IF(OR($C$5&lt;E9,$C$4&gt;F9),0,1)</f>
        <v>0</v>
      </c>
      <c r="H9" s="82">
        <f>IF(G9=1,ROUND((VLOOKUP(B9,'Project details'!$E$16:$F$25,2,FALSE)/SUMIF($B$9:$B$48,B9,$G$9:$G$48)),0),0)</f>
        <v>0</v>
      </c>
    </row>
    <row r="10" spans="2:8" x14ac:dyDescent="0.25">
      <c r="B10" s="83">
        <v>2025</v>
      </c>
      <c r="C10" s="83">
        <v>2</v>
      </c>
      <c r="D10" s="83" t="s">
        <v>252</v>
      </c>
      <c r="E10" s="87">
        <v>45566</v>
      </c>
      <c r="F10" s="87">
        <v>45657</v>
      </c>
      <c r="G10" s="82">
        <f t="shared" ref="G10:G12" si="0">IF(OR($C$5&lt;E10,$C$4&gt;F10),0,1)</f>
        <v>0</v>
      </c>
      <c r="H10" s="82">
        <f>IF(G10=1,ROUND((VLOOKUP(B10,'Project details'!$E$16:$F$25,2,FALSE)/SUMIF($B$9:$B$48,B10,$G$9:$G$48)),0),0)</f>
        <v>0</v>
      </c>
    </row>
    <row r="11" spans="2:8" x14ac:dyDescent="0.25">
      <c r="B11" s="83">
        <v>2025</v>
      </c>
      <c r="C11" s="83">
        <v>3</v>
      </c>
      <c r="D11" s="83" t="s">
        <v>253</v>
      </c>
      <c r="E11" s="87">
        <v>45658</v>
      </c>
      <c r="F11" s="87">
        <v>45747</v>
      </c>
      <c r="G11" s="82">
        <f t="shared" si="0"/>
        <v>0</v>
      </c>
      <c r="H11" s="82">
        <f>IF(G11=1,ROUND((VLOOKUP(B11,'Project details'!$E$16:$F$25,2,FALSE)/SUMIF($B$9:$B$48,B11,$G$9:$G$48)),0),0)</f>
        <v>0</v>
      </c>
    </row>
    <row r="12" spans="2:8" x14ac:dyDescent="0.25">
      <c r="B12" s="83">
        <v>2025</v>
      </c>
      <c r="C12" s="83">
        <v>4</v>
      </c>
      <c r="D12" s="83" t="s">
        <v>254</v>
      </c>
      <c r="E12" s="87">
        <v>45748</v>
      </c>
      <c r="F12" s="87">
        <v>45838</v>
      </c>
      <c r="G12" s="82">
        <f t="shared" si="0"/>
        <v>0</v>
      </c>
      <c r="H12" s="82">
        <f>IF(G12=1,ROUND((VLOOKUP(B12,'Project details'!$E$16:$F$25,2,FALSE)/SUMIF($B$9:$B$48,B12,$G$9:$G$48)),0),0)</f>
        <v>0</v>
      </c>
    </row>
    <row r="13" spans="2:8" x14ac:dyDescent="0.25">
      <c r="B13" s="83">
        <v>2026</v>
      </c>
      <c r="C13" s="83">
        <v>1</v>
      </c>
      <c r="D13" s="83" t="s">
        <v>255</v>
      </c>
      <c r="E13" s="87">
        <v>45839</v>
      </c>
      <c r="F13" s="87">
        <v>45930</v>
      </c>
      <c r="G13" s="82">
        <f>IF(OR($C$5&lt;E13,$C$4&gt;F13),0,1)</f>
        <v>0</v>
      </c>
      <c r="H13" s="82">
        <f>IF(G13=1,ROUND((VLOOKUP(B13,'Project details'!$E$16:$F$25,2,FALSE)/SUMIF($B$9:$B$48,B13,$G$9:$G$48)),0),0)</f>
        <v>0</v>
      </c>
    </row>
    <row r="14" spans="2:8" x14ac:dyDescent="0.25">
      <c r="B14" s="83">
        <v>2026</v>
      </c>
      <c r="C14" s="83">
        <v>2</v>
      </c>
      <c r="D14" s="83" t="s">
        <v>256</v>
      </c>
      <c r="E14" s="87">
        <v>45931</v>
      </c>
      <c r="F14" s="87">
        <v>46022</v>
      </c>
      <c r="G14" s="82">
        <f t="shared" ref="G14:G48" si="1">IF(OR($C$5&lt;E14,$C$4&gt;F14),0,1)</f>
        <v>0</v>
      </c>
      <c r="H14" s="82">
        <f>IF(G14=1,ROUND((VLOOKUP(B14,'Project details'!$E$16:$F$25,2,FALSE)/SUMIF($B$9:$B$48,B14,$G$9:$G$48)),0),0)</f>
        <v>0</v>
      </c>
    </row>
    <row r="15" spans="2:8" x14ac:dyDescent="0.25">
      <c r="B15" s="83">
        <v>2026</v>
      </c>
      <c r="C15" s="83">
        <v>3</v>
      </c>
      <c r="D15" s="83" t="s">
        <v>257</v>
      </c>
      <c r="E15" s="87">
        <v>46023</v>
      </c>
      <c r="F15" s="87">
        <v>46112</v>
      </c>
      <c r="G15" s="82">
        <f t="shared" si="1"/>
        <v>0</v>
      </c>
      <c r="H15" s="82">
        <f>IF(G15=1,ROUND((VLOOKUP(B15,'Project details'!$E$16:$F$25,2,FALSE)/SUMIF($B$9:$B$48,B15,$G$9:$G$48)),0),0)</f>
        <v>0</v>
      </c>
    </row>
    <row r="16" spans="2:8" x14ac:dyDescent="0.25">
      <c r="B16" s="83">
        <v>2026</v>
      </c>
      <c r="C16" s="83">
        <v>4</v>
      </c>
      <c r="D16" s="83" t="s">
        <v>258</v>
      </c>
      <c r="E16" s="87">
        <v>46113</v>
      </c>
      <c r="F16" s="87">
        <v>46203</v>
      </c>
      <c r="G16" s="82">
        <f t="shared" si="1"/>
        <v>0</v>
      </c>
      <c r="H16" s="82">
        <f>IF(G16=1,ROUND((VLOOKUP(B16,'Project details'!$E$16:$F$25,2,FALSE)/SUMIF($B$9:$B$48,B16,$G$9:$G$48)),0),0)</f>
        <v>0</v>
      </c>
    </row>
    <row r="17" spans="2:8" x14ac:dyDescent="0.25">
      <c r="B17" s="83">
        <v>2027</v>
      </c>
      <c r="C17" s="83">
        <v>1</v>
      </c>
      <c r="D17" s="83" t="s">
        <v>259</v>
      </c>
      <c r="E17" s="87">
        <v>46204</v>
      </c>
      <c r="F17" s="87">
        <v>46295</v>
      </c>
      <c r="G17" s="82">
        <f t="shared" si="1"/>
        <v>0</v>
      </c>
      <c r="H17" s="82">
        <f>IF(G17=1,ROUND((VLOOKUP(B17,'Project details'!$E$16:$F$25,2,FALSE)/SUMIF($B$9:$B$48,B17,$G$9:$G$48)),0),0)</f>
        <v>0</v>
      </c>
    </row>
    <row r="18" spans="2:8" x14ac:dyDescent="0.25">
      <c r="B18" s="83">
        <v>2027</v>
      </c>
      <c r="C18" s="83">
        <v>2</v>
      </c>
      <c r="D18" s="83" t="s">
        <v>260</v>
      </c>
      <c r="E18" s="87">
        <v>46296</v>
      </c>
      <c r="F18" s="87">
        <v>46387</v>
      </c>
      <c r="G18" s="82">
        <f t="shared" si="1"/>
        <v>0</v>
      </c>
      <c r="H18" s="82">
        <f>IF(G18=1,ROUND((VLOOKUP(B18,'Project details'!$E$16:$F$25,2,FALSE)/SUMIF($B$9:$B$48,B18,$G$9:$G$48)),0),0)</f>
        <v>0</v>
      </c>
    </row>
    <row r="19" spans="2:8" x14ac:dyDescent="0.25">
      <c r="B19" s="83">
        <v>2027</v>
      </c>
      <c r="C19" s="83">
        <v>3</v>
      </c>
      <c r="D19" s="83" t="s">
        <v>261</v>
      </c>
      <c r="E19" s="87">
        <v>46388</v>
      </c>
      <c r="F19" s="87">
        <v>46477</v>
      </c>
      <c r="G19" s="82">
        <f t="shared" si="1"/>
        <v>0</v>
      </c>
      <c r="H19" s="82">
        <f>IF(G19=1,ROUND((VLOOKUP(B19,'Project details'!$E$16:$F$25,2,FALSE)/SUMIF($B$9:$B$48,B19,$G$9:$G$48)),0),0)</f>
        <v>0</v>
      </c>
    </row>
    <row r="20" spans="2:8" x14ac:dyDescent="0.25">
      <c r="B20" s="83">
        <v>2027</v>
      </c>
      <c r="C20" s="83">
        <v>4</v>
      </c>
      <c r="D20" s="83" t="s">
        <v>262</v>
      </c>
      <c r="E20" s="87">
        <v>46478</v>
      </c>
      <c r="F20" s="87">
        <v>46568</v>
      </c>
      <c r="G20" s="82">
        <f t="shared" si="1"/>
        <v>0</v>
      </c>
      <c r="H20" s="82">
        <f>IF(G20=1,ROUND((VLOOKUP(B20,'Project details'!$E$16:$F$25,2,FALSE)/SUMIF($B$9:$B$48,B20,$G$9:$G$48)),0),0)</f>
        <v>0</v>
      </c>
    </row>
    <row r="21" spans="2:8" x14ac:dyDescent="0.25">
      <c r="B21" s="83">
        <v>2028</v>
      </c>
      <c r="C21" s="83">
        <v>1</v>
      </c>
      <c r="D21" s="83" t="s">
        <v>263</v>
      </c>
      <c r="E21" s="87">
        <v>46569</v>
      </c>
      <c r="F21" s="87">
        <v>46660</v>
      </c>
      <c r="G21" s="82">
        <f t="shared" si="1"/>
        <v>0</v>
      </c>
      <c r="H21" s="82">
        <f>IF(G21=1,ROUND((VLOOKUP(B21,'Project details'!$E$16:$F$25,2,FALSE)/SUMIF($B$9:$B$48,B21,$G$9:$G$48)),0),0)</f>
        <v>0</v>
      </c>
    </row>
    <row r="22" spans="2:8" x14ac:dyDescent="0.25">
      <c r="B22" s="83">
        <v>2028</v>
      </c>
      <c r="C22" s="83">
        <v>2</v>
      </c>
      <c r="D22" s="83" t="s">
        <v>264</v>
      </c>
      <c r="E22" s="87">
        <v>46661</v>
      </c>
      <c r="F22" s="87">
        <v>46752</v>
      </c>
      <c r="G22" s="82">
        <f t="shared" si="1"/>
        <v>0</v>
      </c>
      <c r="H22" s="82">
        <f>IF(G22=1,ROUND((VLOOKUP(B22,'Project details'!$E$16:$F$25,2,FALSE)/SUMIF($B$9:$B$48,B22,$G$9:$G$48)),0),0)</f>
        <v>0</v>
      </c>
    </row>
    <row r="23" spans="2:8" x14ac:dyDescent="0.25">
      <c r="B23" s="83">
        <v>2028</v>
      </c>
      <c r="C23" s="83">
        <v>3</v>
      </c>
      <c r="D23" s="83" t="s">
        <v>265</v>
      </c>
      <c r="E23" s="87">
        <v>46753</v>
      </c>
      <c r="F23" s="87">
        <v>46843</v>
      </c>
      <c r="G23" s="82">
        <f t="shared" si="1"/>
        <v>0</v>
      </c>
      <c r="H23" s="82">
        <f>IF(G23=1,ROUND((VLOOKUP(B23,'Project details'!$E$16:$F$25,2,FALSE)/SUMIF($B$9:$B$48,B23,$G$9:$G$48)),0),0)</f>
        <v>0</v>
      </c>
    </row>
    <row r="24" spans="2:8" x14ac:dyDescent="0.25">
      <c r="B24" s="83">
        <v>2028</v>
      </c>
      <c r="C24" s="83">
        <v>4</v>
      </c>
      <c r="D24" s="83" t="s">
        <v>266</v>
      </c>
      <c r="E24" s="87">
        <v>46844</v>
      </c>
      <c r="F24" s="87">
        <v>46934</v>
      </c>
      <c r="G24" s="82">
        <f t="shared" si="1"/>
        <v>0</v>
      </c>
      <c r="H24" s="82">
        <f>IF(G24=1,ROUND((VLOOKUP(B24,'Project details'!$E$16:$F$25,2,FALSE)/SUMIF($B$9:$B$48,B24,$G$9:$G$48)),0),0)</f>
        <v>0</v>
      </c>
    </row>
    <row r="25" spans="2:8" x14ac:dyDescent="0.25">
      <c r="B25" s="83">
        <v>2029</v>
      </c>
      <c r="C25" s="83">
        <v>1</v>
      </c>
      <c r="D25" s="83" t="s">
        <v>267</v>
      </c>
      <c r="E25" s="87">
        <v>46935</v>
      </c>
      <c r="F25" s="87">
        <v>47026</v>
      </c>
      <c r="G25" s="82">
        <f t="shared" si="1"/>
        <v>0</v>
      </c>
      <c r="H25" s="82">
        <f>IF(G25=1,ROUND((VLOOKUP(B25,'Project details'!$E$16:$F$25,2,FALSE)/SUMIF($B$9:$B$48,B25,$G$9:$G$48)),0),0)</f>
        <v>0</v>
      </c>
    </row>
    <row r="26" spans="2:8" x14ac:dyDescent="0.25">
      <c r="B26" s="83">
        <v>2029</v>
      </c>
      <c r="C26" s="83">
        <v>2</v>
      </c>
      <c r="D26" s="83" t="s">
        <v>268</v>
      </c>
      <c r="E26" s="87">
        <v>47027</v>
      </c>
      <c r="F26" s="87">
        <v>47118</v>
      </c>
      <c r="G26" s="82">
        <f t="shared" si="1"/>
        <v>0</v>
      </c>
      <c r="H26" s="82">
        <f>IF(G26=1,ROUND((VLOOKUP(B26,'Project details'!$E$16:$F$25,2,FALSE)/SUMIF($B$9:$B$48,B26,$G$9:$G$48)),0),0)</f>
        <v>0</v>
      </c>
    </row>
    <row r="27" spans="2:8" x14ac:dyDescent="0.25">
      <c r="B27" s="83">
        <v>2029</v>
      </c>
      <c r="C27" s="83">
        <v>3</v>
      </c>
      <c r="D27" s="83" t="s">
        <v>269</v>
      </c>
      <c r="E27" s="87">
        <v>47119</v>
      </c>
      <c r="F27" s="87">
        <v>47208</v>
      </c>
      <c r="G27" s="82">
        <f t="shared" si="1"/>
        <v>0</v>
      </c>
      <c r="H27" s="82">
        <f>IF(G27=1,ROUND((VLOOKUP(B27,'Project details'!$E$16:$F$25,2,FALSE)/SUMIF($B$9:$B$48,B27,$G$9:$G$48)),0),0)</f>
        <v>0</v>
      </c>
    </row>
    <row r="28" spans="2:8" x14ac:dyDescent="0.25">
      <c r="B28" s="83">
        <v>2029</v>
      </c>
      <c r="C28" s="83">
        <v>4</v>
      </c>
      <c r="D28" s="83" t="s">
        <v>270</v>
      </c>
      <c r="E28" s="87">
        <v>47209</v>
      </c>
      <c r="F28" s="87">
        <v>47299</v>
      </c>
      <c r="G28" s="82">
        <f t="shared" si="1"/>
        <v>0</v>
      </c>
      <c r="H28" s="82">
        <f>IF(G28=1,ROUND((VLOOKUP(B28,'Project details'!$E$16:$F$25,2,FALSE)/SUMIF($B$9:$B$48,B28,$G$9:$G$48)),0),0)</f>
        <v>0</v>
      </c>
    </row>
    <row r="29" spans="2:8" x14ac:dyDescent="0.25">
      <c r="B29" s="83">
        <v>2030</v>
      </c>
      <c r="C29" s="83">
        <v>1</v>
      </c>
      <c r="D29" s="83" t="s">
        <v>271</v>
      </c>
      <c r="E29" s="87">
        <v>47300</v>
      </c>
      <c r="F29" s="87">
        <v>47391</v>
      </c>
      <c r="G29" s="82">
        <f t="shared" si="1"/>
        <v>0</v>
      </c>
      <c r="H29" s="82">
        <f>IF(G29=1,ROUND((VLOOKUP(B29,'Project details'!$E$16:$F$25,2,FALSE)/SUMIF($B$9:$B$48,B29,$G$9:$G$48)),0),0)</f>
        <v>0</v>
      </c>
    </row>
    <row r="30" spans="2:8" x14ac:dyDescent="0.25">
      <c r="B30" s="83">
        <v>2030</v>
      </c>
      <c r="C30" s="83">
        <v>2</v>
      </c>
      <c r="D30" s="83" t="s">
        <v>272</v>
      </c>
      <c r="E30" s="87">
        <v>47392</v>
      </c>
      <c r="F30" s="87">
        <v>47483</v>
      </c>
      <c r="G30" s="82">
        <f t="shared" si="1"/>
        <v>0</v>
      </c>
      <c r="H30" s="82">
        <f>IF(G30=1,ROUND((VLOOKUP(B30,'Project details'!$E$16:$F$25,2,FALSE)/SUMIF($B$9:$B$48,B30,$G$9:$G$48)),0),0)</f>
        <v>0</v>
      </c>
    </row>
    <row r="31" spans="2:8" x14ac:dyDescent="0.25">
      <c r="B31" s="83">
        <v>2030</v>
      </c>
      <c r="C31" s="83">
        <v>3</v>
      </c>
      <c r="D31" s="83" t="s">
        <v>273</v>
      </c>
      <c r="E31" s="87">
        <v>47484</v>
      </c>
      <c r="F31" s="87">
        <v>47573</v>
      </c>
      <c r="G31" s="82">
        <f t="shared" si="1"/>
        <v>0</v>
      </c>
      <c r="H31" s="82">
        <f>IF(G31=1,ROUND((VLOOKUP(B31,'Project details'!$E$16:$F$25,2,FALSE)/SUMIF($B$9:$B$48,B31,$G$9:$G$48)),0),0)</f>
        <v>0</v>
      </c>
    </row>
    <row r="32" spans="2:8" x14ac:dyDescent="0.25">
      <c r="B32" s="83">
        <v>2030</v>
      </c>
      <c r="C32" s="83">
        <v>4</v>
      </c>
      <c r="D32" s="83" t="s">
        <v>274</v>
      </c>
      <c r="E32" s="87">
        <v>47574</v>
      </c>
      <c r="F32" s="87">
        <v>47664</v>
      </c>
      <c r="G32" s="82">
        <f t="shared" si="1"/>
        <v>0</v>
      </c>
      <c r="H32" s="82">
        <f>IF(G32=1,ROUND((VLOOKUP(B32,'Project details'!$E$16:$F$25,2,FALSE)/SUMIF($B$9:$B$48,B32,$G$9:$G$48)),0),0)</f>
        <v>0</v>
      </c>
    </row>
    <row r="33" spans="2:8" x14ac:dyDescent="0.25">
      <c r="B33" s="83">
        <v>2031</v>
      </c>
      <c r="C33" s="83">
        <v>1</v>
      </c>
      <c r="D33" s="83" t="s">
        <v>275</v>
      </c>
      <c r="E33" s="87">
        <v>47665</v>
      </c>
      <c r="F33" s="87">
        <v>47756</v>
      </c>
      <c r="G33" s="82">
        <f t="shared" si="1"/>
        <v>0</v>
      </c>
      <c r="H33" s="82">
        <f>IF(G33=1,ROUND((VLOOKUP(B33,'Project details'!$E$16:$F$25,2,FALSE)/SUMIF($B$9:$B$48,B33,$G$9:$G$48)),0),0)</f>
        <v>0</v>
      </c>
    </row>
    <row r="34" spans="2:8" x14ac:dyDescent="0.25">
      <c r="B34" s="83">
        <v>2031</v>
      </c>
      <c r="C34" s="83">
        <v>2</v>
      </c>
      <c r="D34" s="83" t="s">
        <v>276</v>
      </c>
      <c r="E34" s="87">
        <v>47757</v>
      </c>
      <c r="F34" s="87">
        <v>47848</v>
      </c>
      <c r="G34" s="82">
        <f t="shared" si="1"/>
        <v>0</v>
      </c>
      <c r="H34" s="82">
        <f>IF(G34=1,ROUND((VLOOKUP(B34,'Project details'!$E$16:$F$25,2,FALSE)/SUMIF($B$9:$B$48,B34,$G$9:$G$48)),0),0)</f>
        <v>0</v>
      </c>
    </row>
    <row r="35" spans="2:8" x14ac:dyDescent="0.25">
      <c r="B35" s="83">
        <v>2031</v>
      </c>
      <c r="C35" s="83">
        <v>3</v>
      </c>
      <c r="D35" s="83" t="s">
        <v>277</v>
      </c>
      <c r="E35" s="87">
        <v>47849</v>
      </c>
      <c r="F35" s="87">
        <v>47938</v>
      </c>
      <c r="G35" s="82">
        <f t="shared" si="1"/>
        <v>0</v>
      </c>
      <c r="H35" s="82">
        <f>IF(G35=1,ROUND((VLOOKUP(B35,'Project details'!$E$16:$F$25,2,FALSE)/SUMIF($B$9:$B$48,B35,$G$9:$G$48)),0),0)</f>
        <v>0</v>
      </c>
    </row>
    <row r="36" spans="2:8" x14ac:dyDescent="0.25">
      <c r="B36" s="83">
        <v>2031</v>
      </c>
      <c r="C36" s="83">
        <v>4</v>
      </c>
      <c r="D36" s="83" t="s">
        <v>278</v>
      </c>
      <c r="E36" s="87">
        <v>47939</v>
      </c>
      <c r="F36" s="87">
        <v>48029</v>
      </c>
      <c r="G36" s="82">
        <f t="shared" si="1"/>
        <v>0</v>
      </c>
      <c r="H36" s="82">
        <f>IF(G36=1,ROUND((VLOOKUP(B36,'Project details'!$E$16:$F$25,2,FALSE)/SUMIF($B$9:$B$48,B36,$G$9:$G$48)),0),0)</f>
        <v>0</v>
      </c>
    </row>
    <row r="37" spans="2:8" x14ac:dyDescent="0.25">
      <c r="B37" s="83">
        <v>2032</v>
      </c>
      <c r="C37" s="83">
        <v>1</v>
      </c>
      <c r="D37" s="83" t="s">
        <v>279</v>
      </c>
      <c r="E37" s="87">
        <v>48030</v>
      </c>
      <c r="F37" s="87">
        <v>48121</v>
      </c>
      <c r="G37" s="82">
        <f t="shared" si="1"/>
        <v>0</v>
      </c>
      <c r="H37" s="82">
        <f>IF(G37=1,ROUND((VLOOKUP(B37,'Project details'!$E$16:$F$25,2,FALSE)/SUMIF($B$9:$B$48,B37,$G$9:$G$48)),0),0)</f>
        <v>0</v>
      </c>
    </row>
    <row r="38" spans="2:8" x14ac:dyDescent="0.25">
      <c r="B38" s="83">
        <v>2032</v>
      </c>
      <c r="C38" s="83">
        <v>2</v>
      </c>
      <c r="D38" s="83" t="s">
        <v>280</v>
      </c>
      <c r="E38" s="87">
        <v>48122</v>
      </c>
      <c r="F38" s="87">
        <v>48213</v>
      </c>
      <c r="G38" s="82">
        <f t="shared" si="1"/>
        <v>0</v>
      </c>
      <c r="H38" s="82">
        <f>IF(G38=1,ROUND((VLOOKUP(B38,'Project details'!$E$16:$F$25,2,FALSE)/SUMIF($B$9:$B$48,B38,$G$9:$G$48)),0),0)</f>
        <v>0</v>
      </c>
    </row>
    <row r="39" spans="2:8" x14ac:dyDescent="0.25">
      <c r="B39" s="83">
        <v>2032</v>
      </c>
      <c r="C39" s="83">
        <v>3</v>
      </c>
      <c r="D39" s="83" t="s">
        <v>281</v>
      </c>
      <c r="E39" s="87">
        <v>48214</v>
      </c>
      <c r="F39" s="87">
        <v>48304</v>
      </c>
      <c r="G39" s="82">
        <f t="shared" si="1"/>
        <v>0</v>
      </c>
      <c r="H39" s="82">
        <f>IF(G39=1,ROUND((VLOOKUP(B39,'Project details'!$E$16:$F$25,2,FALSE)/SUMIF($B$9:$B$48,B39,$G$9:$G$48)),0),0)</f>
        <v>0</v>
      </c>
    </row>
    <row r="40" spans="2:8" x14ac:dyDescent="0.25">
      <c r="B40" s="83">
        <v>2032</v>
      </c>
      <c r="C40" s="83">
        <v>4</v>
      </c>
      <c r="D40" s="83" t="s">
        <v>282</v>
      </c>
      <c r="E40" s="87">
        <v>48305</v>
      </c>
      <c r="F40" s="87">
        <v>48395</v>
      </c>
      <c r="G40" s="82">
        <f t="shared" si="1"/>
        <v>0</v>
      </c>
      <c r="H40" s="82">
        <f>IF(G40=1,ROUND((VLOOKUP(B40,'Project details'!$E$16:$F$25,2,FALSE)/SUMIF($B$9:$B$48,B40,$G$9:$G$48)),0),0)</f>
        <v>0</v>
      </c>
    </row>
    <row r="41" spans="2:8" x14ac:dyDescent="0.25">
      <c r="B41" s="83">
        <v>2033</v>
      </c>
      <c r="C41" s="83">
        <v>1</v>
      </c>
      <c r="D41" s="83" t="s">
        <v>283</v>
      </c>
      <c r="E41" s="87">
        <v>48396</v>
      </c>
      <c r="F41" s="87">
        <v>48487</v>
      </c>
      <c r="G41" s="82">
        <f t="shared" si="1"/>
        <v>0</v>
      </c>
      <c r="H41" s="82">
        <f>IF(G41=1,ROUND((VLOOKUP(B41,'Project details'!$E$16:$F$25,2,FALSE)/SUMIF($B$9:$B$48,B41,$G$9:$G$48)),0),0)</f>
        <v>0</v>
      </c>
    </row>
    <row r="42" spans="2:8" x14ac:dyDescent="0.25">
      <c r="B42" s="83">
        <v>2033</v>
      </c>
      <c r="C42" s="83">
        <v>2</v>
      </c>
      <c r="D42" s="83" t="s">
        <v>284</v>
      </c>
      <c r="E42" s="87">
        <v>48488</v>
      </c>
      <c r="F42" s="87">
        <v>48579</v>
      </c>
      <c r="G42" s="82">
        <f t="shared" si="1"/>
        <v>0</v>
      </c>
      <c r="H42" s="82">
        <f>IF(G42=1,ROUND((VLOOKUP(B42,'Project details'!$E$16:$F$25,2,FALSE)/SUMIF($B$9:$B$48,B42,$G$9:$G$48)),0),0)</f>
        <v>0</v>
      </c>
    </row>
    <row r="43" spans="2:8" x14ac:dyDescent="0.25">
      <c r="B43" s="83">
        <v>2033</v>
      </c>
      <c r="C43" s="83">
        <v>3</v>
      </c>
      <c r="D43" s="83" t="s">
        <v>285</v>
      </c>
      <c r="E43" s="87">
        <v>48580</v>
      </c>
      <c r="F43" s="87">
        <v>48669</v>
      </c>
      <c r="G43" s="82">
        <f t="shared" si="1"/>
        <v>0</v>
      </c>
      <c r="H43" s="82">
        <f>IF(G43=1,ROUND((VLOOKUP(B43,'Project details'!$E$16:$F$25,2,FALSE)/SUMIF($B$9:$B$48,B43,$G$9:$G$48)),0),0)</f>
        <v>0</v>
      </c>
    </row>
    <row r="44" spans="2:8" x14ac:dyDescent="0.25">
      <c r="B44" s="83">
        <v>2033</v>
      </c>
      <c r="C44" s="83">
        <v>4</v>
      </c>
      <c r="D44" s="83" t="s">
        <v>286</v>
      </c>
      <c r="E44" s="87">
        <v>48670</v>
      </c>
      <c r="F44" s="87">
        <v>48760</v>
      </c>
      <c r="G44" s="82">
        <f t="shared" si="1"/>
        <v>0</v>
      </c>
      <c r="H44" s="82">
        <f>IF(G44=1,ROUND((VLOOKUP(B44,'Project details'!$E$16:$F$25,2,FALSE)/SUMIF($B$9:$B$48,B44,$G$9:$G$48)),0),0)</f>
        <v>0</v>
      </c>
    </row>
    <row r="45" spans="2:8" x14ac:dyDescent="0.25">
      <c r="B45" s="83">
        <v>2034</v>
      </c>
      <c r="C45" s="83">
        <v>1</v>
      </c>
      <c r="D45" s="83" t="s">
        <v>287</v>
      </c>
      <c r="E45" s="87">
        <v>48761</v>
      </c>
      <c r="F45" s="87">
        <v>48852</v>
      </c>
      <c r="G45" s="82">
        <f t="shared" si="1"/>
        <v>0</v>
      </c>
      <c r="H45" s="82">
        <f>IF(G45=1,ROUND((VLOOKUP(B45,'Project details'!$E$16:$F$25,2,FALSE)/SUMIF($B$9:$B$48,B45,$G$9:$G$48)),0),0)</f>
        <v>0</v>
      </c>
    </row>
    <row r="46" spans="2:8" x14ac:dyDescent="0.25">
      <c r="B46" s="83">
        <v>2034</v>
      </c>
      <c r="C46" s="83">
        <v>2</v>
      </c>
      <c r="D46" s="83" t="s">
        <v>288</v>
      </c>
      <c r="E46" s="87">
        <v>48853</v>
      </c>
      <c r="F46" s="87">
        <v>48944</v>
      </c>
      <c r="G46" s="82">
        <f t="shared" si="1"/>
        <v>0</v>
      </c>
      <c r="H46" s="82">
        <f>IF(G46=1,ROUND((VLOOKUP(B46,'Project details'!$E$16:$F$25,2,FALSE)/SUMIF($B$9:$B$48,B46,$G$9:$G$48)),0),0)</f>
        <v>0</v>
      </c>
    </row>
    <row r="47" spans="2:8" x14ac:dyDescent="0.25">
      <c r="B47" s="83">
        <v>2034</v>
      </c>
      <c r="C47" s="83">
        <v>3</v>
      </c>
      <c r="D47" s="83" t="s">
        <v>289</v>
      </c>
      <c r="E47" s="87">
        <v>48945</v>
      </c>
      <c r="F47" s="87">
        <v>49034</v>
      </c>
      <c r="G47" s="82">
        <f t="shared" si="1"/>
        <v>0</v>
      </c>
      <c r="H47" s="82">
        <f>IF(G47=1,ROUND((VLOOKUP(B47,'Project details'!$E$16:$F$25,2,FALSE)/SUMIF($B$9:$B$48,B47,$G$9:$G$48)),0),0)</f>
        <v>0</v>
      </c>
    </row>
    <row r="48" spans="2:8" x14ac:dyDescent="0.25">
      <c r="B48" s="83">
        <v>2034</v>
      </c>
      <c r="C48" s="83">
        <v>4</v>
      </c>
      <c r="D48" s="83" t="s">
        <v>290</v>
      </c>
      <c r="E48" s="87">
        <v>49035</v>
      </c>
      <c r="F48" s="87">
        <v>49125</v>
      </c>
      <c r="G48" s="82">
        <f t="shared" si="1"/>
        <v>0</v>
      </c>
      <c r="H48" s="82">
        <f>IF(G48=1,ROUND((VLOOKUP(B48,'Project details'!$E$16:$F$25,2,FALSE)/SUMIF($B$9:$B$48,B48,$G$9:$G$48)),0),0)</f>
        <v>0</v>
      </c>
    </row>
    <row r="49" spans="2:8" x14ac:dyDescent="0.25">
      <c r="B49" s="88" t="s">
        <v>291</v>
      </c>
      <c r="C49" s="88"/>
      <c r="D49" s="88"/>
      <c r="E49" s="89"/>
      <c r="F49" s="89"/>
      <c r="G49" s="88">
        <f>SUM(G9:G48)</f>
        <v>0</v>
      </c>
      <c r="H49" s="88">
        <f>SUM(H9:H48)</f>
        <v>0</v>
      </c>
    </row>
  </sheetData>
  <sheetProtection selectLockedCells="1"/>
  <phoneticPr fontId="10"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46752-CD9A-4730-9D12-60CD4F4414D5}">
  <sheetPr>
    <tabColor theme="3"/>
  </sheetPr>
  <dimension ref="B2:R39"/>
  <sheetViews>
    <sheetView topLeftCell="B1" workbookViewId="0">
      <selection activeCell="Q7" sqref="Q7"/>
    </sheetView>
  </sheetViews>
  <sheetFormatPr defaultRowHeight="15" x14ac:dyDescent="0.25"/>
  <cols>
    <col min="1" max="1" width="3.7109375" customWidth="1"/>
    <col min="2" max="2" width="17.28515625" bestFit="1" customWidth="1"/>
    <col min="3" max="3" width="20.28515625" bestFit="1" customWidth="1"/>
    <col min="4" max="4" width="19.5703125" bestFit="1" customWidth="1"/>
    <col min="8" max="8" width="11.5703125" bestFit="1" customWidth="1"/>
    <col min="10" max="10" width="31.7109375" customWidth="1"/>
    <col min="11" max="11" width="33" bestFit="1" customWidth="1"/>
    <col min="12" max="13" width="31.140625" bestFit="1" customWidth="1"/>
    <col min="14" max="14" width="21.85546875" bestFit="1" customWidth="1"/>
    <col min="15" max="15" width="9.28515625" bestFit="1" customWidth="1"/>
    <col min="16" max="16" width="28.5703125" bestFit="1" customWidth="1"/>
    <col min="17" max="17" width="43.140625" bestFit="1" customWidth="1"/>
    <col min="18" max="18" width="46.85546875" bestFit="1" customWidth="1"/>
  </cols>
  <sheetData>
    <row r="2" spans="2:18" ht="15.75" thickBot="1" x14ac:dyDescent="0.3">
      <c r="B2" s="1" t="s">
        <v>292</v>
      </c>
      <c r="C2" s="1" t="s">
        <v>74</v>
      </c>
      <c r="D2" s="1" t="s">
        <v>293</v>
      </c>
      <c r="E2" s="1" t="s">
        <v>294</v>
      </c>
      <c r="F2" s="1" t="s">
        <v>295</v>
      </c>
      <c r="G2" s="1" t="s">
        <v>296</v>
      </c>
      <c r="H2" s="1" t="s">
        <v>149</v>
      </c>
      <c r="I2" s="1" t="s">
        <v>297</v>
      </c>
      <c r="J2" s="1" t="s">
        <v>298</v>
      </c>
      <c r="K2" s="1" t="s">
        <v>299</v>
      </c>
      <c r="L2" s="1" t="s">
        <v>300</v>
      </c>
      <c r="M2" s="1" t="s">
        <v>301</v>
      </c>
      <c r="N2" s="1" t="s">
        <v>302</v>
      </c>
      <c r="O2" s="1" t="s">
        <v>303</v>
      </c>
      <c r="P2" s="1" t="s">
        <v>304</v>
      </c>
      <c r="Q2" s="1" t="s">
        <v>305</v>
      </c>
      <c r="R2" s="1" t="s">
        <v>306</v>
      </c>
    </row>
    <row r="3" spans="2:18" x14ac:dyDescent="0.25">
      <c r="B3" s="2" t="s">
        <v>307</v>
      </c>
      <c r="C3" s="20" t="s">
        <v>308</v>
      </c>
      <c r="D3" s="2" t="s">
        <v>309</v>
      </c>
      <c r="E3" s="2">
        <v>2025</v>
      </c>
      <c r="F3" s="16">
        <v>1</v>
      </c>
      <c r="G3" s="20" t="s">
        <v>310</v>
      </c>
      <c r="H3" s="2" t="s">
        <v>311</v>
      </c>
      <c r="I3" s="20">
        <v>72100000</v>
      </c>
      <c r="J3" s="16" t="s">
        <v>312</v>
      </c>
      <c r="K3" s="2" t="s">
        <v>313</v>
      </c>
      <c r="L3" s="2" t="s">
        <v>314</v>
      </c>
      <c r="M3" s="2" t="s">
        <v>315</v>
      </c>
      <c r="N3" s="56" t="s">
        <v>316</v>
      </c>
      <c r="O3" s="2" t="s">
        <v>317</v>
      </c>
      <c r="P3" s="2" t="s">
        <v>318</v>
      </c>
      <c r="Q3" s="2" t="s">
        <v>315</v>
      </c>
      <c r="R3" s="2" t="s">
        <v>319</v>
      </c>
    </row>
    <row r="4" spans="2:18" ht="15.75" thickBot="1" x14ac:dyDescent="0.3">
      <c r="B4" s="3" t="s">
        <v>320</v>
      </c>
      <c r="C4" s="22" t="s">
        <v>321</v>
      </c>
      <c r="D4" s="3" t="s">
        <v>322</v>
      </c>
      <c r="E4" s="3">
        <v>2026</v>
      </c>
      <c r="F4" s="17">
        <v>2</v>
      </c>
      <c r="G4" s="22" t="s">
        <v>323</v>
      </c>
      <c r="H4" s="3" t="s">
        <v>324</v>
      </c>
      <c r="I4" s="21">
        <v>72101500</v>
      </c>
      <c r="J4" s="17" t="s">
        <v>325</v>
      </c>
      <c r="K4" s="3" t="s">
        <v>326</v>
      </c>
      <c r="L4" s="3" t="s">
        <v>327</v>
      </c>
      <c r="M4" s="3" t="s">
        <v>328</v>
      </c>
      <c r="N4" t="s">
        <v>329</v>
      </c>
      <c r="O4" s="3" t="s">
        <v>330</v>
      </c>
      <c r="P4" s="3" t="s">
        <v>331</v>
      </c>
      <c r="Q4" s="3" t="s">
        <v>332</v>
      </c>
      <c r="R4" s="3" t="s">
        <v>333</v>
      </c>
    </row>
    <row r="5" spans="2:18" ht="15.75" thickBot="1" x14ac:dyDescent="0.3">
      <c r="B5" s="4" t="s">
        <v>334</v>
      </c>
      <c r="D5" s="4" t="s">
        <v>335</v>
      </c>
      <c r="E5" s="3">
        <v>2027</v>
      </c>
      <c r="F5" s="17">
        <v>3</v>
      </c>
      <c r="H5" s="4" t="s">
        <v>336</v>
      </c>
      <c r="I5" s="21">
        <v>72102100</v>
      </c>
      <c r="J5" s="17" t="s">
        <v>337</v>
      </c>
      <c r="K5" s="3" t="s">
        <v>338</v>
      </c>
      <c r="L5" s="3" t="s">
        <v>339</v>
      </c>
      <c r="M5" s="3" t="s">
        <v>340</v>
      </c>
      <c r="N5" t="s">
        <v>341</v>
      </c>
      <c r="O5" s="3" t="s">
        <v>342</v>
      </c>
      <c r="P5" s="3" t="s">
        <v>343</v>
      </c>
      <c r="Q5" s="3" t="s">
        <v>344</v>
      </c>
      <c r="R5" s="3" t="s">
        <v>345</v>
      </c>
    </row>
    <row r="6" spans="2:18" ht="15.75" thickBot="1" x14ac:dyDescent="0.3">
      <c r="E6" s="3">
        <v>2028</v>
      </c>
      <c r="F6" s="18">
        <v>4</v>
      </c>
      <c r="I6" s="21">
        <v>72102900</v>
      </c>
      <c r="J6" s="17" t="s">
        <v>346</v>
      </c>
      <c r="K6" s="3" t="s">
        <v>347</v>
      </c>
      <c r="L6" s="3" t="s">
        <v>348</v>
      </c>
      <c r="M6" s="3" t="s">
        <v>349</v>
      </c>
      <c r="N6" s="57" t="s">
        <v>350</v>
      </c>
      <c r="O6" s="4" t="s">
        <v>351</v>
      </c>
      <c r="P6" s="3" t="s">
        <v>352</v>
      </c>
      <c r="Q6" s="4" t="s">
        <v>353</v>
      </c>
      <c r="R6" s="3" t="s">
        <v>354</v>
      </c>
    </row>
    <row r="7" spans="2:18" ht="15.75" thickBot="1" x14ac:dyDescent="0.3">
      <c r="E7" s="3">
        <v>2029</v>
      </c>
      <c r="I7" s="21">
        <v>72120000</v>
      </c>
      <c r="J7" s="17" t="s">
        <v>355</v>
      </c>
      <c r="K7" s="3" t="s">
        <v>356</v>
      </c>
      <c r="L7" s="3" t="s">
        <v>357</v>
      </c>
      <c r="M7" s="3" t="s">
        <v>358</v>
      </c>
      <c r="P7" s="3" t="s">
        <v>359</v>
      </c>
      <c r="R7" s="4" t="s">
        <v>360</v>
      </c>
    </row>
    <row r="8" spans="2:18" ht="15.75" thickBot="1" x14ac:dyDescent="0.3">
      <c r="E8" s="3">
        <v>2030</v>
      </c>
      <c r="I8" s="21">
        <v>72121500</v>
      </c>
      <c r="J8" s="17" t="s">
        <v>361</v>
      </c>
      <c r="K8" s="3" t="s">
        <v>362</v>
      </c>
      <c r="L8" s="3" t="s">
        <v>363</v>
      </c>
      <c r="M8" s="3" t="s">
        <v>364</v>
      </c>
      <c r="P8" s="3" t="s">
        <v>365</v>
      </c>
      <c r="Q8" s="1" t="s">
        <v>315</v>
      </c>
    </row>
    <row r="9" spans="2:18" ht="15.75" thickBot="1" x14ac:dyDescent="0.3">
      <c r="E9" s="3">
        <v>2031</v>
      </c>
      <c r="I9" s="21">
        <v>72151200</v>
      </c>
      <c r="J9" s="17" t="s">
        <v>366</v>
      </c>
      <c r="K9" s="3" t="s">
        <v>367</v>
      </c>
      <c r="L9" s="3" t="s">
        <v>368</v>
      </c>
      <c r="M9" s="3" t="s">
        <v>369</v>
      </c>
      <c r="P9" s="4" t="s">
        <v>370</v>
      </c>
      <c r="Q9" s="16" t="s">
        <v>371</v>
      </c>
    </row>
    <row r="10" spans="2:18" ht="15.75" thickBot="1" x14ac:dyDescent="0.3">
      <c r="E10" s="3">
        <v>2032</v>
      </c>
      <c r="I10" s="21">
        <v>72151300</v>
      </c>
      <c r="J10" s="17" t="s">
        <v>372</v>
      </c>
      <c r="K10" s="3" t="s">
        <v>373</v>
      </c>
      <c r="L10" s="3" t="s">
        <v>374</v>
      </c>
      <c r="M10" s="4" t="s">
        <v>370</v>
      </c>
      <c r="Q10" s="3" t="s">
        <v>328</v>
      </c>
    </row>
    <row r="11" spans="2:18" ht="15.75" thickBot="1" x14ac:dyDescent="0.3">
      <c r="E11" s="3">
        <v>2033</v>
      </c>
      <c r="I11" s="21">
        <v>72151500</v>
      </c>
      <c r="J11" s="17" t="s">
        <v>375</v>
      </c>
      <c r="K11" s="3" t="s">
        <v>376</v>
      </c>
      <c r="L11" s="4" t="s">
        <v>370</v>
      </c>
      <c r="Q11" s="4" t="s">
        <v>370</v>
      </c>
    </row>
    <row r="12" spans="2:18" ht="15.75" thickBot="1" x14ac:dyDescent="0.3">
      <c r="E12" s="3">
        <v>2034</v>
      </c>
      <c r="I12" s="21">
        <v>72151900</v>
      </c>
      <c r="J12" s="17" t="s">
        <v>377</v>
      </c>
      <c r="K12" s="4" t="s">
        <v>370</v>
      </c>
    </row>
    <row r="13" spans="2:18" ht="15.75" thickBot="1" x14ac:dyDescent="0.3">
      <c r="E13" s="4">
        <v>2035</v>
      </c>
      <c r="I13" s="21">
        <v>72152300</v>
      </c>
      <c r="J13" s="17" t="s">
        <v>378</v>
      </c>
    </row>
    <row r="14" spans="2:18" ht="15.75" thickBot="1" x14ac:dyDescent="0.3">
      <c r="I14" s="21">
        <v>72152302</v>
      </c>
      <c r="J14" s="17" t="s">
        <v>379</v>
      </c>
      <c r="Q14" s="1" t="s">
        <v>332</v>
      </c>
    </row>
    <row r="15" spans="2:18" x14ac:dyDescent="0.25">
      <c r="I15" s="21">
        <v>72152500</v>
      </c>
      <c r="J15" s="17" t="s">
        <v>380</v>
      </c>
      <c r="Q15" s="2" t="s">
        <v>381</v>
      </c>
    </row>
    <row r="16" spans="2:18" ht="15.75" thickBot="1" x14ac:dyDescent="0.3">
      <c r="I16" s="21">
        <v>72153600</v>
      </c>
      <c r="J16" s="17" t="s">
        <v>382</v>
      </c>
      <c r="Q16" s="4" t="s">
        <v>370</v>
      </c>
    </row>
    <row r="17" spans="9:17" x14ac:dyDescent="0.25">
      <c r="I17" s="21">
        <v>72153900</v>
      </c>
      <c r="J17" s="17" t="s">
        <v>383</v>
      </c>
    </row>
    <row r="18" spans="9:17" x14ac:dyDescent="0.25">
      <c r="I18" s="21">
        <v>80101507</v>
      </c>
      <c r="J18" s="17" t="s">
        <v>384</v>
      </c>
    </row>
    <row r="19" spans="9:17" ht="15.75" thickBot="1" x14ac:dyDescent="0.3">
      <c r="I19" s="21">
        <v>81110000</v>
      </c>
      <c r="J19" s="17" t="s">
        <v>385</v>
      </c>
      <c r="Q19" s="1" t="s">
        <v>344</v>
      </c>
    </row>
    <row r="20" spans="9:17" x14ac:dyDescent="0.25">
      <c r="I20" s="21">
        <v>81111000</v>
      </c>
      <c r="J20" s="17" t="s">
        <v>386</v>
      </c>
      <c r="Q20" s="2" t="s">
        <v>387</v>
      </c>
    </row>
    <row r="21" spans="9:17" x14ac:dyDescent="0.25">
      <c r="I21" s="21">
        <v>81111500</v>
      </c>
      <c r="J21" s="17" t="s">
        <v>388</v>
      </c>
      <c r="Q21" s="3" t="s">
        <v>389</v>
      </c>
    </row>
    <row r="22" spans="9:17" x14ac:dyDescent="0.25">
      <c r="I22" s="21">
        <v>81111508</v>
      </c>
      <c r="J22" s="17" t="s">
        <v>390</v>
      </c>
      <c r="Q22" s="3" t="s">
        <v>391</v>
      </c>
    </row>
    <row r="23" spans="9:17" ht="15.75" thickBot="1" x14ac:dyDescent="0.3">
      <c r="I23" s="21">
        <v>81111600</v>
      </c>
      <c r="J23" s="17" t="s">
        <v>392</v>
      </c>
      <c r="Q23" s="4" t="s">
        <v>370</v>
      </c>
    </row>
    <row r="24" spans="9:17" x14ac:dyDescent="0.25">
      <c r="I24" s="21">
        <v>81111700</v>
      </c>
      <c r="J24" s="17" t="s">
        <v>393</v>
      </c>
    </row>
    <row r="25" spans="9:17" x14ac:dyDescent="0.25">
      <c r="I25" s="21">
        <v>81111800</v>
      </c>
      <c r="J25" s="17" t="s">
        <v>394</v>
      </c>
    </row>
    <row r="26" spans="9:17" ht="15.75" thickBot="1" x14ac:dyDescent="0.3">
      <c r="I26" s="21">
        <v>81162200</v>
      </c>
      <c r="J26" s="17" t="s">
        <v>395</v>
      </c>
      <c r="Q26" s="1" t="s">
        <v>353</v>
      </c>
    </row>
    <row r="27" spans="9:17" x14ac:dyDescent="0.25">
      <c r="I27" s="21">
        <v>81111900</v>
      </c>
      <c r="J27" s="17" t="s">
        <v>396</v>
      </c>
      <c r="Q27" s="2" t="s">
        <v>397</v>
      </c>
    </row>
    <row r="28" spans="9:17" x14ac:dyDescent="0.25">
      <c r="I28" s="21">
        <v>81112300</v>
      </c>
      <c r="J28" s="17" t="s">
        <v>398</v>
      </c>
      <c r="Q28" s="3" t="s">
        <v>399</v>
      </c>
    </row>
    <row r="29" spans="9:17" x14ac:dyDescent="0.25">
      <c r="I29" s="21">
        <v>81112000</v>
      </c>
      <c r="J29" s="17" t="s">
        <v>400</v>
      </c>
      <c r="Q29" s="3" t="s">
        <v>401</v>
      </c>
    </row>
    <row r="30" spans="9:17" x14ac:dyDescent="0.25">
      <c r="I30" s="21">
        <v>81112002</v>
      </c>
      <c r="J30" s="17" t="s">
        <v>402</v>
      </c>
      <c r="Q30" s="3" t="s">
        <v>403</v>
      </c>
    </row>
    <row r="31" spans="9:17" ht="15.75" thickBot="1" x14ac:dyDescent="0.3">
      <c r="I31" s="21">
        <v>81112100</v>
      </c>
      <c r="J31" s="17" t="s">
        <v>404</v>
      </c>
      <c r="Q31" s="4" t="s">
        <v>370</v>
      </c>
    </row>
    <row r="32" spans="9:17" x14ac:dyDescent="0.25">
      <c r="I32" s="21">
        <v>81112200</v>
      </c>
      <c r="J32" s="17" t="s">
        <v>405</v>
      </c>
    </row>
    <row r="33" spans="9:10" x14ac:dyDescent="0.25">
      <c r="I33" s="21">
        <v>81162100</v>
      </c>
      <c r="J33" s="17" t="s">
        <v>406</v>
      </c>
    </row>
    <row r="34" spans="9:10" x14ac:dyDescent="0.25">
      <c r="I34" s="21">
        <v>81162000</v>
      </c>
      <c r="J34" s="17" t="s">
        <v>407</v>
      </c>
    </row>
    <row r="35" spans="9:10" x14ac:dyDescent="0.25">
      <c r="I35" s="21">
        <v>81112201</v>
      </c>
      <c r="J35" s="17" t="s">
        <v>408</v>
      </c>
    </row>
    <row r="36" spans="9:10" x14ac:dyDescent="0.25">
      <c r="I36" s="21">
        <v>81141801</v>
      </c>
      <c r="J36" s="17" t="s">
        <v>409</v>
      </c>
    </row>
    <row r="37" spans="9:10" x14ac:dyDescent="0.25">
      <c r="I37" s="21">
        <v>83120000</v>
      </c>
      <c r="J37" s="17" t="s">
        <v>410</v>
      </c>
    </row>
    <row r="38" spans="9:10" x14ac:dyDescent="0.25">
      <c r="I38" s="21">
        <v>83121604</v>
      </c>
      <c r="J38" s="17" t="s">
        <v>411</v>
      </c>
    </row>
    <row r="39" spans="9:10" ht="15.75" thickBot="1" x14ac:dyDescent="0.3">
      <c r="I39" s="22">
        <v>86141704</v>
      </c>
      <c r="J39" s="18" t="s">
        <v>412</v>
      </c>
    </row>
  </sheetData>
  <sheetProtection selectLockedCells="1"/>
  <dataConsolidate/>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Bid Document" ma:contentTypeID="0x0101003619A274CF03924DA273BE4A79490F89" ma:contentTypeVersion="0" ma:contentTypeDescription="Bid Document Content Type" ma:contentTypeScope="" ma:versionID="4c9219860752aa295dc71dcd1d3bf110">
  <xsd:schema xmlns:xsd="http://www.w3.org/2001/XMLSchema" xmlns:xs="http://www.w3.org/2001/XMLSchema" xmlns:p="http://schemas.microsoft.com/office/2006/metadata/properties" xmlns:ns1="http://schemas.microsoft.com/sharepoint/v3" xmlns:ns3="7f2c612f-2cae-471f-80f7-2730df43b7ae" xmlns:ns4="2f3b332e-b9dc-477b-975a-f99bd97059a4" targetNamespace="http://schemas.microsoft.com/office/2006/metadata/properties" ma:root="true" ma:fieldsID="ec97e33b0a6342d65e8a0f9519d6ba72" ns1:_="" ns3:_="" ns4:_="">
    <xsd:import namespace="http://schemas.microsoft.com/sharepoint/v3"/>
    <xsd:import namespace="7f2c612f-2cae-471f-80f7-2730df43b7ae"/>
    <xsd:import namespace="2f3b332e-b9dc-477b-975a-f99bd97059a4"/>
    <xsd:element name="properties">
      <xsd:complexType>
        <xsd:sequence>
          <xsd:element name="documentManagement">
            <xsd:complexType>
              <xsd:all>
                <xsd:element ref="ns1:_dlc_Exempt" minOccurs="0"/>
                <xsd:element ref="ns3:Bid_x0020_Document_x0020_Type" minOccurs="0"/>
                <xsd:element ref="ns4:Opportunity_x0020__x0023_" minOccurs="0"/>
                <xsd:element ref="ns3:Client_x0020_Name" minOccurs="0"/>
                <xsd:element ref="ns3:Client_x0020_Sales_x0020_Reg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8" nillable="true" ma:displayName="Exempt from Policy" ma:hidden="true" ma:internalName="_dlc_Exempt"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f2c612f-2cae-471f-80f7-2730df43b7ae" elementFormDefault="qualified">
    <xsd:import namespace="http://schemas.microsoft.com/office/2006/documentManagement/types"/>
    <xsd:import namespace="http://schemas.microsoft.com/office/infopath/2007/PartnerControls"/>
    <xsd:element name="Bid_x0020_Document_x0020_Type" ma:index="10" nillable="true" ma:displayName="Bid Document Type" ma:format="Dropdown" ma:internalName="Bid_x0020_Document_x0020_Type0">
      <xsd:simpleType>
        <xsd:restriction base="dms:Choice">
          <xsd:enumeration value="BAR Pack"/>
          <xsd:enumeration value="Bid Directive"/>
          <xsd:enumeration value="Bid No Bid Review Pack"/>
          <xsd:enumeration value="Bid Reference Material"/>
          <xsd:enumeration value="CAR Pack"/>
          <xsd:enumeration value="Contract"/>
          <xsd:enumeration value="Executive Summary"/>
          <xsd:enumeration value="Financial Executive Summary"/>
          <xsd:enumeration value="Miscellaneous"/>
          <xsd:enumeration value="Proposal"/>
          <xsd:enumeration value="RFP Response"/>
          <xsd:enumeration value="RFI Response"/>
          <xsd:enumeration value="BAFO"/>
          <xsd:enumeration value="Risk Plan/Assessment"/>
          <xsd:enumeration value="Sales Guide"/>
          <xsd:enumeration value="Solution Architecture Design"/>
          <xsd:enumeration value="Other"/>
        </xsd:restriction>
      </xsd:simpleType>
    </xsd:element>
    <xsd:element name="Client_x0020_Name" ma:index="12" nillable="true" ma:displayName="Client Name" ma:default="Defence" ma:description="Client Name" ma:internalName="Client_x0020_Name0">
      <xsd:simpleType>
        <xsd:restriction base="dms:Text">
          <xsd:maxLength value="255"/>
        </xsd:restriction>
      </xsd:simpleType>
    </xsd:element>
    <xsd:element name="Client_x0020_Sales_x0020_Region" ma:index="13" nillable="true" ma:displayName="Client Sales Region" ma:default="FEDERAL GOVT" ma:format="Dropdown" ma:internalName="Client_x0020_Sales_x0020_Region0">
      <xsd:simpleType>
        <xsd:restriction base="dms:Choice">
          <xsd:enumeration value="FEDERAL GOVT"/>
          <xsd:enumeration value="ACT"/>
          <xsd:enumeration value="NSW"/>
          <xsd:enumeration value="NT"/>
          <xsd:enumeration value="QLD"/>
          <xsd:enumeration value="SA"/>
          <xsd:enumeration value="TAS"/>
          <xsd:enumeration value="WA"/>
          <xsd:enumeration value="VIC"/>
          <xsd:enumeration value="NZ"/>
          <xsd:enumeration value="ALL"/>
          <xsd:enumeration value="GLOBAL"/>
        </xsd:restriction>
      </xsd:simpleType>
    </xsd:element>
  </xsd:schema>
  <xsd:schema xmlns:xsd="http://www.w3.org/2001/XMLSchema" xmlns:xs="http://www.w3.org/2001/XMLSchema" xmlns:dms="http://schemas.microsoft.com/office/2006/documentManagement/types" xmlns:pc="http://schemas.microsoft.com/office/infopath/2007/PartnerControls" targetNamespace="2f3b332e-b9dc-477b-975a-f99bd97059a4" elementFormDefault="qualified">
    <xsd:import namespace="http://schemas.microsoft.com/office/2006/documentManagement/types"/>
    <xsd:import namespace="http://schemas.microsoft.com/office/infopath/2007/PartnerControls"/>
    <xsd:element name="Opportunity_x0020__x0023_" ma:index="11" nillable="true" ma:displayName="Opportunity #" ma:default="APAC-188291" ma:description="This is the FSP (Fujitsu Sales Pipeline - SalesForce) opportunity number, e.g. FANZ-123456." ma:internalName="Opportunity_x0020__x0023_0">
      <xsd:simpleType>
        <xsd:restriction base="dms:Text">
          <xsd:maxLength value="12"/>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ma:index="9" ma:displayName="Keywords"/>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lient_x0020_Sales_x0020_Region xmlns="7f2c612f-2cae-471f-80f7-2730df43b7ae">FEDERAL GOVT</Client_x0020_Sales_x0020_Region>
    <Bid_x0020_Document_x0020_Type xmlns="7f2c612f-2cae-471f-80f7-2730df43b7ae" xsi:nil="true"/>
    <Opportunity_x0020__x0023_ xmlns="2f3b332e-b9dc-477b-975a-f99bd97059a4">APAC-188291</Opportunity_x0020__x0023_>
    <Client_x0020_Name xmlns="7f2c612f-2cae-471f-80f7-2730df43b7ae">Defence</Client_x0020_Name>
  </documentManagement>
</p:properties>
</file>

<file path=customXml/item4.xml><?xml version="1.0" encoding="utf-8"?>
<?mso-contentType ?>
<spe:Receivers xmlns:spe="http://schemas.microsoft.com/sharepoint/events">
  <Receiver>
    <Name>Policy Auditing</Name>
    <Synchronization>Synchronous</Synchronization>
    <Type>10001</Type>
    <SequenceNumber>1100</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Version=16.0.0.0, Culture=neutral, PublicKeyToken=71e9bce111e9429c</Assembly>
    <Class>Microsoft.Office.RecordsManagement.Internal.AuditHandler</Class>
    <Data/>
    <Filter/>
  </Receiver>
</spe:Receivers>
</file>

<file path=customXml/item5.xml><?xml version="1.0" encoding="utf-8"?>
<?mso-contentType ?>
<p:Policy xmlns:p="office.server.policy" id="" local="true">
  <p:Name>Document</p:Name>
  <p:Description/>
  <p:Statement/>
  <p:PolicyItems>
    <p:PolicyItem featureId="Microsoft.Office.RecordsManagement.PolicyFeatures.PolicyAudit" staticId="0x0101|8138272" UniqueId="119fceb1-640d-4e60-a868-87308dd1b8e9">
      <p:Name>Auditing</p:Name>
      <p:Description>Audits user actions on documents and list items to the Audit Log.</p:Description>
      <p:CustomData>
        <Audit>
          <Update/>
          <View/>
          <CheckInOut/>
          <MoveCopy/>
          <DeleteRestore/>
        </Audit>
      </p:CustomData>
    </p:PolicyItem>
  </p:PolicyItems>
</p:Policy>
</file>

<file path=customXml/itemProps1.xml><?xml version="1.0" encoding="utf-8"?>
<ds:datastoreItem xmlns:ds="http://schemas.openxmlformats.org/officeDocument/2006/customXml" ds:itemID="{EA364C2D-6E5F-44DE-807C-520209912561}"/>
</file>

<file path=customXml/itemProps2.xml><?xml version="1.0" encoding="utf-8"?>
<ds:datastoreItem xmlns:ds="http://schemas.openxmlformats.org/officeDocument/2006/customXml" ds:itemID="{7FBB3B28-A399-4DF3-8A76-EBF6F0D1AD17}">
  <ds:schemaRefs>
    <ds:schemaRef ds:uri="http://schemas.microsoft.com/sharepoint/v3/contenttype/forms"/>
  </ds:schemaRefs>
</ds:datastoreItem>
</file>

<file path=customXml/itemProps3.xml><?xml version="1.0" encoding="utf-8"?>
<ds:datastoreItem xmlns:ds="http://schemas.openxmlformats.org/officeDocument/2006/customXml" ds:itemID="{B606FF94-491D-49B3-8831-59F356A9A2DE}">
  <ds:schemaRefs>
    <ds:schemaRef ds:uri="http://schemas.microsoft.com/office/2006/metadata/properties"/>
    <ds:schemaRef ds:uri="http://schemas.microsoft.com/office/infopath/2007/PartnerControls"/>
    <ds:schemaRef ds:uri="469d646d-0fe8-4876-8896-a85182c8c4b5"/>
    <ds:schemaRef ds:uri="409f8594-b164-455e-aca0-53614ef5b7c1"/>
  </ds:schemaRefs>
</ds:datastoreItem>
</file>

<file path=customXml/itemProps4.xml><?xml version="1.0" encoding="utf-8"?>
<ds:datastoreItem xmlns:ds="http://schemas.openxmlformats.org/officeDocument/2006/customXml" ds:itemID="{8B17F0CF-9AF8-4CAF-BFFF-6E10C13412C4}"/>
</file>

<file path=customXml/itemProps5.xml><?xml version="1.0" encoding="utf-8"?>
<ds:datastoreItem xmlns:ds="http://schemas.openxmlformats.org/officeDocument/2006/customXml" ds:itemID="{B2317073-A055-4EE9-BD03-54F2E03028B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21</vt:i4>
      </vt:variant>
    </vt:vector>
  </HeadingPairs>
  <TitlesOfParts>
    <vt:vector size="36" baseType="lpstr">
      <vt:lpstr>Instructions</vt:lpstr>
      <vt:lpstr>Project details</vt:lpstr>
      <vt:lpstr>Project data</vt:lpstr>
      <vt:lpstr>Participant reporting</vt:lpstr>
      <vt:lpstr>Participant data</vt:lpstr>
      <vt:lpstr>Quarter 1 report</vt:lpstr>
      <vt:lpstr>Quarter 2 report</vt:lpstr>
      <vt:lpstr>Quarter 3 report</vt:lpstr>
      <vt:lpstr>Quarter 4 report</vt:lpstr>
      <vt:lpstr>Quarterly report data</vt:lpstr>
      <vt:lpstr>Financial year summary</vt:lpstr>
      <vt:lpstr>End of project report</vt:lpstr>
      <vt:lpstr>End of project data</vt:lpstr>
      <vt:lpstr>Estimates</vt:lpstr>
      <vt:lpstr>List values</vt:lpstr>
      <vt:lpstr>Instructions!_Toc139552649</vt:lpstr>
      <vt:lpstr>Actions</vt:lpstr>
      <vt:lpstr>Assessment</vt:lpstr>
      <vt:lpstr>Boolean</vt:lpstr>
      <vt:lpstr>Category</vt:lpstr>
      <vt:lpstr>End</vt:lpstr>
      <vt:lpstr>Excellent</vt:lpstr>
      <vt:lpstr>GEAP</vt:lpstr>
      <vt:lpstr>Gender</vt:lpstr>
      <vt:lpstr>Outcome</vt:lpstr>
      <vt:lpstr>Procurement</vt:lpstr>
      <vt:lpstr>Project_terminated</vt:lpstr>
      <vt:lpstr>ProjectType</vt:lpstr>
      <vt:lpstr>Quarters</vt:lpstr>
      <vt:lpstr>Satisfactory</vt:lpstr>
      <vt:lpstr>Scope</vt:lpstr>
      <vt:lpstr>Stream</vt:lpstr>
      <vt:lpstr>Targets</vt:lpstr>
      <vt:lpstr>Unsatisfactory</vt:lpstr>
      <vt:lpstr>Variations</vt:lpstr>
      <vt:lpstr>Years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PEARCE,Rachel</dc:creator>
  <cp:keywords/>
  <dc:description/>
  <cp:lastModifiedBy>Natalie Leschev</cp:lastModifiedBy>
  <cp:revision/>
  <dcterms:created xsi:type="dcterms:W3CDTF">2024-02-16T05:14:49Z</dcterms:created>
  <dcterms:modified xsi:type="dcterms:W3CDTF">2024-08-16T02:01:26Z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0x0101003619A274CF03924DA273BE4A79490F89</vt:lpwstr>
  </property>
  <property fmtid="{D5CDD505-2E9C-101B-9397-08002B2CF9AE}" pid="3" name="MSIP_Label_79d889eb-932f-4752-8739-64d25806ef64_Enabled">
    <vt:lpwstr>true</vt:lpwstr>
  </property>
  <property fmtid="{D5CDD505-2E9C-101B-9397-08002B2CF9AE}" pid="4" name="MSIP_Label_79d889eb-932f-4752-8739-64d25806ef64_SetDate">
    <vt:lpwstr>2024-02-16T06:02:11Z</vt:lpwstr>
  </property>
  <property fmtid="{D5CDD505-2E9C-101B-9397-08002B2CF9AE}" pid="5" name="MSIP_Label_79d889eb-932f-4752-8739-64d25806ef64_Method">
    <vt:lpwstr>Privileged</vt:lpwstr>
  </property>
  <property fmtid="{D5CDD505-2E9C-101B-9397-08002B2CF9AE}" pid="6" name="MSIP_Label_79d889eb-932f-4752-8739-64d25806ef64_Name">
    <vt:lpwstr>79d889eb-932f-4752-8739-64d25806ef64</vt:lpwstr>
  </property>
  <property fmtid="{D5CDD505-2E9C-101B-9397-08002B2CF9AE}" pid="7" name="MSIP_Label_79d889eb-932f-4752-8739-64d25806ef64_SiteId">
    <vt:lpwstr>dd0cfd15-4558-4b12-8bad-ea26984fc417</vt:lpwstr>
  </property>
  <property fmtid="{D5CDD505-2E9C-101B-9397-08002B2CF9AE}" pid="8" name="MSIP_Label_79d889eb-932f-4752-8739-64d25806ef64_ActionId">
    <vt:lpwstr>c90bf982-acb6-4820-a432-53ca661b352e</vt:lpwstr>
  </property>
  <property fmtid="{D5CDD505-2E9C-101B-9397-08002B2CF9AE}" pid="9" name="MSIP_Label_79d889eb-932f-4752-8739-64d25806ef64_ContentBits">
    <vt:lpwstr>0</vt:lpwstr>
  </property>
  <property fmtid="{D5CDD505-2E9C-101B-9397-08002B2CF9AE}" pid="10" name="MediaServiceImageTags">
    <vt:lpwstr/>
  </property>
</Properties>
</file>